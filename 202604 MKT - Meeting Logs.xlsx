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115.xml"/>
  <Override ContentType="application/vnd.openxmlformats-officedocument.spreadsheetml.worksheet+xml" PartName="/xl/worksheets/sheet83.xml"/>
  <Override ContentType="application/vnd.openxmlformats-officedocument.spreadsheetml.worksheet+xml" PartName="/xl/worksheets/sheet91.xml"/>
  <Override ContentType="application/vnd.openxmlformats-officedocument.spreadsheetml.worksheet+xml" PartName="/xl/worksheets/sheet123.xml"/>
  <Override ContentType="application/vnd.openxmlformats-officedocument.spreadsheetml.worksheet+xml" PartName="/xl/worksheets/sheet40.xml"/>
  <Override ContentType="application/vnd.openxmlformats-officedocument.spreadsheetml.worksheet+xml" PartName="/xl/worksheets/sheet32.xml"/>
  <Override ContentType="application/vnd.openxmlformats-officedocument.spreadsheetml.worksheet+xml" PartName="/xl/worksheets/sheet6.xml"/>
  <Override ContentType="application/vnd.openxmlformats-officedocument.spreadsheetml.worksheet+xml" PartName="/xl/worksheets/sheet141.xml"/>
  <Override ContentType="application/vnd.openxmlformats-officedocument.spreadsheetml.worksheet+xml" PartName="/xl/worksheets/sheet75.xml"/>
  <Override ContentType="application/vnd.openxmlformats-officedocument.spreadsheetml.worksheet+xml" PartName="/xl/worksheets/sheet49.xml"/>
  <Override ContentType="application/vnd.openxmlformats-officedocument.spreadsheetml.worksheet+xml" PartName="/xl/worksheets/sheet16.xml"/>
  <Override ContentType="application/vnd.openxmlformats-officedocument.spreadsheetml.worksheet+xml" PartName="/xl/worksheets/sheet59.xml"/>
  <Override ContentType="application/vnd.openxmlformats-officedocument.spreadsheetml.worksheet+xml" PartName="/xl/worksheets/sheet67.xml"/>
  <Override ContentType="application/vnd.openxmlformats-officedocument.spreadsheetml.worksheet+xml" PartName="/xl/worksheets/sheet81.xml"/>
  <Override ContentType="application/vnd.openxmlformats-officedocument.spreadsheetml.worksheet+xml" PartName="/xl/worksheets/sheet93.xml"/>
  <Override ContentType="application/vnd.openxmlformats-officedocument.spreadsheetml.worksheet+xml" PartName="/xl/worksheets/sheet131.xml"/>
  <Override ContentType="application/vnd.openxmlformats-officedocument.spreadsheetml.worksheet+xml" PartName="/xl/worksheets/sheet50.xml"/>
  <Override ContentType="application/vnd.openxmlformats-officedocument.spreadsheetml.worksheet+xml" PartName="/xl/worksheets/sheet24.xml"/>
  <Override ContentType="application/vnd.openxmlformats-officedocument.spreadsheetml.worksheet+xml" PartName="/xl/worksheets/sheet85.xml"/>
  <Override ContentType="application/vnd.openxmlformats-officedocument.spreadsheetml.worksheet+xml" PartName="/xl/worksheets/sheet105.xml"/>
  <Override ContentType="application/vnd.openxmlformats-officedocument.spreadsheetml.worksheet+xml" PartName="/xl/worksheets/sheet39.xml"/>
  <Override ContentType="application/vnd.openxmlformats-officedocument.spreadsheetml.worksheet+xml" PartName="/xl/worksheets/sheet109.xml"/>
  <Override ContentType="application/vnd.openxmlformats-officedocument.spreadsheetml.worksheet+xml" PartName="/xl/worksheets/sheet12.xml"/>
  <Override ContentType="application/vnd.openxmlformats-officedocument.spreadsheetml.worksheet+xml" PartName="/xl/worksheets/sheet42.xml"/>
  <Override ContentType="application/vnd.openxmlformats-officedocument.spreadsheetml.worksheet+xml" PartName="/xl/worksheets/sheet55.xml"/>
  <Override ContentType="application/vnd.openxmlformats-officedocument.spreadsheetml.worksheet+xml" PartName="/xl/worksheets/sheet69.xml"/>
  <Override ContentType="application/vnd.openxmlformats-officedocument.spreadsheetml.worksheet+xml" PartName="/xl/worksheets/sheet113.xml"/>
  <Override ContentType="application/vnd.openxmlformats-officedocument.spreadsheetml.worksheet+xml" PartName="/xl/worksheets/sheet100.xml"/>
  <Override ContentType="application/vnd.openxmlformats-officedocument.spreadsheetml.worksheet+xml" PartName="/xl/worksheets/sheet73.xml"/>
  <Override ContentType="application/vnd.openxmlformats-officedocument.spreadsheetml.worksheet+xml" PartName="/xl/worksheets/sheet8.xml"/>
  <Override ContentType="application/vnd.openxmlformats-officedocument.spreadsheetml.worksheet+xml" PartName="/xl/worksheets/sheet60.xml"/>
  <Override ContentType="application/vnd.openxmlformats-officedocument.spreadsheetml.worksheet+xml" PartName="/xl/worksheets/sheet143.xml"/>
  <Override ContentType="application/vnd.openxmlformats-officedocument.spreadsheetml.worksheet+xml" PartName="/xl/worksheets/sheet30.xml"/>
  <Override ContentType="application/vnd.openxmlformats-officedocument.spreadsheetml.worksheet+xml" PartName="/xl/worksheets/sheet111.xml"/>
  <Override ContentType="application/vnd.openxmlformats-officedocument.spreadsheetml.worksheet+xml" PartName="/xl/worksheets/sheet57.xml"/>
  <Override ContentType="application/vnd.openxmlformats-officedocument.spreadsheetml.worksheet+xml" PartName="/xl/worksheets/sheet14.xml"/>
  <Override ContentType="application/vnd.openxmlformats-officedocument.spreadsheetml.worksheet+xml" PartName="/xl/worksheets/sheet125.xml"/>
  <Override ContentType="application/vnd.openxmlformats-officedocument.spreadsheetml.worksheet+xml" PartName="/xl/worksheets/sheet138.xml"/>
  <Override ContentType="application/vnd.openxmlformats-officedocument.spreadsheetml.worksheet+xml" PartName="/xl/worksheets/sheet44.xml"/>
  <Override ContentType="application/vnd.openxmlformats-officedocument.spreadsheetml.worksheet+xml" PartName="/xl/worksheets/sheet26.xml"/>
  <Override ContentType="application/vnd.openxmlformats-officedocument.spreadsheetml.worksheet+xml" PartName="/xl/worksheets/sheet107.xml"/>
  <Override ContentType="application/vnd.openxmlformats-officedocument.spreadsheetml.worksheet+xml" PartName="/xl/worksheets/sheet87.xml"/>
  <Override ContentType="application/vnd.openxmlformats-officedocument.spreadsheetml.worksheet+xml" PartName="/xl/worksheets/sheet128.xml"/>
  <Override ContentType="application/vnd.openxmlformats-officedocument.spreadsheetml.worksheet+xml" PartName="/xl/worksheets/sheet110.xml"/>
  <Override ContentType="application/vnd.openxmlformats-officedocument.spreadsheetml.worksheet+xml" PartName="/xl/worksheets/sheet136.xml"/>
  <Override ContentType="application/vnd.openxmlformats-officedocument.spreadsheetml.worksheet+xml" PartName="/xl/worksheets/sheet119.xml"/>
  <Override ContentType="application/vnd.openxmlformats-officedocument.spreadsheetml.worksheet+xml" PartName="/xl/worksheets/sheet102.xml"/>
  <Override ContentType="application/vnd.openxmlformats-officedocument.spreadsheetml.worksheet+xml" PartName="/xl/worksheets/sheet145.xml"/>
  <Override ContentType="application/vnd.openxmlformats-officedocument.spreadsheetml.worksheet+xml" PartName="/xl/worksheets/sheet89.xml"/>
  <Override ContentType="application/vnd.openxmlformats-officedocument.spreadsheetml.worksheet+xml" PartName="/xl/worksheets/sheet46.xml"/>
  <Override ContentType="application/vnd.openxmlformats-officedocument.spreadsheetml.worksheet+xml" PartName="/xl/worksheets/sheet71.xml"/>
  <Override ContentType="application/vnd.openxmlformats-officedocument.spreadsheetml.worksheet+xml" PartName="/xl/worksheets/sheet11.xml"/>
  <Override ContentType="application/vnd.openxmlformats-officedocument.spreadsheetml.worksheet+xml" PartName="/xl/worksheets/sheet97.xml"/>
  <Override ContentType="application/vnd.openxmlformats-officedocument.spreadsheetml.worksheet+xml" PartName="/xl/worksheets/sheet29.xml"/>
  <Override ContentType="application/vnd.openxmlformats-officedocument.spreadsheetml.worksheet+xml" PartName="/xl/worksheets/sheet54.xml"/>
  <Override ContentType="application/vnd.openxmlformats-officedocument.spreadsheetml.worksheet+xml" PartName="/xl/worksheets/sheet20.xml"/>
  <Override ContentType="application/vnd.openxmlformats-officedocument.spreadsheetml.worksheet+xml" PartName="/xl/worksheets/sheet37.xml"/>
  <Override ContentType="application/vnd.openxmlformats-officedocument.spreadsheetml.worksheet+xml" PartName="/xl/worksheets/sheet1.xml"/>
  <Override ContentType="application/vnd.openxmlformats-officedocument.spreadsheetml.worksheet+xml" PartName="/xl/worksheets/sheet63.xml"/>
  <Override ContentType="application/vnd.openxmlformats-officedocument.spreadsheetml.worksheet+xml" PartName="/xl/worksheets/sheet121.xml"/>
  <Override ContentType="application/vnd.openxmlformats-officedocument.spreadsheetml.worksheet+xml" PartName="/xl/worksheets/sheet134.xml"/>
  <Override ContentType="application/vnd.openxmlformats-officedocument.spreadsheetml.worksheet+xml" PartName="/xl/worksheets/sheet117.xml"/>
  <Override ContentType="application/vnd.openxmlformats-officedocument.spreadsheetml.worksheet+xml" PartName="/xl/worksheets/sheet104.xml"/>
  <Override ContentType="application/vnd.openxmlformats-officedocument.spreadsheetml.worksheet+xml" PartName="/xl/worksheets/sheet65.xml"/>
  <Override ContentType="application/vnd.openxmlformats-officedocument.spreadsheetml.worksheet+xml" PartName="/xl/worksheets/sheet78.xml"/>
  <Override ContentType="application/vnd.openxmlformats-officedocument.spreadsheetml.worksheet+xml" PartName="/xl/worksheets/sheet52.xml"/>
  <Override ContentType="application/vnd.openxmlformats-officedocument.spreadsheetml.worksheet+xml" PartName="/xl/worksheets/sheet82.xml"/>
  <Override ContentType="application/vnd.openxmlformats-officedocument.spreadsheetml.worksheet+xml" PartName="/xl/worksheets/sheet95.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48.xml"/>
  <Override ContentType="application/vnd.openxmlformats-officedocument.spreadsheetml.worksheet+xml" PartName="/xl/worksheets/sheet22.xml"/>
  <Override ContentType="application/vnd.openxmlformats-officedocument.spreadsheetml.worksheet+xml" PartName="/xl/worksheets/sheet35.xml"/>
  <Override ContentType="application/vnd.openxmlformats-officedocument.spreadsheetml.worksheet+xml" PartName="/xl/worksheets/sheet140.xml"/>
  <Override ContentType="application/vnd.openxmlformats-officedocument.spreadsheetml.worksheet+xml" PartName="/xl/worksheets/sheet23.xml"/>
  <Override ContentType="application/vnd.openxmlformats-officedocument.spreadsheetml.worksheet+xml" PartName="/xl/worksheets/sheet58.xml"/>
  <Override ContentType="application/vnd.openxmlformats-officedocument.spreadsheetml.worksheet+xml" PartName="/xl/worksheets/sheet66.xml"/>
  <Override ContentType="application/vnd.openxmlformats-officedocument.spreadsheetml.worksheet+xml" PartName="/xl/worksheets/sheet15.xml"/>
  <Override ContentType="application/vnd.openxmlformats-officedocument.spreadsheetml.worksheet+xml" PartName="/xl/worksheets/sheet106.xml"/>
  <Override ContentType="application/vnd.openxmlformats-officedocument.spreadsheetml.worksheet+xml" PartName="/xl/worksheets/sheet132.xml"/>
  <Override ContentType="application/vnd.openxmlformats-officedocument.spreadsheetml.worksheet+xml" PartName="/xl/worksheets/sheet41.xml"/>
  <Override ContentType="application/vnd.openxmlformats-officedocument.spreadsheetml.worksheet+xml" PartName="/xl/worksheets/sheet90.xml"/>
  <Override ContentType="application/vnd.openxmlformats-officedocument.spreadsheetml.worksheet+xml" PartName="/xl/worksheets/sheet5.xml"/>
  <Override ContentType="application/vnd.openxmlformats-officedocument.spreadsheetml.worksheet+xml" PartName="/xl/worksheets/sheet122.xml"/>
  <Override ContentType="application/vnd.openxmlformats-officedocument.spreadsheetml.worksheet+xml" PartName="/xl/worksheets/sheet84.xml"/>
  <Override ContentType="application/vnd.openxmlformats-officedocument.spreadsheetml.worksheet+xml" PartName="/xl/worksheets/sheet114.xml"/>
  <Override ContentType="application/vnd.openxmlformats-officedocument.spreadsheetml.worksheet+xml" PartName="/xl/worksheets/sheet33.xml"/>
  <Override ContentType="application/vnd.openxmlformats-officedocument.spreadsheetml.worksheet+xml" PartName="/xl/worksheets/sheet76.xml"/>
  <Override ContentType="application/vnd.openxmlformats-officedocument.spreadsheetml.worksheet+xml" PartName="/xl/worksheets/sheet139.xml"/>
  <Override ContentType="application/vnd.openxmlformats-officedocument.spreadsheetml.worksheet+xml" PartName="/xl/worksheets/sheet72.xml"/>
  <Override ContentType="application/vnd.openxmlformats-officedocument.spreadsheetml.worksheet+xml" PartName="/xl/worksheets/sheet126.xml"/>
  <Override ContentType="application/vnd.openxmlformats-officedocument.spreadsheetml.worksheet+xml" PartName="/xl/worksheets/sheet80.xml"/>
  <Override ContentType="application/vnd.openxmlformats-officedocument.spreadsheetml.worksheet+xml" PartName="/xl/worksheets/sheet56.xml"/>
  <Override ContentType="application/vnd.openxmlformats-officedocument.spreadsheetml.worksheet+xml" PartName="/xl/worksheets/sheet68.xml"/>
  <Override ContentType="application/vnd.openxmlformats-officedocument.spreadsheetml.worksheet+xml" PartName="/xl/worksheets/sheet86.xml"/>
  <Override ContentType="application/vnd.openxmlformats-officedocument.spreadsheetml.worksheet+xml" PartName="/xl/worksheets/sheet38.xml"/>
  <Override ContentType="application/vnd.openxmlformats-officedocument.spreadsheetml.worksheet+xml" PartName="/xl/worksheets/sheet99.xml"/>
  <Override ContentType="application/vnd.openxmlformats-officedocument.spreadsheetml.worksheet+xml" PartName="/xl/worksheets/sheet25.xml"/>
  <Override ContentType="application/vnd.openxmlformats-officedocument.spreadsheetml.worksheet+xml" PartName="/xl/worksheets/sheet130.xml"/>
  <Override ContentType="application/vnd.openxmlformats-officedocument.spreadsheetml.worksheet+xml" PartName="/xl/worksheets/sheet108.xml"/>
  <Override ContentType="application/vnd.openxmlformats-officedocument.spreadsheetml.worksheet+xml" PartName="/xl/worksheets/sheet27.xml"/>
  <Override ContentType="application/vnd.openxmlformats-officedocument.spreadsheetml.worksheet+xml" PartName="/xl/worksheets/sheet43.xml"/>
  <Override ContentType="application/vnd.openxmlformats-officedocument.spreadsheetml.worksheet+xml" PartName="/xl/worksheets/sheet92.xml"/>
  <Override ContentType="application/vnd.openxmlformats-officedocument.spreadsheetml.worksheet+xml" PartName="/xl/worksheets/sheet124.xml"/>
  <Override ContentType="application/vnd.openxmlformats-officedocument.spreadsheetml.worksheet+xml" PartName="/xl/worksheets/sheet13.xml"/>
  <Override ContentType="application/vnd.openxmlformats-officedocument.spreadsheetml.worksheet+xml" PartName="/xl/worksheets/sheet112.xml"/>
  <Override ContentType="application/vnd.openxmlformats-officedocument.spreadsheetml.worksheet+xml" PartName="/xl/worksheets/sheet31.xml"/>
  <Override ContentType="application/vnd.openxmlformats-officedocument.spreadsheetml.worksheet+xml" PartName="/xl/worksheets/sheet61.xml"/>
  <Override ContentType="application/vnd.openxmlformats-officedocument.spreadsheetml.worksheet+xml" PartName="/xl/worksheets/sheet142.xml"/>
  <Override ContentType="application/vnd.openxmlformats-officedocument.spreadsheetml.worksheet+xml" PartName="/xl/worksheets/sheet7.xml"/>
  <Override ContentType="application/vnd.openxmlformats-officedocument.spreadsheetml.worksheet+xml" PartName="/xl/worksheets/sheet74.xml"/>
  <Override ContentType="application/vnd.openxmlformats-officedocument.spreadsheetml.worksheet+xml" PartName="/xl/worksheets/sheet28.xml"/>
  <Override ContentType="application/vnd.openxmlformats-officedocument.spreadsheetml.worksheet+xml" PartName="/xl/worksheets/sheet53.xml"/>
  <Override ContentType="application/vnd.openxmlformats-officedocument.spreadsheetml.worksheet+xml" PartName="/xl/worksheets/sheet96.xml"/>
  <Override ContentType="application/vnd.openxmlformats-officedocument.spreadsheetml.worksheet+xml" PartName="/xl/worksheets/sheet10.xml"/>
  <Override ContentType="application/vnd.openxmlformats-officedocument.spreadsheetml.worksheet+xml" PartName="/xl/worksheets/sheet137.xml"/>
  <Override ContentType="application/vnd.openxmlformats-officedocument.spreadsheetml.worksheet+xml" PartName="/xl/worksheets/sheet19.xml"/>
  <Override ContentType="application/vnd.openxmlformats-officedocument.spreadsheetml.worksheet+xml" PartName="/xl/worksheets/sheet62.xml"/>
  <Override ContentType="application/vnd.openxmlformats-officedocument.spreadsheetml.worksheet+xml" PartName="/xl/worksheets/sheet2.xml"/>
  <Override ContentType="application/vnd.openxmlformats-officedocument.spreadsheetml.worksheet+xml" PartName="/xl/worksheets/sheet45.xml"/>
  <Override ContentType="application/vnd.openxmlformats-officedocument.spreadsheetml.worksheet+xml" PartName="/xl/worksheets/sheet79.xml"/>
  <Override ContentType="application/vnd.openxmlformats-officedocument.spreadsheetml.worksheet+xml" PartName="/xl/worksheets/sheet36.xml"/>
  <Override ContentType="application/vnd.openxmlformats-officedocument.spreadsheetml.worksheet+xml" PartName="/xl/worksheets/sheet88.xml"/>
  <Override ContentType="application/vnd.openxmlformats-officedocument.spreadsheetml.worksheet+xml" PartName="/xl/worksheets/sheet127.xml"/>
  <Override ContentType="application/vnd.openxmlformats-officedocument.spreadsheetml.worksheet+xml" PartName="/xl/worksheets/sheet135.xml"/>
  <Override ContentType="application/vnd.openxmlformats-officedocument.spreadsheetml.worksheet+xml" PartName="/xl/worksheets/sheet101.xml"/>
  <Override ContentType="application/vnd.openxmlformats-officedocument.spreadsheetml.worksheet+xml" PartName="/xl/worksheets/sheet98.xml"/>
  <Override ContentType="application/vnd.openxmlformats-officedocument.spreadsheetml.worksheet+xml" PartName="/xl/worksheets/sheet9.xml"/>
  <Override ContentType="application/vnd.openxmlformats-officedocument.spreadsheetml.worksheet+xml" PartName="/xl/worksheets/sheet118.xml"/>
  <Override ContentType="application/vnd.openxmlformats-officedocument.spreadsheetml.worksheet+xml" PartName="/xl/worksheets/sheet144.xml"/>
  <Override ContentType="application/vnd.openxmlformats-officedocument.spreadsheetml.worksheet+xml" PartName="/xl/worksheets/sheet77.xml"/>
  <Override ContentType="application/vnd.openxmlformats-officedocument.spreadsheetml.worksheet+xml" PartName="/xl/worksheets/sheet47.xml"/>
  <Override ContentType="application/vnd.openxmlformats-officedocument.spreadsheetml.worksheet+xml" PartName="/xl/worksheets/sheet4.xml"/>
  <Override ContentType="application/vnd.openxmlformats-officedocument.spreadsheetml.worksheet+xml" PartName="/xl/worksheets/sheet64.xml"/>
  <Override ContentType="application/vnd.openxmlformats-officedocument.spreadsheetml.worksheet+xml" PartName="/xl/worksheets/sheet17.xml"/>
  <Override ContentType="application/vnd.openxmlformats-officedocument.spreadsheetml.worksheet+xml" PartName="/xl/worksheets/sheet94.xml"/>
  <Override ContentType="application/vnd.openxmlformats-officedocument.spreadsheetml.worksheet+xml" PartName="/xl/worksheets/sheet51.xml"/>
  <Override ContentType="application/vnd.openxmlformats-officedocument.spreadsheetml.worksheet+xml" PartName="/xl/worksheets/sheet34.xml"/>
  <Override ContentType="application/vnd.openxmlformats-officedocument.spreadsheetml.worksheet+xml" PartName="/xl/worksheets/sheet21.xml"/>
  <Override ContentType="application/vnd.openxmlformats-officedocument.spreadsheetml.worksheet+xml" PartName="/xl/worksheets/sheet103.xml"/>
  <Override ContentType="application/vnd.openxmlformats-officedocument.spreadsheetml.worksheet+xml" PartName="/xl/worksheets/sheet146.xml"/>
  <Override ContentType="application/vnd.openxmlformats-officedocument.spreadsheetml.worksheet+xml" PartName="/xl/worksheets/sheet133.xml"/>
  <Override ContentType="application/vnd.openxmlformats-officedocument.spreadsheetml.worksheet+xml" PartName="/xl/worksheets/sheet120.xml"/>
  <Override ContentType="application/vnd.openxmlformats-officedocument.spreadsheetml.worksheet+xml" PartName="/xl/worksheets/sheet129.xml"/>
  <Override ContentType="application/vnd.openxmlformats-officedocument.spreadsheetml.worksheet+xml" PartName="/xl/worksheets/sheet70.xml"/>
  <Override ContentType="application/vnd.openxmlformats-officedocument.spreadsheetml.worksheet+xml" PartName="/xl/worksheets/sheet11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0.xml"/>
  <Override ContentType="application/vnd.openxmlformats-officedocument.drawing+xml" PartName="/xl/drawings/drawing99.xml"/>
  <Override ContentType="application/vnd.openxmlformats-officedocument.drawing+xml" PartName="/xl/drawings/drawing64.xml"/>
  <Override ContentType="application/vnd.openxmlformats-officedocument.drawing+xml" PartName="/xl/drawings/drawing56.xml"/>
  <Override ContentType="application/vnd.openxmlformats-officedocument.drawing+xml" PartName="/xl/drawings/drawing13.xml"/>
  <Override ContentType="application/vnd.openxmlformats-officedocument.drawing+xml" PartName="/xl/drawings/drawing135.xml"/>
  <Override ContentType="application/vnd.openxmlformats-officedocument.drawing+xml" PartName="/xl/drawings/drawing119.xml"/>
  <Override ContentType="application/vnd.openxmlformats-officedocument.drawing+xml" PartName="/xl/drawings/drawing143.xml"/>
  <Override ContentType="application/vnd.openxmlformats-officedocument.drawing+xml" PartName="/xl/drawings/drawing21.xml"/>
  <Override ContentType="application/vnd.openxmlformats-officedocument.drawing+xml" PartName="/xl/drawings/drawing117.xml"/>
  <Override ContentType="application/vnd.openxmlformats-officedocument.drawing+xml" PartName="/xl/drawings/drawing82.xml"/>
  <Override ContentType="application/vnd.openxmlformats-officedocument.drawing+xml" PartName="/xl/drawings/drawing125.xml"/>
  <Override ContentType="application/vnd.openxmlformats-officedocument.drawing+xml" PartName="/xl/drawings/drawing48.xml"/>
  <Override ContentType="application/vnd.openxmlformats-officedocument.drawing+xml" PartName="/xl/drawings/drawing133.xml"/>
  <Override ContentType="application/vnd.openxmlformats-officedocument.drawing+xml" PartName="/xl/drawings/drawing2.xml"/>
  <Override ContentType="application/vnd.openxmlformats-officedocument.drawing+xml" PartName="/xl/drawings/drawing31.xml"/>
  <Override ContentType="application/vnd.openxmlformats-officedocument.drawing+xml" PartName="/xl/drawings/drawing74.xml"/>
  <Override ContentType="application/vnd.openxmlformats-officedocument.drawing+xml" PartName="/xl/drawings/drawing70.xml"/>
  <Override ContentType="application/vnd.openxmlformats-officedocument.drawing+xml" PartName="/xl/drawings/drawing6.xml"/>
  <Override ContentType="application/vnd.openxmlformats-officedocument.drawing+xml" PartName="/xl/drawings/drawing36.xml"/>
  <Override ContentType="application/vnd.openxmlformats-officedocument.drawing+xml" PartName="/xl/drawings/drawing97.xml"/>
  <Override ContentType="application/vnd.openxmlformats-officedocument.drawing+xml" PartName="/xl/drawings/drawing145.xml"/>
  <Override ContentType="application/vnd.openxmlformats-officedocument.drawing+xml" PartName="/xl/drawings/drawing66.xml"/>
  <Override ContentType="application/vnd.openxmlformats-officedocument.drawing+xml" PartName="/xl/drawings/drawing79.xml"/>
  <Override ContentType="application/vnd.openxmlformats-officedocument.drawing+xml" PartName="/xl/drawings/drawing84.xml"/>
  <Override ContentType="application/vnd.openxmlformats-officedocument.drawing+xml" PartName="/xl/drawings/drawing23.xml"/>
  <Override ContentType="application/vnd.openxmlformats-officedocument.drawing+xml" PartName="/xl/drawings/drawing115.xml"/>
  <Override ContentType="application/vnd.openxmlformats-officedocument.drawing+xml" PartName="/xl/drawings/drawing102.xml"/>
  <Override ContentType="application/vnd.openxmlformats-officedocument.drawing+xml" PartName="/xl/drawings/drawing38.xml"/>
  <Override ContentType="application/vnd.openxmlformats-officedocument.drawing+xml" PartName="/xl/drawings/drawing131.xml"/>
  <Override ContentType="application/vnd.openxmlformats-officedocument.drawing+xml" PartName="/xl/drawings/drawing41.xml"/>
  <Override ContentType="application/vnd.openxmlformats-officedocument.drawing+xml" PartName="/xl/drawings/drawing68.xml"/>
  <Override ContentType="application/vnd.openxmlformats-officedocument.drawing+xml" PartName="/xl/drawings/drawing90.xml"/>
  <Override ContentType="application/vnd.openxmlformats-officedocument.drawing+xml" PartName="/xl/drawings/drawing109.xml"/>
  <Override ContentType="application/vnd.openxmlformats-officedocument.drawing+xml" PartName="/xl/drawings/drawing54.xml"/>
  <Override ContentType="application/vnd.openxmlformats-officedocument.drawing+xml" PartName="/xl/drawings/drawing127.xml"/>
  <Override ContentType="application/vnd.openxmlformats-officedocument.drawing+xml" PartName="/xl/drawings/drawing11.xml"/>
  <Override ContentType="application/vnd.openxmlformats-officedocument.drawing+xml" PartName="/xl/drawings/drawing72.xml"/>
  <Override ContentType="application/vnd.openxmlformats-officedocument.drawing+xml" PartName="/xl/drawings/drawing9.xml"/>
  <Override ContentType="application/vnd.openxmlformats-officedocument.drawing+xml" PartName="/xl/drawings/drawing121.xml"/>
  <Override ContentType="application/vnd.openxmlformats-officedocument.drawing+xml" PartName="/xl/drawings/drawing25.xml"/>
  <Override ContentType="application/vnd.openxmlformats-officedocument.drawing+xml" PartName="/xl/drawings/drawing104.xml"/>
  <Override ContentType="application/vnd.openxmlformats-officedocument.drawing+xml" PartName="/xl/drawings/drawing27.xml"/>
  <Override ContentType="application/vnd.openxmlformats-officedocument.drawing+xml" PartName="/xl/drawings/drawing52.xml"/>
  <Override ContentType="application/vnd.openxmlformats-officedocument.drawing+xml" PartName="/xl/drawings/drawing112.xml"/>
  <Override ContentType="application/vnd.openxmlformats-officedocument.drawing+xml" PartName="/xl/drawings/drawing44.xml"/>
  <Override ContentType="application/vnd.openxmlformats-officedocument.drawing+xml" PartName="/xl/drawings/drawing95.xml"/>
  <Override ContentType="application/vnd.openxmlformats-officedocument.drawing+xml" PartName="/xl/drawings/drawing61.xml"/>
  <Override ContentType="application/vnd.openxmlformats-officedocument.drawing+xml" PartName="/xl/drawings/drawing7.xml"/>
  <Override ContentType="application/vnd.openxmlformats-officedocument.drawing+xml" PartName="/xl/drawings/drawing138.xml"/>
  <Override ContentType="application/vnd.openxmlformats-officedocument.drawing+xml" PartName="/xl/drawings/drawing18.xml"/>
  <Override ContentType="application/vnd.openxmlformats-officedocument.drawing+xml" PartName="/xl/drawings/drawing78.xml"/>
  <Override ContentType="application/vnd.openxmlformats-officedocument.drawing+xml" PartName="/xl/drawings/drawing87.xml"/>
  <Override ContentType="application/vnd.openxmlformats-officedocument.drawing+xml" PartName="/xl/drawings/drawing35.xml"/>
  <Override ContentType="application/vnd.openxmlformats-officedocument.drawing+xml" PartName="/xl/drawings/drawing33.xml"/>
  <Override ContentType="application/vnd.openxmlformats-officedocument.drawing+xml" PartName="/xl/drawings/drawing76.xml"/>
  <Override ContentType="application/vnd.openxmlformats-officedocument.drawing+xml" PartName="/xl/drawings/drawing46.xml"/>
  <Override ContentType="application/vnd.openxmlformats-officedocument.drawing+xml" PartName="/xl/drawings/drawing63.xml"/>
  <Override ContentType="application/vnd.openxmlformats-officedocument.drawing+xml" PartName="/xl/drawings/drawing106.xml"/>
  <Override ContentType="application/vnd.openxmlformats-officedocument.drawing+xml" PartName="/xl/drawings/drawing16.xml"/>
  <Override ContentType="application/vnd.openxmlformats-officedocument.drawing+xml" PartName="/xl/drawings/drawing93.xml"/>
  <Override ContentType="application/vnd.openxmlformats-officedocument.drawing+xml" PartName="/xl/drawings/drawing110.xml"/>
  <Override ContentType="application/vnd.openxmlformats-officedocument.drawing+xml" PartName="/xl/drawings/drawing123.xml"/>
  <Override ContentType="application/vnd.openxmlformats-officedocument.drawing+xml" PartName="/xl/drawings/drawing29.xml"/>
  <Override ContentType="application/vnd.openxmlformats-officedocument.drawing+xml" PartName="/xl/drawings/drawing80.xml"/>
  <Override ContentType="application/vnd.openxmlformats-officedocument.drawing+xml" PartName="/xl/drawings/drawing136.xml"/>
  <Override ContentType="application/vnd.openxmlformats-officedocument.drawing+xml" PartName="/xl/drawings/drawing50.xml"/>
  <Override ContentType="application/vnd.openxmlformats-officedocument.drawing+xml" PartName="/xl/drawings/drawing59.xml"/>
  <Override ContentType="application/vnd.openxmlformats-officedocument.drawing+xml" PartName="/xl/drawings/drawing20.xml"/>
  <Override ContentType="application/vnd.openxmlformats-officedocument.drawing+xml" PartName="/xl/drawings/drawing89.xml"/>
  <Override ContentType="application/vnd.openxmlformats-officedocument.drawing+xml" PartName="/xl/drawings/drawing140.xml"/>
  <Override ContentType="application/vnd.openxmlformats-officedocument.drawing+xml" PartName="/xl/drawings/drawing39.xml"/>
  <Override ContentType="application/vnd.openxmlformats-officedocument.drawing+xml" PartName="/xl/drawings/drawing81.xml"/>
  <Override ContentType="application/vnd.openxmlformats-officedocument.drawing+xml" PartName="/xl/drawings/drawing12.xml"/>
  <Override ContentType="application/vnd.openxmlformats-officedocument.drawing+xml" PartName="/xl/drawings/drawing73.xml"/>
  <Override ContentType="application/vnd.openxmlformats-officedocument.drawing+xml" PartName="/xl/drawings/drawing30.xml"/>
  <Override ContentType="application/vnd.openxmlformats-officedocument.drawing+xml" PartName="/xl/drawings/drawing126.xml"/>
  <Override ContentType="application/vnd.openxmlformats-officedocument.drawing+xml" PartName="/xl/drawings/drawing47.xml"/>
  <Override ContentType="application/vnd.openxmlformats-officedocument.drawing+xml" PartName="/xl/drawings/drawing57.xml"/>
  <Override ContentType="application/vnd.openxmlformats-officedocument.drawing+xml" PartName="/xl/drawings/drawing65.xml"/>
  <Override ContentType="application/vnd.openxmlformats-officedocument.drawing+xml" PartName="/xl/drawings/drawing3.xml"/>
  <Override ContentType="application/vnd.openxmlformats-officedocument.drawing+xml" PartName="/xl/drawings/drawing134.xml"/>
  <Override ContentType="application/vnd.openxmlformats-officedocument.drawing+xml" PartName="/xl/drawings/drawing14.xml"/>
  <Override ContentType="application/vnd.openxmlformats-officedocument.drawing+xml" PartName="/xl/drawings/drawing91.xml"/>
  <Override ContentType="application/vnd.openxmlformats-officedocument.drawing+xml" PartName="/xl/drawings/drawing22.xml"/>
  <Override ContentType="application/vnd.openxmlformats-officedocument.drawing+xml" PartName="/xl/drawings/drawing116.xml"/>
  <Override ContentType="application/vnd.openxmlformats-officedocument.drawing+xml" PartName="/xl/drawings/drawing142.xml"/>
  <Override ContentType="application/vnd.openxmlformats-officedocument.drawing+xml" PartName="/xl/drawings/drawing10.xml"/>
  <Override ContentType="application/vnd.openxmlformats-officedocument.drawing+xml" PartName="/xl/drawings/drawing83.xml"/>
  <Override ContentType="application/vnd.openxmlformats-officedocument.drawing+xml" PartName="/xl/drawings/drawing53.xml"/>
  <Override ContentType="application/vnd.openxmlformats-officedocument.drawing+xml" PartName="/xl/drawings/drawing96.xml"/>
  <Override ContentType="application/vnd.openxmlformats-officedocument.drawing+xml" PartName="/xl/drawings/drawing40.xml"/>
  <Override ContentType="application/vnd.openxmlformats-officedocument.drawing+xml" PartName="/xl/drawings/drawing108.xml"/>
  <Override ContentType="application/vnd.openxmlformats-officedocument.drawing+xml" PartName="/xl/drawings/drawing132.xml"/>
  <Override ContentType="application/vnd.openxmlformats-officedocument.drawing+xml" PartName="/xl/drawings/drawing128.xml"/>
  <Override ContentType="application/vnd.openxmlformats-officedocument.drawing+xml" PartName="/xl/drawings/drawing49.xml"/>
  <Override ContentType="application/vnd.openxmlformats-officedocument.drawing+xml" PartName="/xl/drawings/drawing71.xml"/>
  <Override ContentType="application/vnd.openxmlformats-officedocument.drawing+xml" PartName="/xl/drawings/drawing19.xml"/>
  <Override ContentType="application/vnd.openxmlformats-officedocument.drawing+xml" PartName="/xl/drawings/drawing5.xml"/>
  <Override ContentType="application/vnd.openxmlformats-officedocument.drawing+xml" PartName="/xl/drawings/drawing55.xml"/>
  <Override ContentType="application/vnd.openxmlformats-officedocument.drawing+xml" PartName="/xl/drawings/drawing24.xml"/>
  <Override ContentType="application/vnd.openxmlformats-officedocument.drawing+xml" PartName="/xl/drawings/drawing85.xml"/>
  <Override ContentType="application/vnd.openxmlformats-officedocument.drawing+xml" PartName="/xl/drawings/drawing42.xml"/>
  <Override ContentType="application/vnd.openxmlformats-officedocument.drawing+xml" PartName="/xl/drawings/drawing67.xml"/>
  <Override ContentType="application/vnd.openxmlformats-officedocument.drawing+xml" PartName="/xl/drawings/drawing114.xml"/>
  <Override ContentType="application/vnd.openxmlformats-officedocument.drawing+xml" PartName="/xl/drawings/drawing98.xml"/>
  <Override ContentType="application/vnd.openxmlformats-officedocument.drawing+xml" PartName="/xl/drawings/drawing101.xml"/>
  <Override ContentType="application/vnd.openxmlformats-officedocument.drawing+xml" PartName="/xl/drawings/drawing37.xml"/>
  <Override ContentType="application/vnd.openxmlformats-officedocument.drawing+xml" PartName="/xl/drawings/drawing144.xml"/>
  <Override ContentType="application/vnd.openxmlformats-officedocument.drawing+xml" PartName="/xl/drawings/drawing105.xml"/>
  <Override ContentType="application/vnd.openxmlformats-officedocument.drawing+xml" PartName="/xl/drawings/drawing130.xml"/>
  <Override ContentType="application/vnd.openxmlformats-officedocument.drawing+xml" PartName="/xl/drawings/drawing26.xml"/>
  <Override ContentType="application/vnd.openxmlformats-officedocument.drawing+xml" PartName="/xl/drawings/drawing51.xml"/>
  <Override ContentType="application/vnd.openxmlformats-officedocument.drawing+xml" PartName="/xl/drawings/drawing69.xml"/>
  <Override ContentType="application/vnd.openxmlformats-officedocument.drawing+xml" PartName="/xl/drawings/drawing94.xml"/>
  <Override ContentType="application/vnd.openxmlformats-officedocument.drawing+xml" PartName="/xl/drawings/drawing122.xml"/>
  <Override ContentType="application/vnd.openxmlformats-officedocument.drawing+xml" PartName="/xl/drawings/drawing17.xml"/>
  <Override ContentType="application/vnd.openxmlformats-officedocument.drawing+xml" PartName="/xl/drawings/drawing43.xml"/>
  <Override ContentType="application/vnd.openxmlformats-officedocument.drawing+xml" PartName="/xl/drawings/drawing139.xml"/>
  <Override ContentType="application/vnd.openxmlformats-officedocument.drawing+xml" PartName="/xl/drawings/drawing77.xml"/>
  <Override ContentType="application/vnd.openxmlformats-officedocument.drawing+xml" PartName="/xl/drawings/drawing113.xml"/>
  <Override ContentType="application/vnd.openxmlformats-officedocument.drawing+xml" PartName="/xl/drawings/drawing86.xml"/>
  <Override ContentType="application/vnd.openxmlformats-officedocument.drawing+xml" PartName="/xl/drawings/drawing34.xml"/>
  <Override ContentType="application/vnd.openxmlformats-officedocument.drawing+xml" PartName="/xl/drawings/drawing60.xml"/>
  <Override ContentType="application/vnd.openxmlformats-officedocument.drawing+xml" PartName="/xl/drawings/drawing120.xml"/>
  <Override ContentType="application/vnd.openxmlformats-officedocument.drawing+xml" PartName="/xl/drawings/drawing107.xml"/>
  <Override ContentType="application/vnd.openxmlformats-officedocument.drawing+xml" PartName="/xl/drawings/drawing146.xml"/>
  <Override ContentType="application/vnd.openxmlformats-officedocument.drawing+xml" PartName="/xl/drawings/drawing103.xml"/>
  <Override ContentType="application/vnd.openxmlformats-officedocument.drawing+xml" PartName="/xl/drawings/drawing129.xml"/>
  <Override ContentType="application/vnd.openxmlformats-officedocument.drawing+xml" PartName="/xl/drawings/drawing124.xml"/>
  <Override ContentType="application/vnd.openxmlformats-officedocument.drawing+xml" PartName="/xl/drawings/drawing58.xml"/>
  <Override ContentType="application/vnd.openxmlformats-officedocument.drawing+xml" PartName="/xl/drawings/drawing111.xml"/>
  <Override ContentType="application/vnd.openxmlformats-officedocument.drawing+xml" PartName="/xl/drawings/drawing45.xml"/>
  <Override ContentType="application/vnd.openxmlformats-officedocument.drawing+xml" PartName="/xl/drawings/drawing28.xml"/>
  <Override ContentType="application/vnd.openxmlformats-officedocument.drawing+xml" PartName="/xl/drawings/drawing137.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92.xml"/>
  <Override ContentType="application/vnd.openxmlformats-officedocument.drawing+xml" PartName="/xl/drawings/drawing32.xml"/>
  <Override ContentType="application/vnd.openxmlformats-officedocument.drawing+xml" PartName="/xl/drawings/drawing62.xml"/>
  <Override ContentType="application/vnd.openxmlformats-officedocument.drawing+xml" PartName="/xl/drawings/drawing75.xml"/>
  <Override ContentType="application/vnd.openxmlformats-officedocument.drawing+xml" PartName="/xl/drawings/drawing88.xml"/>
  <Override ContentType="application/vnd.openxmlformats-officedocument.drawing+xml" PartName="/xl/drawings/drawing141.xml"/>
  <Override ContentType="application/vnd.openxmlformats-officedocument.drawing+xml" PartName="/xl/drawings/drawing8.xml"/>
  <Override ContentType="application/vnd.openxmlformats-officedocument.drawing+xml" PartName="/xl/drawings/drawing118.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eeting Log" sheetId="1" r:id="rId5"/>
    <sheet state="visible" name="Member" sheetId="2" r:id="rId6"/>
    <sheet state="visible" name="DA" sheetId="3" r:id="rId7"/>
    <sheet state="visible" name="Data" sheetId="4" r:id="rId8"/>
    <sheet state="visible" name="2026-04-07 pzi-jwhv-igh (2026-0" sheetId="5" r:id="rId9"/>
    <sheet state="visible" name="Trang tính5" sheetId="6" r:id="rId10"/>
    <sheet state="visible" name="Trang tính6" sheetId="7" r:id="rId11"/>
    <sheet state="visible" name="Markee - 15" sheetId="8" r:id="rId12"/>
    <sheet state="visible" name="2026-04-07 sjk-pnyf-nqr (2026-0" sheetId="9" r:id="rId13"/>
    <sheet state="visible" name="2026-04-07 avj-irxk-coj (2026-0" sheetId="10" r:id="rId14"/>
    <sheet state="visible" name="2026-04-07 dyf-tixy-tkr (2026-0" sheetId="11" r:id="rId15"/>
    <sheet state="visible" name="26-04-08 - 054536" sheetId="12" r:id="rId16"/>
    <sheet state="visible" name="26-04-09 - 080159" sheetId="13" r:id="rId17"/>
    <sheet state="visible" name="26-04-09 - 095330" sheetId="14" r:id="rId18"/>
    <sheet state="visible" name="26-04-09 - 085452" sheetId="15" r:id="rId19"/>
    <sheet state="visible" name="26-04-09 - 160456" sheetId="16" r:id="rId20"/>
    <sheet state="visible" name="26-04-10 - 053211" sheetId="17" r:id="rId21"/>
    <sheet state="visible" name="26-04-13 - 021640" sheetId="18" r:id="rId22"/>
    <sheet state="visible" name="26-04-13 - 045643" sheetId="19" r:id="rId23"/>
    <sheet state="visible" name="26-04-13 - 093230" sheetId="20" r:id="rId24"/>
    <sheet state="visible" name="26-04-14 - 143736" sheetId="21" r:id="rId25"/>
    <sheet state="visible" name="26-04-15 - 040613" sheetId="22" r:id="rId26"/>
    <sheet state="visible" name="26-04-15 - 044610" sheetId="23" r:id="rId27"/>
    <sheet state="visible" name="26-04-15 - 044725" sheetId="24" r:id="rId28"/>
    <sheet state="visible" name="26-04-15 - 072913" sheetId="25" r:id="rId29"/>
    <sheet state="visible" name="26-04-15 - 075946" sheetId="26" r:id="rId30"/>
    <sheet state="visible" name="26-04-15 - 131835" sheetId="27" r:id="rId31"/>
    <sheet state="visible" name="26-04-17 - 085823" sheetId="28" r:id="rId32"/>
    <sheet state="visible" name="26-04-17 - 095216" sheetId="29" r:id="rId33"/>
    <sheet state="visible" name="26-04-17 - 095219" sheetId="30" r:id="rId34"/>
    <sheet state="visible" name="26-04-18 - 074528" sheetId="31" r:id="rId35"/>
    <sheet state="visible" name="26-04-20 - 031109" sheetId="32" r:id="rId36"/>
    <sheet state="visible" name="26-04-15 - 014725" sheetId="33" r:id="rId37"/>
    <sheet state="visible" name="26-04-20 - 015031" sheetId="34" r:id="rId38"/>
    <sheet state="visible" name="26-04-21 - 075705" sheetId="35" r:id="rId39"/>
    <sheet state="visible" name="26-04-21 - 143748" sheetId="36" r:id="rId40"/>
    <sheet state="visible" name="26-04-21 - 153221" sheetId="37" r:id="rId41"/>
    <sheet state="visible" name="26-04-22 - 042147" sheetId="38" r:id="rId42"/>
    <sheet state="visible" name="26-04-22 - 100229" sheetId="39" r:id="rId43"/>
    <sheet state="visible" name="26-04-23 - 091145" sheetId="40" r:id="rId44"/>
    <sheet state="visible" name="26-04-24 - 090811" sheetId="41" r:id="rId45"/>
    <sheet state="visible" name="26-04-24 - 050813" sheetId="42" r:id="rId46"/>
    <sheet state="visible" name="26-04-28 - 032732" sheetId="43" r:id="rId47"/>
    <sheet state="visible" name="26-04-28 - 043707" sheetId="44" r:id="rId48"/>
    <sheet state="visible" name="26-04-28 - 073139" sheetId="45" r:id="rId49"/>
    <sheet state="visible" name="26-04-28 - 080708" sheetId="46" r:id="rId50"/>
    <sheet state="visible" name="26-04-28 - 085233" sheetId="47" r:id="rId51"/>
    <sheet state="visible" name="26-04-28 - 135310" sheetId="48" r:id="rId52"/>
    <sheet state="visible" name="26-04-22 - 043209" sheetId="49" r:id="rId53"/>
    <sheet state="visible" name="26-04-28 - 043841" sheetId="50" r:id="rId54"/>
    <sheet state="visible" name="26-04-28 - 063139" sheetId="51" r:id="rId55"/>
    <sheet state="visible" name="26-05-02 - 024141" sheetId="52" r:id="rId56"/>
    <sheet state="visible" name="26-05-06 - 144803" sheetId="53" r:id="rId57"/>
    <sheet state="visible" name="26-05-06 - 145751" sheetId="54" r:id="rId58"/>
    <sheet state="visible" name="26-05-05 - 150600" sheetId="55" r:id="rId59"/>
    <sheet state="visible" name="26-05-05 - 014340" sheetId="56" r:id="rId60"/>
    <sheet state="visible" name="26-05-05 - 044547" sheetId="57" r:id="rId61"/>
    <sheet state="visible" name="26-05-05 - 065247" sheetId="58" r:id="rId62"/>
    <sheet state="visible" name="26-05-08 - 084732" sheetId="59" r:id="rId63"/>
    <sheet state="visible" name="26-05-08 - 093257" sheetId="60" r:id="rId64"/>
    <sheet state="visible" name="26-05-04 - 101348" sheetId="61" r:id="rId65"/>
    <sheet state="visible" name="26-05-08 - 110215" sheetId="62" r:id="rId66"/>
    <sheet state="visible" name="26-05-04 - 124246" sheetId="63" r:id="rId67"/>
    <sheet state="visible" name="26-05-04 - 150339" sheetId="64" r:id="rId68"/>
    <sheet state="visible" name="26-05-11 - 035632" sheetId="65" r:id="rId69"/>
    <sheet state="visible" name="26-05-11 - 075128" sheetId="66" r:id="rId70"/>
    <sheet state="visible" name="26-05-11 - 144247" sheetId="67" r:id="rId71"/>
    <sheet state="visible" name="26-05-12 - 042753" sheetId="68" r:id="rId72"/>
    <sheet state="visible" name="26-05-12 - 103308" sheetId="69" r:id="rId73"/>
    <sheet state="visible" name="26-05-13 - 021226" sheetId="70" r:id="rId74"/>
    <sheet state="visible" name="26-05-13 - 051115" sheetId="71" r:id="rId75"/>
    <sheet state="visible" name="26-05-13 - 082135" sheetId="72" r:id="rId76"/>
    <sheet state="visible" name="26-05-13 - 095643" sheetId="73" r:id="rId77"/>
    <sheet state="visible" name="26-05-13 - 101141" sheetId="74" r:id="rId78"/>
    <sheet state="visible" name="26-05-13 - 152306" sheetId="75" r:id="rId79"/>
    <sheet state="visible" name="26-05-14 - 035140" sheetId="76" r:id="rId80"/>
    <sheet state="visible" name="26-05-14 - 051700" sheetId="77" r:id="rId81"/>
    <sheet state="visible" name="26-05-14 - 082629" sheetId="78" r:id="rId82"/>
    <sheet state="visible" name="26-05-15 - 092705" sheetId="79" r:id="rId83"/>
    <sheet state="visible" name="26-05-15 - 104719" sheetId="80" r:id="rId84"/>
    <sheet state="visible" name="26-05-15 - 133642" sheetId="81" r:id="rId85"/>
    <sheet state="visible" name="26-05-16 - 082748" sheetId="82" r:id="rId86"/>
    <sheet state="visible" name="26-05-16 - 135116" sheetId="83" r:id="rId87"/>
    <sheet state="visible" name="26-05-17 - 065628" sheetId="84" r:id="rId88"/>
    <sheet state="visible" name="26-05-18 - 024130" sheetId="85" r:id="rId89"/>
    <sheet state="visible" name="26-05-18 - 035636" sheetId="86" r:id="rId90"/>
    <sheet state="visible" name="26-05-18 - 082124" sheetId="87" r:id="rId91"/>
    <sheet state="visible" name="26-05-18 - 145316" sheetId="88" r:id="rId92"/>
    <sheet state="visible" name="26-05-18 - 163227" sheetId="89" r:id="rId93"/>
    <sheet state="visible" name="26-05-19 - 021608" sheetId="90" r:id="rId94"/>
    <sheet state="visible" name="26-05-19 - 022113" sheetId="91" r:id="rId95"/>
    <sheet state="visible" name="26-05-19 - 034107" sheetId="92" r:id="rId96"/>
    <sheet state="visible" name="26-05-19 - 091225" sheetId="93" r:id="rId97"/>
    <sheet state="visible" name="26-05-19 - 094630" sheetId="94" r:id="rId98"/>
    <sheet state="visible" name="26-05-20 - 082100" sheetId="95" r:id="rId99"/>
    <sheet state="visible" name="26-05-20 - 092615" sheetId="96" r:id="rId100"/>
    <sheet state="visible" name="26-05-20 - 113119" sheetId="97" r:id="rId101"/>
    <sheet state="visible" name="26-05-20 - 141149" sheetId="98" r:id="rId102"/>
    <sheet state="visible" name="26-05-21 - 085348" sheetId="99" r:id="rId103"/>
    <sheet state="visible" name="26-05-22 - 093636" sheetId="100" r:id="rId104"/>
    <sheet state="visible" name="26-05-13 - 095222" sheetId="101" r:id="rId105"/>
    <sheet state="visible" name="26-05-25 - 020107" sheetId="102" r:id="rId106"/>
    <sheet state="visible" name="26-05-25 - 053308" sheetId="103" r:id="rId107"/>
    <sheet state="visible" name="26-05-25 - 083717" sheetId="104" r:id="rId108"/>
    <sheet state="visible" name="26-05-25 - 092112" sheetId="105" r:id="rId109"/>
    <sheet state="visible" name="26-05-25 - 141730" sheetId="106" r:id="rId110"/>
    <sheet state="visible" name="26-05-26 - 110655" sheetId="107" r:id="rId111"/>
    <sheet state="visible" name="26-05-26 - 112659" sheetId="108" r:id="rId112"/>
    <sheet state="visible" name="26-05-27 - 084727" sheetId="109" r:id="rId113"/>
    <sheet state="visible" name="26-05-27 - 090207" sheetId="110" r:id="rId114"/>
    <sheet state="visible" name="26-05-27 - 103321" sheetId="111" r:id="rId115"/>
    <sheet state="visible" name="26-05-27 - 135202" sheetId="112" r:id="rId116"/>
    <sheet state="visible" name="26-05-28 - 105650" sheetId="113" r:id="rId117"/>
    <sheet state="visible" name="26-05-28 - 140155" sheetId="114" r:id="rId118"/>
    <sheet state="visible" name="26-05-29 - 083717" sheetId="115" r:id="rId119"/>
    <sheet state="visible" name="26-05-29 - 092203" sheetId="116" r:id="rId120"/>
    <sheet state="visible" name="26-05-29 - 101413" sheetId="117" r:id="rId121"/>
    <sheet state="visible" name="26-06-01 - 091137" sheetId="118" r:id="rId122"/>
    <sheet state="visible" name="26-06-01 - 095757" sheetId="119" r:id="rId123"/>
    <sheet state="visible" name="26-06-01 - 101019" sheetId="120" r:id="rId124"/>
    <sheet state="visible" name="26-06-01 - 135735" sheetId="121" r:id="rId125"/>
    <sheet state="visible" name="26-06-02 - 015125" sheetId="122" r:id="rId126"/>
    <sheet state="visible" name="26-06-02 - 144244" sheetId="123" r:id="rId127"/>
    <sheet state="visible" name="26-06-03 - 040658" sheetId="124" r:id="rId128"/>
    <sheet state="visible" name="26-06-03 - 042127" sheetId="125" r:id="rId129"/>
    <sheet state="visible" name="26-06-03 - 043622" sheetId="126" r:id="rId130"/>
    <sheet state="visible" name="26-06-03 - 144336" sheetId="127" r:id="rId131"/>
    <sheet state="visible" name="26-06-04 - 035532" sheetId="128" r:id="rId132"/>
    <sheet state="visible" name="26-06-04 - 040130" sheetId="129" r:id="rId133"/>
    <sheet state="visible" name="26-06-05 - 050249" sheetId="130" r:id="rId134"/>
    <sheet state="visible" name="26-06-05 - 084646" sheetId="131" r:id="rId135"/>
    <sheet state="visible" name="26-06-05 - 090158" sheetId="132" r:id="rId136"/>
    <sheet state="visible" name="26-06-05 - 092148" sheetId="133" r:id="rId137"/>
    <sheet state="visible" name="26-06-05 - 143212" sheetId="134" r:id="rId138"/>
    <sheet state="visible" name="26-06-08 - 042637" sheetId="135" r:id="rId139"/>
    <sheet state="visible" name="26-06-08 - 085643" sheetId="136" r:id="rId140"/>
    <sheet state="visible" name="26-06-08 - 092735" sheetId="137" r:id="rId141"/>
    <sheet state="visible" name="26-06-08 - 100218" sheetId="138" r:id="rId142"/>
    <sheet state="visible" name="26-06-08 - 103141" sheetId="139" r:id="rId143"/>
    <sheet state="visible" name="26-06-09 - 024254" sheetId="140" r:id="rId144"/>
    <sheet state="visible" name="26-06-09 - 082144" sheetId="141" r:id="rId145"/>
    <sheet state="visible" name="26-06-10 - 022123" sheetId="142" r:id="rId146"/>
    <sheet state="visible" name="26-06-10 - 030409" sheetId="143" r:id="rId147"/>
    <sheet state="visible" name="26-06-10 - 033203" sheetId="144" r:id="rId148"/>
    <sheet state="visible" name="26-06-10 - 035109" sheetId="145" r:id="rId149"/>
    <sheet state="visible" name="26-06-10 - 043005" sheetId="146" r:id="rId150"/>
  </sheets>
  <definedNames/>
  <calcPr/>
</workbook>
</file>

<file path=xl/sharedStrings.xml><?xml version="1.0" encoding="utf-8"?>
<sst xmlns="http://schemas.openxmlformats.org/spreadsheetml/2006/main" count="10018" uniqueCount="4569">
  <si>
    <t>Tuần</t>
  </si>
  <si>
    <t>Thời gian họp</t>
  </si>
  <si>
    <t>Customer ID</t>
  </si>
  <si>
    <t>Project ID</t>
  </si>
  <si>
    <t>Team</t>
  </si>
  <si>
    <t>Leader tham gia họp</t>
  </si>
  <si>
    <t>Tên cuộc họp</t>
  </si>
  <si>
    <t>Thời lượng</t>
  </si>
  <si>
    <t>Link video</t>
  </si>
  <si>
    <t>Summary</t>
  </si>
  <si>
    <t>Link summary</t>
  </si>
  <si>
    <t>Tuần 15</t>
  </si>
  <si>
    <t>pzi-jwhv-igh (2026-04-07 03:06 GMT)</t>
  </si>
  <si>
    <t>1 phút</t>
  </si>
  <si>
    <t>https://drive.google.com/file/d/1HtQ2F5v-ltqNmogLJDiH0Nb2x84ga1sD/view</t>
  </si>
  <si>
    <t>Cuộc họp bàn về việc phối hợp giữa các bộ phận liên quan đến phần brand trong dự án omnichannel, nhằm tối ưu hóa quy trình và định hướng sử dụng kênh phù hợp. Mục đích chính là thảo luận để hoàn thiện bản tổng hợp (summary) và danh sách (listing) trước khi chốt kế hoạch cuối cùng.</t>
  </si>
  <si>
    <t>https://docs.google.com/spreadsheets/d/12lhXE87vYPpYwXjT63f0GqBLJKSF49f5hwN5iJ0w4IY/edit#gid=381248333</t>
  </si>
  <si>
    <t>15 phút</t>
  </si>
  <si>
    <t>https://drive.google.com/file/d/1MJp6uxIK7IZUOqHk2CpoIaUKLUqGo202/view</t>
  </si>
  <si>
    <t>Cuộc họp tập trung rà soát tiến độ và kế hoạch phát triển các tính năng của hệ thống Marquee, bao gồm dashboard YouTube, phân quyền admin, và báo cáo AI quản lý kênh. Mục đích chính là hoàn chỉnh các tính năng để chuyển sang giai đoạn đóng gói app, phục vụ dùng thử và demo cho khách hàng Trung Ng...</t>
  </si>
  <si>
    <t>https://docs.google.com/spreadsheets/d/12lhXE87vYPpYwXjT63f0GqBLJKSF49f5hwN5iJ0w4IY/edit#gid=719807340</t>
  </si>
  <si>
    <t>24 phút</t>
  </si>
  <si>
    <t>https://drive.google.com/file/d/1a5o7qbQvD1tpvSXqehvkBZt0VzSf94H6/view</t>
  </si>
  <si>
    <t>Cuộc họp trao đổi về việc đồng bộ và tích hợp thương hiệu, hệ sinh thái sản phẩm giữa hai dự án Omnichannel và HiChat nhằm tối ưu nhận diện thương hiệu và hiệu quả tiếp cận khách hàng. Mục đích chính là thống nhất kế hoạch xây dựng lại hệ thống thương hiệu và kênh truyền thông, cũng như phân định...</t>
  </si>
  <si>
    <t>https://docs.google.com/spreadsheets/d/12lhXE87vYPpYwXjT63f0GqBLJKSF49f5hwN5iJ0w4IY/edit#gid=613858032</t>
  </si>
  <si>
    <t>kox-ghfo-hoo (2026-04-07 07:02 GMT)</t>
  </si>
  <si>
    <t>18 phút</t>
  </si>
  <si>
    <t>https://drive.google.com/file/d/1yVME0-mzTpAKSAwPwOyRstGs7yY4qHws/view</t>
  </si>
  <si>
    <t>Cuộc họp review tiến độ phát triển sản phẩm tuần trước và lên kế hoạch cho tuần này, tập trung vào các tính năng dashboard (YouTube, TikTok, Facebook, Instagram, GSC, GA4), phân quyền người dùng, và chuẩn bị bản app để demo cho Trung Nguyên vào thứ 5. Nhóm cũng thống nhất quy trình xử lý bug và p...</t>
  </si>
  <si>
    <t>https://docs.google.com/spreadsheets/d/12lhXE87vYPpYwXjT63f0GqBLJKSF49f5hwN5iJ0w4IY/edit#gid=776359699</t>
  </si>
  <si>
    <t>sjk-pnyf-nqr (2026-04-07 08:38 GMT)</t>
  </si>
  <si>
    <t>https://drive.google.com/file/d/1n_31MrVCXHBtMc-W229Ks7266zaiEn1h/view</t>
  </si>
  <si>
    <t>Cuộc họp tập trung thảo luận về giao diện người dùng (UI) và tính năng báo cáo hiệu suất kênh YouTube trong dự án. Mục đích chính là hoàn thiện thiết kế, phân bổ các phần báo cáo, và lên kế hoạch phát triển, kiểm thử, cũng như tích hợp thêm tính năng KPI cho từng thành viên.</t>
  </si>
  <si>
    <t>https://docs.google.com/spreadsheets/d/12lhXE87vYPpYwXjT63f0GqBLJKSF49f5hwN5iJ0w4IY/edit#gid=297945086</t>
  </si>
  <si>
    <t>avj-irxk-coj (2026-04-07 09:06 GMT)</t>
  </si>
  <si>
    <t>22 phút</t>
  </si>
  <si>
    <t>https://drive.google.com/file/d/1B2RSNXxALN0azB8C3u46pc4h9bfSrDvr/view</t>
  </si>
  <si>
    <t>Cuộc họp tập trung vào việc rà soát và triển khai các công việc liên quan đến dự án Villa, Tour, Combo, tích hợp chatbot và website hỗ trợ. Mục đích chính là đánh giá tiến độ, sửa lỗi, chuẩn bị dữ liệu cào, điều chỉnh booking flow, đồng thời thảo luận kế hoạch tích hợp các công cụ chatbot và quy ...</t>
  </si>
  <si>
    <t>https://docs.google.com/spreadsheets/d/12lhXE87vYPpYwXjT63f0GqBLJKSF49f5hwN5iJ0w4IY/edit#gid=1434122094</t>
  </si>
  <si>
    <t>dyf-tixy-tkr (2026-04-07 08:28 GMT)</t>
  </si>
  <si>
    <t>43 phút</t>
  </si>
  <si>
    <t>https://drive.google.com/file/d/1f0hmWLK7HI1xzJexXGPBlRfQj9Au6K_J/view</t>
  </si>
  <si>
    <t>Cuộc họp thảo luận về kế hoạch quản lý và triển khai nội dung marketing, xây dựng cộng đồng trên các kênh Facebook, Discord, TikTok cho các dự án AI Marketing như Marquee, Maki và các dự án liên quan. Mục đích chính là phân bổ công việc, điều chỉnh nội dung và định hướng triển khai để tăng tương ...</t>
  </si>
  <si>
    <t>https://docs.google.com/spreadsheets/d/12lhXE87vYPpYwXjT63f0GqBLJKSF49f5hwN5iJ0w4IY/edit#gid=1343629697</t>
  </si>
  <si>
    <t>hpc-ukck-qgd (2026-04-08 04:41 GMT)</t>
  </si>
  <si>
    <t>11 phút</t>
  </si>
  <si>
    <t>https://drive.google.com/file/d/1IjDtJ7Q3sMK3y0IHj_i888PWgUdgRSol/view</t>
  </si>
  <si>
    <t>Cuộc họp thảo luận về các phản hồi và đề xuất cải tiến giao diện, chức năng quản lý thành viên và trải nghiệm sử dụng trong dự án Omnichannel và MakiChat. Mục đích chính nhằm tối ưu quy trình thao tác trên phần quản lý chiến dịch, nâng cao khả năng xem và điều chỉnh vai trò thành viên trong nhóm ...</t>
  </si>
  <si>
    <t>https://docs.google.com/spreadsheets/d/12lhXE87vYPpYwXjT63f0GqBLJKSF49f5hwN5iJ0w4IY/edit#gid=1939727268</t>
  </si>
  <si>
    <t>59.0. POPTECH</t>
  </si>
  <si>
    <t>[2025] Build Securityzone</t>
  </si>
  <si>
    <t>TECH</t>
  </si>
  <si>
    <t>Nguyễn Văn Thương, Dương Quang Vũ, Nguyễn Chí Thanh</t>
  </si>
  <si>
    <t>iyf-qjjh-sih (2026-04-09 07:37 GMT)</t>
  </si>
  <si>
    <t>https://drive.google.com/file/d/1qLqAMN6YYi0_oweCVMYrzMV8d-Sem-xi/view</t>
  </si>
  <si>
    <t>Cuộc họp diễn ra nhằm giới thiệu và trao đổi về nhóm thực tập sinh ngành Công nghệ Thông tin, xác định vai trò chuyên môn của từng người cũng như hướng dẫn quy trình thực tập, đánh giá KPI và xác định công việc liên quan tới dự án hiện có. Mục đích chính là thiết lập nhân sự, công cụ theo dõi côn...</t>
  </si>
  <si>
    <t>https://docs.google.com/spreadsheets/d/12lhXE87vYPpYwXjT63f0GqBLJKSF49f5hwN5iJ0w4IY/edit#gid=521061255</t>
  </si>
  <si>
    <t>kdm-bwxf-ufd (2026-04-09 08:47 GMT)</t>
  </si>
  <si>
    <t>0 phút</t>
  </si>
  <si>
    <t>https://drive.google.com/file/d/1iK2_psXDe8E9X4cVdr79ccLHXTZ7_sCl/view</t>
  </si>
  <si>
    <t>Cuộc họp không có nội dung thảo luận cụ thể, chỉ ghi nhận lời cảm ơn. Không rõ chủ đề hay mục đích chính của cuộc họp.</t>
  </si>
  <si>
    <t>https://docs.google.com/spreadsheets/d/12lhXE87vYPpYwXjT63f0GqBLJKSF49f5hwN5iJ0w4IY/edit#gid=43389025</t>
  </si>
  <si>
    <t>Nguyễn Văn Thương, Nguyễn Hữu Thuật, Trần Anh Tiên, Dương Quang Vũ, Nguyễn Chí Thanh, Nguyễn Tiến Huy, Châu Hoàng Thúc</t>
  </si>
  <si>
    <t>32 phút</t>
  </si>
  <si>
    <t>https://drive.google.com/file/d/1ai8cUYF37bI0yh-lGP8pehUP1ODRl4v_/view</t>
  </si>
  <si>
    <t>Cuộc họp tập trung thảo luận về tiến độ, giải pháp và phân công công việc liên quan đến việc phát triển, cập nhật các task về hệ thống AI, đổi logo và giao diện web, chatbot, thu thập dữ liệu từ mạng xã hội, cũng như các dự án tại Đà Nẵng và forum. Mục đích chính là cập nhật tiến độ từng dự án, t...</t>
  </si>
  <si>
    <t>https://docs.google.com/spreadsheets/d/12lhXE87vYPpYwXjT63f0GqBLJKSF49f5hwN5iJ0w4IY/edit#gid=840328025</t>
  </si>
  <si>
    <t>ckq-nxtq-qkv (2026-04-09 15:24 GMT)</t>
  </si>
  <si>
    <t>17 phút</t>
  </si>
  <si>
    <t>https://drive.google.com/file/d/1nXJ14va6f5kKJHUlbT4xOVFVYVVSvZsU/view</t>
  </si>
  <si>
    <t>Cuộc họp tập trung thảo luận về định hướng thương hiệu và xây dựng website mới cho dự án MakiChat, hợp nhất hai sản phẩm Omi và Hai Jack thành Maki Jack, đồng thời bàn về vấn đề thiếu nhân sự cho các dự án marketing thuộc các brand CloudGate, Security Zone và Marquee. Mục đích chính là thống nhất...</t>
  </si>
  <si>
    <t>https://docs.google.com/spreadsheets/d/12lhXE87vYPpYwXjT63f0GqBLJKSF49f5hwN5iJ0w4IY/edit#gid=2147263564</t>
  </si>
  <si>
    <t>cwt-rapg-cvo (2026-04-10 04:41 GMT)</t>
  </si>
  <si>
    <t>https://drive.google.com/file/d/1bB7_WO_REYujtO_YHO_mxvpiO0WX_F0X/view</t>
  </si>
  <si>
    <t>Cuộc họp tập trung thảo luận về thiết kế layout và phát triển trang combo tour cho website, với mục đích hoàn thiện giao diện, chức năng lọc (filter) và tích hợp dữ liệu tour, combo, cũng như lên kế hoạch xử lý chi tiết và phân công công việc liên quan đến data và thiết kế giao diện.</t>
  </si>
  <si>
    <t>https://docs.google.com/spreadsheets/d/12lhXE87vYPpYwXjT63f0GqBLJKSF49f5hwN5iJ0w4IY/edit#gid=871533734</t>
  </si>
  <si>
    <t>Tuần 16</t>
  </si>
  <si>
    <t>[2026] Xây dựng hệ thống AI localteam</t>
  </si>
  <si>
    <t>Nguyễn Văn Thương, Anh Minh</t>
  </si>
  <si>
    <t>ukv-bayv-cmf (2026-04-13 01:21 GMT)</t>
  </si>
  <si>
    <t>14 phút</t>
  </si>
  <si>
    <t>https://drive.google.com/file/d/1O-pmLtGbg6JktwZYDD4yfhjR6J1KDWDZ/view</t>
  </si>
  <si>
    <t>Cuộc họp tập trung vào việc thiết lập và chuẩn hóa quy trình Google Meet/meeting log, gồm cấu hình tài khoản, record, thư mục lưu trữ, cách điền dữ liệu và cách tách dữ liệu theo team. Ngoài ra, hai bên thống nhất về quy ước đặt tên file theo tháng, quyền truy cập link flow và việc chuẩn bị video...</t>
  </si>
  <si>
    <t>https://docs.google.com/spreadsheets/d/12lhXE87vYPpYwXjT63f0GqBLJKSF49f5hwN5iJ0w4IY/edit#gid=2114974678</t>
  </si>
  <si>
    <t>Nguyễn Hữu Thuật, Dương Thị Mai, Trần Thị Hà Tiên, Anh Minh</t>
  </si>
  <si>
    <t>chk-nmwd-oih (2026-04-13 03:55 GMT)</t>
  </si>
  <si>
    <t>https://drive.google.com/file/d/1Y78c5QSeg9Wfkh8RNY4QduTkaCXvyx07/view</t>
  </si>
  <si>
    <t>Cuộc họp tập trung vào cập nhật tiến độ nhiều dự án, gồm MyKey, Amigeno, HiChat, Flow AI, Go Đà Nẵng, Maki/Makie và Cloud Gate. Mục đích chính là rà soát tình trạng hiện tại, thống nhất việc triển khai tiếp theo, phân bổ nhân sự, và xử lý các vấn đề kỹ thuật/brand còn tồn đọng.</t>
  </si>
  <si>
    <t>https://docs.google.com/spreadsheets/d/12lhXE87vYPpYwXjT63f0GqBLJKSF49f5hwN5iJ0w4IY/edit#gid=1929956439</t>
  </si>
  <si>
    <t>59.0. SecurityZone</t>
  </si>
  <si>
    <t>[2025] Dự án Markee</t>
  </si>
  <si>
    <t>cvw-actv-pai (2026-04-13 08:54 GMT)</t>
  </si>
  <si>
    <t>19 phút</t>
  </si>
  <si>
    <t>https://drive.google.com/file/d/1AEx8XdxK96hgqE0sAVoP1p0szZp-h3Xf/view</t>
  </si>
  <si>
    <t>Cuộc họp tập trung vào việc rà soát trạng thái kết nối và quyền truy cập các tài khoản Google phục vụ Google Analytics, Google Search Console/GSC và các công cụ liên quan. Ngoài ra, nhóm trao đổi về tiến độ dashboard, nguồn dữ liệu, cách xử lý lỗi, phân chia công việc trong team và một số hướng t...</t>
  </si>
  <si>
    <t>https://docs.google.com/spreadsheets/d/12lhXE87vYPpYwXjT63f0GqBLJKSF49f5hwN5iJ0w4IY/edit#gid=439108111</t>
  </si>
  <si>
    <t>qpn-hnhs-rcx (2026-04-14 13:00 GMT)</t>
  </si>
  <si>
    <t>52 phút</t>
  </si>
  <si>
    <t>https://drive.google.com/file/d/1GErmKECgJp7mvkqXAhmBUGVLufDrHj4V/view</t>
  </si>
  <si>
    <t>1. Cuộc họp tập trung vào việc rà soát tiến độ các task, kiểm tra việc đăng bài/tracking, bàn giao và phân chia lại trách nhiệm giữa các dự án Go Đà Nẵng, Marquee, MakiChat.  
2. Nội dung chính cũng bao gồm thống nhất quy trình quản lý file tracking, tạo/điền các kênh social, nghiên cứu đối thủ/n...</t>
  </si>
  <si>
    <t>https://docs.google.com/spreadsheets/d/12lhXE87vYPpYwXjT63f0GqBLJKSF49f5hwN5iJ0w4IY/edit#gid=181159026</t>
  </si>
  <si>
    <t>Nguyễn Văn Thương, Anh Minh, Đình Minh</t>
  </si>
  <si>
    <t>boj-goqk-rqe (2026-04-15 03:50 GMT)</t>
  </si>
  <si>
    <t>7 phút</t>
  </si>
  <si>
    <t>https://drive.google.com/file/d/1-ES6CXeqB3vXzkuAUbqYPxfmSKx5xmDH/view</t>
  </si>
  <si>
    <t>Cuộc họp tập trung vào việc kiểm tra trạng thái triển khai bài đăng/quảng cáo trên Tiktok, cách xử lý dữ liệu trả về như view, like, share và các bước xin quyền/thu thập thông tin từ các nền tảng khác nhau. Mục đích chính là thống nhất cách test, theo dõi kết quả và phân công xử lý theo từng chỗ/...</t>
  </si>
  <si>
    <t>https://docs.google.com/spreadsheets/d/12lhXE87vYPpYwXjT63f0GqBLJKSF49f5hwN5iJ0w4IY/edit#gid=503737629</t>
  </si>
  <si>
    <t>MKT, TECH</t>
  </si>
  <si>
    <t>Nguyễn Văn Thương, Dương Thị Mai, Phạm Bá Thuận, Trương Tất Quang Vinh, Anh Minh</t>
  </si>
  <si>
    <t>tdd-mtce-jhc (2026-04-15 04:13 GMT) – Chat transcript</t>
  </si>
  <si>
    <t>6 phút</t>
  </si>
  <si>
    <t>https://drive.google.com/file/d/13N0Yuj2PpzXr9eXI7T3KYUFLJ9G5RckD/view</t>
  </si>
  <si>
    <t>Cuộc họp tập trung thống nhất các hạng mục cần chỉnh sửa trên dock, bổ sung/điều chỉnh UI liên quan đến Facebook Fanpage và Facebook Group, cũng như phần tài khoản admin. Đồng thời, nhóm trao đổi và chốt deadline cho từng phần công việc, đặc biệt là phần dock, UI và list giám sát đối thủ.</t>
  </si>
  <si>
    <t>https://docs.google.com/spreadsheets/d/12lhXE87vYPpYwXjT63f0GqBLJKSF49f5hwN5iJ0w4IY/edit#gid=200001199</t>
  </si>
  <si>
    <t>TECH, MKT</t>
  </si>
  <si>
    <t>tdd-mtce-jhc (2026-04-15 04:13 GMT)</t>
  </si>
  <si>
    <t>https://drive.google.com/file/d/1qXKMs2gTrCtIt_rfMycKHZfA5eTV7k67/view</t>
  </si>
  <si>
    <t>Cuộc họp tập trung rà soát và làm rõ các tính năng của tool setting liên quan đến đăng bài, comment, theo dõi chiến dịch và quản lý tài khoản/group Facebook. Mục đích chính là thống nhất phạm vi làm thử, cách test, cách quản lý nhiều tài khoản, đồng thời chốt các đầu việc cần chuẩn bị trước khi c...</t>
  </si>
  <si>
    <t>https://docs.google.com/spreadsheets/d/12lhXE87vYPpYwXjT63f0GqBLJKSF49f5hwN5iJ0w4IY/edit#gid=170329310</t>
  </si>
  <si>
    <t>ndb-inca-ujz (2026-04-15 06:59 GMT)</t>
  </si>
  <si>
    <t>8 phút</t>
  </si>
  <si>
    <t>https://drive.google.com/file/d/1WZvWYGiR7DTrTLjKke81DaexBXTEZASa/view</t>
  </si>
  <si>
    <t>Cuộc họp tập trung cập nhật tiến độ các tính năng đang phát triển, gồm Flashball Youtube, phân quyền, Quản lý đội nhóm, set KPI, dashboard và Shifting. Mục đích chính là báo cáo trạng thái công việc trong tuần, làm rõ các vấn đề liên quan đến re-verify/xin quyền, dashboard Facebook/Instagram, Tik...</t>
  </si>
  <si>
    <t>https://docs.google.com/spreadsheets/d/12lhXE87vYPpYwXjT63f0GqBLJKSF49f5hwN5iJ0w4IY/edit#gid=1891850908</t>
  </si>
  <si>
    <t>upq-nbmp-gqy (2026-04-15 07:33 GMT)</t>
  </si>
  <si>
    <t>https://drive.google.com/file/d/1G_sP5X2DJ5cSb8Yrysnr35n2HLrGF61p/view</t>
  </si>
  <si>
    <t>1. Cuộc họp tập trung vào việc trao đổi về yêu cầu crawl dữ liệu, tổ chức/lưu trữ dữ liệu, và tùy biến một công cụ/quy trình quản lý công việc (PM) để bổ sung các trường như KPI, task, priority, estimate, status và các thông tin liên quan.  
2. Mục đích chính là thống nhất phạm vi công việc cần l...</t>
  </si>
  <si>
    <t>https://docs.google.com/spreadsheets/d/12lhXE87vYPpYwXjT63f0GqBLJKSF49f5hwN5iJ0w4IY/edit#gid=1297848502</t>
  </si>
  <si>
    <t>juz-tvyu-uik (2026-04-15 11:53 GMT)</t>
  </si>
  <si>
    <t>29 phút</t>
  </si>
  <si>
    <t>https://drive.google.com/file/d/1DH-IwdgSbLYNf3cXUFMXYiuBHPKdWope/view</t>
  </si>
  <si>
    <t>Cuộc họp tập trung vào việc rà soát tiến độ website/dự án Go Đà Nẵng, đặc biệt là các vấn đề về domain, bản tiếng Hàn, giao diện UI/UX và trạng thái các phần chức năng như combo, cào data, Naver/KakaoTalk. Mục đích chính là chốt lại các hạng mục cần làm, timeline và những phần cần chỉnh sửa để ti...</t>
  </si>
  <si>
    <t>https://docs.google.com/spreadsheets/d/12lhXE87vYPpYwXjT63f0GqBLJKSF49f5hwN5iJ0w4IY/edit#gid=682280645</t>
  </si>
  <si>
    <t>vmd-mcku-fpy (2026-04-17 08:32 GMT)</t>
  </si>
  <si>
    <t>9 phút</t>
  </si>
  <si>
    <t>https://drive.google.com/file/d/1MlYsydeNsgUs8uN1i7v8rn4wxCZZiWvL/view</t>
  </si>
  <si>
    <t>Cuộc họp là buổi trao đổi giới thiệu ứng viên cho vị trí Intern VA và kiểm tra mức độ phù hợp với công việc tại công ty. Nội dung chính xoay quanh giới thiệu bản thân, xác nhận định hướng công việc, cách đánh giá KPI, quy trình onboarding và khả năng giao tiếp ngoại ngữ.</t>
  </si>
  <si>
    <t>https://docs.google.com/spreadsheets/d/12lhXE87vYPpYwXjT63f0GqBLJKSF49f5hwN5iJ0w4IY/edit#gid=1465670474</t>
  </si>
  <si>
    <t>tje-osor-kdq (2026-04-17 08:55 GMT)</t>
  </si>
  <si>
    <t>31 phút</t>
  </si>
  <si>
    <t>https://drive.google.com/file/d/1dfjwogjfFQGj0prLq4HcR63M7o68WcdB/view</t>
  </si>
  <si>
    <t>Cuộc họp tập trung vào việc rà soát, chỉnh sửa và hoàn thiện các tính năng liên quan đến KPI/chỉ số theo chiến dịch, theo nền tảng và theo thành viên trong hệ thống. Bên cạnh đó, cuộc họp cũng trao đổi về quy trình đo lường theo tuần, hiển thị tiến độ trên dashboard, tích hợp UTM/lead flow, và yê...</t>
  </si>
  <si>
    <t>https://docs.google.com/spreadsheets/d/12lhXE87vYPpYwXjT63f0GqBLJKSF49f5hwN5iJ0w4IY/edit#gid=1115539690</t>
  </si>
  <si>
    <t>https://drive.google.com/file/d/1zQBTIhyLYFNb3YjXuwc5n35ADU3JDmWA/view</t>
  </si>
  <si>
    <t>Cuộc họp tập trung hướng dẫn cách cập nhật và chuẩn hóa dữ liệu khách hàng trong hệ thống, đặc biệt là các trường thông tin liên quan đến company, location, list/customer, ngày tạo, người liên hệ, dịch vụ, giá trị hợp đồng, trạng thái và các mốc pipeline. Mục đích chính là để đảm bảo dữ liệu được...</t>
  </si>
  <si>
    <t>https://docs.google.com/spreadsheets/d/12lhXE87vYPpYwXjT63f0GqBLJKSF49f5hwN5iJ0w4IY/edit#gid=1317988991</t>
  </si>
  <si>
    <t>qym-bhoo-nqz (2026-04-18 07:10 GMT)</t>
  </si>
  <si>
    <t>16 phút</t>
  </si>
  <si>
    <t>https://drive.google.com/file/d/1md_uML2lwg6fT4JKqQIZR5npv005aCht/view</t>
  </si>
  <si>
    <t>Cuộc họp là buổi trao đổi giới thiệu ứng viên với team Marketing và làm rõ định hướng công việc, mức độ phù hợp với vị trí Content. Nội dung chính xoay quanh giới thiệu công ty, mô hình làm việc theo KPI, lộ trình thăng tiến, yêu cầu làm việc và kỳ vọng đối với thực tập sinh.</t>
  </si>
  <si>
    <t>https://docs.google.com/spreadsheets/d/12lhXE87vYPpYwXjT63f0GqBLJKSF49f5hwN5iJ0w4IY/edit#gid=1432955178</t>
  </si>
  <si>
    <t>Tuần 17</t>
  </si>
  <si>
    <t>tmc-ftfn-mhn (2026-04-20 01:55 GMT)</t>
  </si>
  <si>
    <t>36 phút</t>
  </si>
  <si>
    <t>https://drive.google.com/file/d/1uAZH3ZdlCuaXJYNUIYT5680KugMeTYnp/view</t>
  </si>
  <si>
    <t>Cuộc họp triển khai và phân công các dự án công nghệ nội bộ, bao gồm xây dựng hệ thống CRM/database khách hàng, tự động hóa quy trình bằng AI, crawl data, và quản lý tuyển dụng. Mục đích chính là phân chia công việc cho các thành viên và xác định hướng triển khai các tính năng mới.</t>
  </si>
  <si>
    <t>https://docs.google.com/spreadsheets/d/12lhXE87vYPpYwXjT63f0GqBLJKSF49f5hwN5iJ0w4IY/edit#gid=27562904</t>
  </si>
  <si>
    <t>Copy of tdd-mtce-jhc (2026-04-15 04:13 GMT)</t>
  </si>
  <si>
    <t>https://drive.google.com/file/d/1K-pS6BaEiOr6mYKmjASUtuCBTO-TuZfu/view</t>
  </si>
  <si>
    <t>Cuộc họp tập trung thảo luận và phân công công việc liên quan đến chỉnh sửa dock, UI, thêm tài khoản admin, cũng như hoàn thiện tính năng và danh sách giám sát đối thủ. Mục đích chính là xác định deadline từng phần và đảm bảo tiến độ hoàn thành các hạng mục được giao.</t>
  </si>
  <si>
    <t>https://docs.google.com/spreadsheets/d/12lhXE87vYPpYwXjT63f0GqBLJKSF49f5hwN5iJ0w4IY/edit#gid=884025617</t>
  </si>
  <si>
    <t>Nguyễn Văn Thương, Nguyễn Hữu Thuật, Dương Thị Mai, Anh Minh</t>
  </si>
  <si>
    <t>Copy of dzt-icnr-ggq (2026-04-20 03:56 GMT)</t>
  </si>
  <si>
    <t>https://drive.google.com/file/d/1ikhWRGrJGdlmKX1xxQzhcbG_v2fG204y/view</t>
  </si>
  <si>
    <t>Cuộc họp tập trung thảo luận về tiến độ và phân bổ nguồn lực trong các dự án PM Deloitte, Maki, Cao Sơn và Trung Nguyên. Mục đích chính là cập nhật tiến độ các task, xử lý automation, chuẩn bị nội dung demo video cho Trung Nguyên, đồng thời sắp xếp lịch họp và báo cáo tiến độ trong tuần.</t>
  </si>
  <si>
    <t>https://docs.google.com/spreadsheets/d/12lhXE87vYPpYwXjT63f0GqBLJKSF49f5hwN5iJ0w4IY/edit#gid=1175686769</t>
  </si>
  <si>
    <t>cqf-uoys-pfo (2026-04-21 06:52 GMT) – Chat transcript</t>
  </si>
  <si>
    <t>https://drive.google.com/file/d/1cVB3tUg8Iy9IDrajvVSG9J4ZEf6mLoYv/view</t>
  </si>
  <si>
    <t>Cuộc họp thảo luận về chương trình thực tập kéo dài 3 tháng, thông tin về cách điền danh sách, phân cấp level và KPI, cũng như kế hoạch giao việc và bắt đầu làm việc online. Mục đích chính là hướng dẫn các thực tập sinh quy trình thực hiện, tiêu chí đánh giá và thời gian dự kiến từng level để tiế...</t>
  </si>
  <si>
    <t>https://docs.google.com/spreadsheets/d/12lhXE87vYPpYwXjT63f0GqBLJKSF49f5hwN5iJ0w4IY/edit#gid=745442252</t>
  </si>
  <si>
    <t>hsj-wkje-hxn (2026-04-21 13:33 GMT)</t>
  </si>
  <si>
    <t>39 phút</t>
  </si>
  <si>
    <t>https://drive.google.com/file/d/1I3mK_Zt77DK8fZKQCzovg4ZlJG6yIoon/view</t>
  </si>
  <si>
    <t>Cuộc họp tập trung thảo luận về tiến độ và kế hoạch sản xuất nội dung liên quan đến dự án Maki/MakiChat, bao gồm việc đăng bài trên các kênh TikTok, YouTube, Facebook, nhóm liên quan đến du lịch và phát triển tài liệu hướng dẫn sử dụng công cụ Marquee. Mục đích chính là phân công công việc cụ thể...</t>
  </si>
  <si>
    <t>https://docs.google.com/spreadsheets/d/12lhXE87vYPpYwXjT63f0GqBLJKSF49f5hwN5iJ0w4IY/edit#gid=816551626</t>
  </si>
  <si>
    <t>Nguyễn Văn Thương, Trần Thị Hà Tiên, Nguyễn Hữu Thuật, Trần Anh Tiên, Vũ Thị Ngọc Thảo, Nguyễn Thị Ngọc Huyền</t>
  </si>
  <si>
    <t>xxk-dtge-roz (2026-04-21 14:12 GMT)</t>
  </si>
  <si>
    <t>34 phút</t>
  </si>
  <si>
    <t>https://drive.google.com/file/d/1TQof6Bm0ElNpoXOAIxU65xXqg1aokDgb/view</t>
  </si>
  <si>
    <t>Cuộc họp tập trung thảo luận về các dự án liên quan đến Gold Đà Nẵng, MagiChat, Marquee và MakiChat, với mục đích phân công nhiệm vụ cập nhật nội dung, thiết kế form tương tác người dùng, phát triển trang web và xây dựng hệ thống module phục vụ tư vấn khách hàng theo từng ngành. Cuộc họp cũng nhằ...</t>
  </si>
  <si>
    <t>https://docs.google.com/spreadsheets/d/12lhXE87vYPpYwXjT63f0GqBLJKSF49f5hwN5iJ0w4IY/edit#gid=1125231152</t>
  </si>
  <si>
    <t>Nguyễn Văn Thương, Nguyễn Chí Thanh</t>
  </si>
  <si>
    <t>pbb-kabb-vof (2026-04-22 03:48 GMT)</t>
  </si>
  <si>
    <t>https://drive.google.com/file/d/17fnEq9xZJqX9O_KtOz4crX1QUSUM7t4B/view</t>
  </si>
  <si>
    <t>Cuộc họp thảo luận về việc xây dựng bảng web để hiển thị và quản lý dữ liệu của dự án bao gồm các câu hỏi và tùy chọn liên quan. Mục đích chính là thống nhất cách thức triển khai, lưu trữ, cũng như phân quyền admin cho hệ thống, đồng thời giải quyết các vấn đề liên quan đến code và deploy.</t>
  </si>
  <si>
    <t>https://docs.google.com/spreadsheets/d/12lhXE87vYPpYwXjT63f0GqBLJKSF49f5hwN5iJ0w4IY/edit#gid=1013273451</t>
  </si>
  <si>
    <t>miq-pbgk-rsn (2026-04-22 08:55 GMT)</t>
  </si>
  <si>
    <t>37 phút</t>
  </si>
  <si>
    <t>https://drive.google.com/file/d/1Oc4yBAMbL3AWAdCjG5KUfBcgdStS38_F/view</t>
  </si>
  <si>
    <t>Cuộc họp tập trung thảo luận về tiến độ phát triển hệ thống tự động cào dữ liệu, xử lý transcript video Youtube và nhóm Facebook nhằm chọn lọc bài viết có tương tác cao, tích hợp cảnh báo qua Telegram. Mục đích chính là hoàn thiện workflow, xử lý vấn đề kỹ thuật về IP, session, cơ chế chạy tự độn...</t>
  </si>
  <si>
    <t>https://docs.google.com/spreadsheets/d/12lhXE87vYPpYwXjT63f0GqBLJKSF49f5hwN5iJ0w4IY/edit#gid=2142301770</t>
  </si>
  <si>
    <t>uqt-bekx-svw (2026-04-23 08:36 GMT)</t>
  </si>
  <si>
    <t>https://drive.google.com/file/d/1WRlMGV6hk8Y-GwMUZNqsPQJ7Gz1totH-/view</t>
  </si>
  <si>
    <t>Cuộc họp tập trung vào việc chuẩn bị và điều chỉnh bảng báo giá để gửi cho khách hàng. Nội dung chính là rà soát phạm vi tính năng trong yêu cầu, đánh giá khả năng đáp ứng của bên mình, và thống nhất cần làm một bản báo giá phù hợp để khách xem trước.</t>
  </si>
  <si>
    <t>https://docs.google.com/spreadsheets/d/12lhXE87vYPpYwXjT63f0GqBLJKSF49f5hwN5iJ0w4IY/edit#gid=572729912</t>
  </si>
  <si>
    <t>dtw-jxjg-wbv (2026-04-24 06:58 GMT) – Chat transcript</t>
  </si>
  <si>
    <t>51 phút</t>
  </si>
  <si>
    <t>https://drive.google.com/file/d/1bm39Z6XypDiVjh_kDy8YMRV4013fFtiL/view</t>
  </si>
  <si>
    <t>Cuộc họp tập trung vào việc trình bày và rà soát workflow cào dữ liệu từ các group, chủ yếu liên quan đến LinkedIn/Facebook group, sau đó lưu kết quả vào Google Sheets và gửi thông báo qua Telegram. Mục đích chính là thống nhất cách nhập dữ liệu, điều kiện crawl, giới hạn số bài viết, chi phí sử ...</t>
  </si>
  <si>
    <t>https://docs.google.com/spreadsheets/d/12lhXE87vYPpYwXjT63f0GqBLJKSF49f5hwN5iJ0w4IY/edit#gid=1719763944</t>
  </si>
  <si>
    <t>Copy of dtw-jxjg-wbv (2026-04-24 06:58 GMT)</t>
  </si>
  <si>
    <t>https://drive.google.com/file/d/1TKddrQF69QjiMuSkIh-VXENbazaJXyMV/view</t>
  </si>
  <si>
    <t>Cuộc họp tập trung vào việc trình bày và rà soát các workflow crawl dữ liệu từ các group, chủ yếu xoay quanh việc lấy dữ liệu bài viết, tương tác và link bài viết từ Facebook/LinkedIn, sau đó lưu kết quả về Google Sheets và thông báo qua Telegram. Đồng thời, nhóm cũng bàn về chi phí hạ tầng/API, ...</t>
  </si>
  <si>
    <t>https://docs.google.com/spreadsheets/d/12lhXE87vYPpYwXjT63f0GqBLJKSF49f5hwN5iJ0w4IY/edit#gid=1735637034</t>
  </si>
  <si>
    <t>Tuần 18</t>
  </si>
  <si>
    <t>pow-qgkc-zih (2026-04-28 02:50 GMT)</t>
  </si>
  <si>
    <t>https://drive.google.com/file/d/1KnKt2fSsYqLNqGxD50n-K5EZq2fAWFKg/view</t>
  </si>
  <si>
    <t>Cuộc họp tập trung trao đổi về tiến độ và giải pháp triển khai các tính năng liên quan đến signaling, crawl thông tin, UTM link, setting comment tự động và tích hợp với hệ thống Maki. Mục đích chính là rà soát các phần đang vướng, thống nhất phương án xử lý, phân công thực hiện và kế hoạch hoàn t...</t>
  </si>
  <si>
    <t>https://docs.google.com/spreadsheets/d/12lhXE87vYPpYwXjT63f0GqBLJKSF49f5hwN5iJ0w4IY/edit#gid=13861866</t>
  </si>
  <si>
    <t>oaf-zvzg-egd (2026-04-28 03:28 GMT)</t>
  </si>
  <si>
    <t>https://drive.google.com/file/d/1YdKsABksKpHSiW4VunG_QLN7mIZxFmsb/view</t>
  </si>
  <si>
    <t>Cuộc họp tập trung báo cáo tiến độ các dự án đang triển khai bao gồm Marki, Cao Sơn, Marki Chat, và dự án Go Đà Nẵng. Mục đích chính là đồng bộ thông tin, xử lý các vấn đề kỹ thuật, và lên kế hoạch triển khai marketing cho các sản phẩm.</t>
  </si>
  <si>
    <t>https://docs.google.com/spreadsheets/d/12lhXE87vYPpYwXjT63f0GqBLJKSF49f5hwN5iJ0w4IY/edit#gid=698338549</t>
  </si>
  <si>
    <t>dxw-deew-tju (2026-04-28 06:56 GMT) – Chat transcript</t>
  </si>
  <si>
    <t>https://drive.google.com/file/d/1ncNvizKqrJYoYH2OvV824rT8g1LNWkp-/view</t>
  </si>
  <si>
    <t>Cuộc họp tập trung cập nhật tiến độ phát triển các tính năng của dự án, đặc biệt là các tính năng liên quan đến báo cáo user và tích hợp Cloud với JSPT. Mục đích chính là xác định deadline hoàn thành, thống nhất công nghệ sử dụng frontend và đồng bộ công việc giữa các thành viên để triển khai nha...</t>
  </si>
  <si>
    <t>https://docs.google.com/spreadsheets/d/12lhXE87vYPpYwXjT63f0GqBLJKSF49f5hwN5iJ0w4IY/edit#gid=1622840458</t>
  </si>
  <si>
    <t>ysr-zsjn-zuy (2026-04-28 07:30 GMT)</t>
  </si>
  <si>
    <t>https://drive.google.com/file/d/1eX0_2ftIZVobcn0iKbQMXpfGyk9aBYvi/view</t>
  </si>
  <si>
    <t>Cuộc họp thảo luận về tiến độ và chi tiết kỹ thuật dự án liên quan đến phần mềm tích hợp Google Sheets, giao diện người dùng (UI), và xử lý dữ liệu qua các công cụ như RAT. Mục đích chính là rà soát các lỗi giao diện, đồng bộ dữ liệu, và lên kế hoạch hoàn thiện các tính năng liên quan đến việc gử...</t>
  </si>
  <si>
    <t>https://docs.google.com/spreadsheets/d/12lhXE87vYPpYwXjT63f0GqBLJKSF49f5hwN5iJ0w4IY/edit#gid=168035183</t>
  </si>
  <si>
    <t>ryu-udub-qax (2026-04-28 08:00 GMT)</t>
  </si>
  <si>
    <t>23 phút</t>
  </si>
  <si>
    <t>https://drive.google.com/file/d/12LK-yuOlpG1jBO4bj4yx4xv0UmTSThVv/view</t>
  </si>
  <si>
    <t>Cuộc họp nhằm giới thiệu các bạn thực tập sinh đến công ty, thảo luận về lĩnh vực thế mạnh, thời gian thực tập, quy trình làm việc, hệ thống KPI, thành phần đội nhóm và các dự án thực tế để thực tập sinh hiểu rõ về vị trí Business Analytics (BA). Mục đích chính là cung cấp thông tin, giải đáp thắ...</t>
  </si>
  <si>
    <t>https://docs.google.com/spreadsheets/d/12lhXE87vYPpYwXjT63f0GqBLJKSF49f5hwN5iJ0w4IY/edit#gid=1361367316</t>
  </si>
  <si>
    <t>mpf-dzyd-gmd (2026-04-28 11:56 GMT) – Chat transcript</t>
  </si>
  <si>
    <t>45 phút</t>
  </si>
  <si>
    <t>https://drive.google.com/file/d/1U_cJTai6M9kWoGr6eoAbtN8Xqrn1m3XM/view</t>
  </si>
  <si>
    <t>Cuộc họp thảo luận về việc hoàn thiện và chỉnh sửa giao diện, tính năng các website sản phẩm Maki AI, Maki Chat, Go Đà Nẵng và xây dựng một website tổng hợp cho công ty. Mục đích chính là rà soát các vấn đề tồn đọng, sửa lỗi layout, màu sắc, font chữ, tính năng chatbot, đăng ký tư vấn, cũng như l...</t>
  </si>
  <si>
    <t>https://docs.google.com/spreadsheets/d/12lhXE87vYPpYwXjT63f0GqBLJKSF49f5hwN5iJ0w4IY/edit#gid=1312707846</t>
  </si>
  <si>
    <t>Copy of fgq-fjsf-cye (2026-04-22 02:52 GMT)</t>
  </si>
  <si>
    <t>25 phút</t>
  </si>
  <si>
    <t>https://drive.google.com/file/d/1MhzzG2JkbV0oAo_IrSLcF6DdL-xsiOs_/view</t>
  </si>
  <si>
    <t>Cuộc họp tập trung thảo luận về quy trình quản lý tiến dụng và xử lý thông tin liên quan đến các nhóm DEV, Marketing, Sales và Infra trong dự án. Mục đích chính là phân công nhiệm vụ, trao đổi công cụ, dữ liệu liên quan đến việc liên hệ, xử lý CV, phân quyền người dùng và tối ưu quản lý nội dung.</t>
  </si>
  <si>
    <t>https://docs.google.com/spreadsheets/d/12lhXE87vYPpYwXjT63f0GqBLJKSF49f5hwN5iJ0w4IY/edit#gid=1792920235</t>
  </si>
  <si>
    <t>Copy of mpf-dzyd-gmd (2026-04-28 11:56 GMT)</t>
  </si>
  <si>
    <t>https://drive.google.com/file/d/1YEhE5zaharLOeOyfgExd78jCvukP9WrP/view</t>
  </si>
  <si>
    <t>Cuộc họp tập trung thảo luận việc chỉnh sửa hoàn thiện các website liên quan đến dự án Maki AI, MakiChat và Go Đà Nẵng. Mục đích chính là rà soát, fix lỗi giao diện, nội dung, tính năng tương tác chatbot, đồng thời lập kế hoạch xây dựng website tổng công ty và thống nhất deadline hoàn thành công ...</t>
  </si>
  <si>
    <t>https://docs.google.com/spreadsheets/d/12lhXE87vYPpYwXjT63f0GqBLJKSF49f5hwN5iJ0w4IY/edit#gid=181961218</t>
  </si>
  <si>
    <t>Copy of dxw-deew-tju (2026-04-28 06:56 GMT)</t>
  </si>
  <si>
    <t>https://drive.google.com/file/d/1brXq4n6s8YzG1mJHPhObWMhPy2yOi52c/view</t>
  </si>
  <si>
    <t>Cuộc họp thảo luận về tiến độ phát triển các tính năng trong dự án Marquee, tập trung vào việc hoàn thành các tính năng critical, ước lượng thời gian và đồng bộ công việc giữa các nhóm Dev, AppMarket và UI/UX. Mục đích chính là xác định deadline, thống nhất công nghệ sử dụng, và giải quyết các vấ...</t>
  </si>
  <si>
    <t>https://docs.google.com/spreadsheets/d/12lhXE87vYPpYwXjT63f0GqBLJKSF49f5hwN5iJ0w4IY/edit#gid=228925528</t>
  </si>
  <si>
    <t>mck-chhw-kac (2026-05-02 02:07 GMT)</t>
  </si>
  <si>
    <t>12 phút</t>
  </si>
  <si>
    <t>https://drive.google.com/file/d/1VA0zHq7JmlXXYpB3naZFQZV6J3X9p8Rp/view</t>
  </si>
  <si>
    <t>Cuộc họp là buổi phỏng vấn và trao đổi về vị trí thực tập sinh Content Marketing tại công ty. Mục đích chính là làm rõ kinh nghiệm ứng viên, mong muốn chuyển đổi sang marketing, lộ trình đào tạo, cách thức làm việc và phân công đội nhóm.</t>
  </si>
  <si>
    <t>https://docs.google.com/spreadsheets/d/12lhXE87vYPpYwXjT63f0GqBLJKSF49f5hwN5iJ0w4IY/edit#gid=90635227</t>
  </si>
  <si>
    <t>Tuần 19</t>
  </si>
  <si>
    <t>iae-jrsq-bar (2026-05-06 08:41 GMT)</t>
  </si>
  <si>
    <t>21 phút</t>
  </si>
  <si>
    <t>https://drive.google.com/file/d/18S1prx8-QwXcZB0StsTMrtSlZ_TQcq1Q/view</t>
  </si>
  <si>
    <t>Cuộc họp liên quan đến việc cải thiện giao diện, chức năng và quy trình xử lý thông tin của một sản phẩm công nghệ (không rõ tên cụ thể). Nội dung tập trung vào việc chỉnh sửa các danh mục, bổ sung mô tả, thêm tính năng hỗ trợ người dùng, và thực hiện thông báo qua email hoặc nhóm liên lạc.</t>
  </si>
  <si>
    <t>https://docs.google.com/spreadsheets/d/12lhXE87vYPpYwXjT63f0GqBLJKSF49f5hwN5iJ0w4IY/edit#gid=1752683119</t>
  </si>
  <si>
    <t>xbn-myku-zow (2026-05-06 07:38 GMT)</t>
  </si>
  <si>
    <t>https://drive.google.com/file/d/1OmFBkmM0ukmulKUO68iTp968cEcE5Zc9/view</t>
  </si>
  <si>
    <t>Cuộc họp ngày 2026-05-06 kéo dài 25 phút với sự tham gia của 2 người. Nội dung xoay quanh việc triển khai, thiết lập và tích hợp sản phẩm HiChat và Maki, thảo luận về chi phí, kế hoạch đào tạo và các công việc cần thực hiện để chuẩn bị cho việc ra mắt và vận hành hệ thống.</t>
  </si>
  <si>
    <t>https://docs.google.com/spreadsheets/d/12lhXE87vYPpYwXjT63f0GqBLJKSF49f5hwN5iJ0w4IY/edit#gid=2089243561</t>
  </si>
  <si>
    <t>wfz-nktu-ppw (2026-05-05 13:19 GMT)</t>
  </si>
  <si>
    <t>81 phút</t>
  </si>
  <si>
    <t>https://drive.google.com/file/d/1sMVOd_JlecIEWzcz65FV_bs8clUuedH2/view</t>
  </si>
  <si>
    <t>Cuộc họp ngày 05/05/2026, tập trung vào tiến độ các dự án Go Đà Nẵng, Maki, và Maki Chat, cùng các nhiệm vụ liên quan đến nội dung trên mạng xã hội, blog, và việc mua nhóm (group) để đẩy mạnh tương tác. Mục tiêu chính là hoàn thiện việc research group, xây dựng KPI cụ thể, và tối ưu hóa hoạt động...</t>
  </si>
  <si>
    <t>https://docs.google.com/spreadsheets/d/12lhXE87vYPpYwXjT63f0GqBLJKSF49f5hwN5iJ0w4IY/edit#gid=29300301</t>
  </si>
  <si>
    <t>bsu-yzwu-iuu (2026-05-05 10:08 GMT)</t>
  </si>
  <si>
    <t>13 phút</t>
  </si>
  <si>
    <t>https://drive.google.com/file/d/1Xeg7WwmMW_CausQldvYsuZjbl3j7GmdT/view</t>
  </si>
  <si>
    <t>Cuộc họp ngày 2026-05-05 tập trung vào việc hướng dẫn sử dụng và giải thích chức năng của hệ thống đặt phòng online, các tính năng liên quan đến quản lý phòng, thanh toán, xác nhận thông tin khách hàng và tích hợp các tiện ích bổ sung.</t>
  </si>
  <si>
    <t>https://docs.google.com/spreadsheets/d/12lhXE87vYPpYwXjT63f0GqBLJKSF49f5hwN5iJ0w4IY/edit#gid=729790117</t>
  </si>
  <si>
    <t>ada-czof-zfb (2026-05-05 10:23 GMT)</t>
  </si>
  <si>
    <t>3 phút</t>
  </si>
  <si>
    <t>https://drive.google.com/file/d/1xvuJeXQ1Mqjljz0L5KczZWrZGGemjAep/view</t>
  </si>
  <si>
    <t>Cuộc họp ngắn này trao đổi về cách xử lý nghiệp vụ liên quan đến token, hoạt đơn và thanh toán. Mục đích chính là thảo luận giải pháp cho các tình huống thực tế trong quy trình nghiệp vụ.</t>
  </si>
  <si>
    <t>https://docs.google.com/spreadsheets/d/12lhXE87vYPpYwXjT63f0GqBLJKSF49f5hwN5iJ0w4IY/edit#gid=1241181213</t>
  </si>
  <si>
    <t>gxe-rend-cev (2026-05-05 08:10 GMT)</t>
  </si>
  <si>
    <t>28 phút</t>
  </si>
  <si>
    <t>https://drive.google.com/file/d/1yDd4NcZDp103_sDOufOVtA8-cMM4OcBy/view</t>
  </si>
  <si>
    <t>Cuộc họp diễn ra ngày 05/05/2026 với mục đích thảo luận các vấn đề phát triển và triển khai ứng dụng công nghệ: quản lý webhook, xử lý file dữ liệu, setup hạ tầng hosting (host, database), demo hệ thống, và các yêu cầu khác liên quan đến việc xây dựng môi trường làm việc và sản phẩm công nghệ.</t>
  </si>
  <si>
    <t>https://docs.google.com/spreadsheets/d/12lhXE87vYPpYwXjT63f0GqBLJKSF49f5hwN5iJ0w4IY/edit#gid=52014704</t>
  </si>
  <si>
    <t>dqj-hnpu-edm (2026-05-08 06:50 GMT)</t>
  </si>
  <si>
    <t>42 phút</t>
  </si>
  <si>
    <t>https://drive.google.com/file/d/1FCUrcqPNdemUiECbAo36cMyBzDswrCBn/view</t>
  </si>
  <si>
    <t>Cuộc họp ngày 2026-05-08 xoay quanh kế hoạch phát triển chiến lược tiếp thị và bán sản phẩm, tập trung vào việc tạo nhóm cộng đồng trên các nền tảng như Zalo, Telegram, WhatsApp, xây dựng website, và tối ưu hóa quy trình marketing-sell để tăng hiệu quả hoạt động, đặc biệt trong lĩnh vực cho thuê ...</t>
  </si>
  <si>
    <t>https://docs.google.com/spreadsheets/d/12lhXE87vYPpYwXjT63f0GqBLJKSF49f5hwN5iJ0w4IY/edit#gid=1571397415</t>
  </si>
  <si>
    <t>cpo-jzyg-vmj (2026-05-08 07:56 GMT)</t>
  </si>
  <si>
    <t>57 phút</t>
  </si>
  <si>
    <t>https://drive.google.com/file/d/17hSQCNdzal3wDYeX210AfeOqqudcDZet/view</t>
  </si>
  <si>
    <t>Cuộc họp ngày 2026-05-08 tập trung thảo luận về hệ thống crawl dữ liệu từ các group Facebook và LinkedIn. Mục tiêu chính là đảm bảo tính chính xác, tối ưu quy trình crawl dữ liệu, xây dựng hệ thống dashboard quản lý dữ liệu, và thiết lập cơ chế đánh giá hiệu suất làm việc (KPI) liên quan đến việc...</t>
  </si>
  <si>
    <t>https://docs.google.com/spreadsheets/d/12lhXE87vYPpYwXjT63f0GqBLJKSF49f5hwN5iJ0w4IY/edit#gid=1224096325</t>
  </si>
  <si>
    <t>rrd-dcqh-yuj (2026-05-04 09:09 GMT)</t>
  </si>
  <si>
    <t>https://drive.google.com/file/d/1ISuBrMy08UhQ7oOF9cutPmQFkeVhVwfZ/view</t>
  </si>
  <si>
    <t>Cuộc họp ngày 04/05/2026 tập trung vào nhiều nội dung liên quan đến phát triển công nghệ AI, tối ưu hóa quy trình vận hành, và xây dựng các giải pháp cụ thể trên nền tảng GitHub, quản lý nhóm, và các công cụ truyền thông, marketing. Mục tiêu chính là phân tích, triển khai các công việc liên quan ...</t>
  </si>
  <si>
    <t>https://docs.google.com/spreadsheets/d/12lhXE87vYPpYwXjT63f0GqBLJKSF49f5hwN5iJ0w4IY/edit#gid=950378032</t>
  </si>
  <si>
    <t>aif-truz-oej (2026-05-08 10:11 GMT)</t>
  </si>
  <si>
    <t>https://drive.google.com/file/d/1y-Q-Rv_KhhUxkvtJwCTbSMPVPE9-jHrQ/view</t>
  </si>
  <si>
    <t>Cuộc họp diễn ra vào ngày 08/05/2026, nhằm thảo luận về các công việc triển khai dự án liên quan đến website, công cụ quản lý dữ liệu, và tích hợp hệ thống dành cho khách hàng. Các nội dung chính bao gồm phân bổ nhiệm vụ, xử lý vấn đề tồn đọng, cùng định hướng triển khai các tính năng web mới.
**</t>
  </si>
  <si>
    <t>https://docs.google.com/spreadsheets/d/12lhXE87vYPpYwXjT63f0GqBLJKSF49f5hwN5iJ0w4IY/edit#gid=628822082</t>
  </si>
  <si>
    <t>uqr-kgxu-axr (2026-05-04 08:06 GMT)</t>
  </si>
  <si>
    <t>https://drive.google.com/file/d/1ibKMKGCX13GvXFM8HVW4UeJeAMIjL0Ya/view</t>
  </si>
  <si>
    <t>Cuộc họp ngày 04/05/2026 kéo dài 21 phút, diễn ra với 5 người tham gia, nhằm bàn luận về các nhiệm vụ và quy trình trong việc đăng tuyển, quản lý tương tác bài viết, thiết lập KPI, và triển khai hệ thống tự động hóa phục vụ các hoạt động nội bộ.</t>
  </si>
  <si>
    <t>https://docs.google.com/spreadsheets/d/12lhXE87vYPpYwXjT63f0GqBLJKSF49f5hwN5iJ0w4IY/edit#gid=1885972753</t>
  </si>
  <si>
    <t>bbx-cyyp-edh (2026-05-04 03:55 GMT)</t>
  </si>
  <si>
    <t>https://drive.google.com/file/d/1s9eHQaZii3-iwnOwNnXNmHVlG_vXdpGL/view</t>
  </si>
  <si>
    <t>Cuộc họp tập trung vào việc cập nhật tiến độ các dự án (Marquee, Capstone và Cao Sơn), trao đổi về các tính năng phần mềm (KPI cho admin, user), quảng cáo trên Google/Shopee và tối ưu hóa kênh YouTube của team. Đồng thời, các quy trình dành cho team intern và BA cũng được thảo luận để cải thiện h...</t>
  </si>
  <si>
    <t>https://docs.google.com/spreadsheets/d/12lhXE87vYPpYwXjT63f0GqBLJKSF49f5hwN5iJ0w4IY/edit#gid=683174191</t>
  </si>
  <si>
    <t>Tuần 20</t>
  </si>
  <si>
    <t>pmx-amcd-ozd (2026-05-11 02:56 GMT)</t>
  </si>
  <si>
    <t>27 phút</t>
  </si>
  <si>
    <t>https://drive.google.com/file/d/1me45M78uF8GcLchOI9-Tn6L017KQzysj/view</t>
  </si>
  <si>
    <t>Cuộc họp ngày 2026-05-11 tập trung vào các vấn đề liên quan đến tính năng của website, đồng bộ OTA, tối ưu hiệu suất PageSpeed, báo giá dịch vụ, và tích hợp công cụ MakiChat. Mục đích chính là rà soát các tính năng, báo giá dịch vụ, đảm bảo tính hiệu quả và khả năng thực hiện các yêu cầu hệ thống.</t>
  </si>
  <si>
    <t>https://docs.google.com/spreadsheets/d/12lhXE87vYPpYwXjT63f0GqBLJKSF49f5hwN5iJ0w4IY/edit#gid=603448856</t>
  </si>
  <si>
    <t>krz-fnyz-ycy (2026-05-11 06:58 GMT)</t>
  </si>
  <si>
    <t>https://drive.google.com/file/d/10Z5D_nnZG060qAYPxosX1tz2_xpk8umw/view</t>
  </si>
  <si>
    <t>Cuộc họp diễn ra ngày 11/05/2026, kéo dài 21 phút, với 2 người tham gia. Chủ đề chính xoay quanh việc triển khai và tích hợp các tính năng của các ứng dụng/công cụ như Monkey Chat, HiChat, Marquee AI và các hệ thống liên quan. Mục đích là tối ưu hóa các sản phẩm, nâng cao tính năng, và lên kế hoạ...</t>
  </si>
  <si>
    <t>https://docs.google.com/spreadsheets/d/12lhXE87vYPpYwXjT63f0GqBLJKSF49f5hwN5iJ0w4IY/edit#gid=1323371280</t>
  </si>
  <si>
    <t>abv-qsov-xae (2026-05-11 12:58 GMT)</t>
  </si>
  <si>
    <t>53 phút</t>
  </si>
  <si>
    <t>https://drive.google.com/file/d/1pKEq_mGKkU-J2YRlFc2GziCG7lXLJCYg/view</t>
  </si>
  <si>
    <t>Cuộc họp ngày 11/05/2026 với mục đích chính làm rõ tiến độ và phối hợp triển khai các công việc liên quan đến các dự án như Maki, Cao Sơn, Go Đà Nẵng, và các tính năng tích hợp của Magichat. Đồng thời, cuộc họp cũng tập trung vào việc phân công và xử lý các khó khăn trong quản lý nhân sự, vận hàn...</t>
  </si>
  <si>
    <t>https://docs.google.com/spreadsheets/d/12lhXE87vYPpYwXjT63f0GqBLJKSF49f5hwN5iJ0w4IY/edit#gid=900456021</t>
  </si>
  <si>
    <t>bxs-nukf-unj (2026-05-12 03:39 GMT)</t>
  </si>
  <si>
    <t>https://drive.google.com/file/d/1VchFRc4ZWGJ-qOUgnad_c6ioSNvA_Ee3/view</t>
  </si>
  <si>
    <t>Cuộc họp ngày 12/05/2026 xoay quanh việc giới thiệu tổng quan và định hướng công việc cho các ứng viên Marketing Intern. Nội dung tập trung vào việc mô tả tổ chức, team marketing, quy trình làm việc, các dự án, và chính sách dành cho thực tập sinh.</t>
  </si>
  <si>
    <t>https://docs.google.com/spreadsheets/d/12lhXE87vYPpYwXjT63f0GqBLJKSF49f5hwN5iJ0w4IY/edit#gid=1781611519</t>
  </si>
  <si>
    <t>azk-kxmq-gpm (2026-05-12 08:21 GMT)</t>
  </si>
  <si>
    <t>86 phút</t>
  </si>
  <si>
    <t>https://drive.google.com/file/d/1hpY30yhgOLzwP5-8HCKK72qvoPEKQ7W6/view</t>
  </si>
  <si>
    <t>Cuộc họp ngày 2026-05-12 kéo dài 86 phút, với nội dung tập trung vào việc xử lý các vấn đề kỹ thuật trong các dự án hiện tại, bao gồm quản lý tệp, môi trường triển khai, hệ thống tự động hóa, và các cải tiến cho dự án Go Đà Nẵng và hệ thống bot.</t>
  </si>
  <si>
    <t>https://docs.google.com/spreadsheets/d/12lhXE87vYPpYwXjT63f0GqBLJKSF49f5hwN5iJ0w4IY/edit#gid=77016772</t>
  </si>
  <si>
    <t>fgd-yhkf-gry (2026-05-13 00:58 GMT)</t>
  </si>
  <si>
    <t>https://drive.google.com/file/d/14oaqDZOVTW9toJ-cFtfsa63MFsRfdf-l/view</t>
  </si>
  <si>
    <t>Cuộc họp diễn ra vào ngày 2026-05-13 với sự tham gia của 3 người, thảo luận về các vấn đề liên quan đến KPI, báo giá, hosting, công việc đội nhóm, phân chia nhiệm vụ, và các kế hoạch tiếp theo. Mục đích chính là rà soát tiến độ, xử lý các công việc hiện tại và chuẩn bị tài liệu cho các bước kế tiếp.</t>
  </si>
  <si>
    <t>https://docs.google.com/spreadsheets/d/12lhXE87vYPpYwXjT63f0GqBLJKSF49f5hwN5iJ0w4IY/edit#gid=1027989724</t>
  </si>
  <si>
    <t>msy-qsnk-dwg (2026-05-13 04:30 GMT)</t>
  </si>
  <si>
    <t>https://drive.google.com/file/d/1N2w-R3o1jLgIVNB0rDVD2OphhHb5iMIF/view</t>
  </si>
  <si>
    <t>Cuộc họp tập trung vào cập nhật tiến độ các đầu việc social, tài khoản profile, report task, edit video và phân chia lại công việc giữa các thành viên. Mục đích chính là rà soát trạng thái hiện tại, thống nhất cách triển khai cho từng đầu việc và sắp xếp lại phân công để tránh quá tải.</t>
  </si>
  <si>
    <t>https://docs.google.com/spreadsheets/d/12lhXE87vYPpYwXjT63f0GqBLJKSF49f5hwN5iJ0w4IY/edit#gid=696741632</t>
  </si>
  <si>
    <t>hhq-tycx-bjd (2026-05-13 07:32 GMT)</t>
  </si>
  <si>
    <t>20 phút</t>
  </si>
  <si>
    <t>https://drive.google.com/file/d/1Oi9bYsKNftbR_3vFn9_0yFSVDswRTQeG/view</t>
  </si>
  <si>
    <t>Cuộc họp ngày 2026-05-13 kéo dài 20 phút với 3 người tham gia, thảo luận về việc tối ưu hóa và chỉnh sửa nội dung cũng như giao diện liên quan đến các phần tích hợp API, B2B, CTA, feedback, biểu giá và thông tin trên hệ thống hiện tại. Các vấn đề kỹ thuật, cập nhật nội dung và thay đổi giao diện ...</t>
  </si>
  <si>
    <t>https://docs.google.com/spreadsheets/d/12lhXE87vYPpYwXjT63f0GqBLJKSF49f5hwN5iJ0w4IY/edit#gid=723226844</t>
  </si>
  <si>
    <t>xaz-ujdh-mxq (2026-05-13 08:57 GMT) – Chat transcript</t>
  </si>
  <si>
    <t>https://drive.google.com/file/d/1roqF5pxhcZ3ujMvI4-BLCZHCiP-UqP8k/view</t>
  </si>
  <si>
    <t>Cuộc họp ngày 13/05/2026 chủ yếu xoay quanh việc giới thiệu thực tập sinh từ các trường Đại học, chia sẻ về quy trình thực tập, các nhóm dự án trong công ty, và định hướng lộ trình làm việc dành cho thực tập sinh. Ngoài ra, các vấn đề logistics và thời gian bắt đầu thực tập cũng được thảo luận.</t>
  </si>
  <si>
    <t>https://docs.google.com/spreadsheets/d/12lhXE87vYPpYwXjT63f0GqBLJKSF49f5hwN5iJ0w4IY/edit#gid=1918606885</t>
  </si>
  <si>
    <t>rgq-hycy-bze (2026-05-13 09:28 GMT)</t>
  </si>
  <si>
    <t>https://drive.google.com/file/d/1CAOaHdv8ccJqGXQu2RPbAce4BCmnZc91/view</t>
  </si>
  <si>
    <t>Cuộc họp diễn ra vào ngày 13/05/2026, nhằm thảo luận về hiệu suất và các lỗi của hệ thống chatbot, khả năng tích hợp với các nền tảng (như Zalo cá nhân), so sánh tính năng giữa hệ thống hiện tại với nền tảng đối thủ, và các bước tiếp theo để cải thiện hiệu quả hoạt động.</t>
  </si>
  <si>
    <t>https://docs.google.com/spreadsheets/d/12lhXE87vYPpYwXjT63f0GqBLJKSF49f5hwN5iJ0w4IY/edit#gid=1352044110</t>
  </si>
  <si>
    <t>mde-qpju-kqm (2026-05-13 13:00 GMT)</t>
  </si>
  <si>
    <t>58 phút</t>
  </si>
  <si>
    <t>https://drive.google.com/file/d/1HZ45iEkYnkETBehekKazr9LbSaBR2Cp7/view</t>
  </si>
  <si>
    <t>Cuộc họp tập trung vào việc xây dựng và tối ưu hóa quy trình đăng tin, quản lý phòng trống và tự động hóa tiếp nhận khách cho Go Đà Nẵng, Tele và WhatsApp. Mục đích chính là giảm thao tác nhập liệu thủ công, chuẩn hóa dữ liệu đầu vào và tạo luồng tiếp nhận khách tự động để hỗ trợ bán phòng và quả...</t>
  </si>
  <si>
    <t>https://docs.google.com/spreadsheets/d/12lhXE87vYPpYwXjT63f0GqBLJKSF49f5hwN5iJ0w4IY/edit#gid=1672289555</t>
  </si>
  <si>
    <t>hhq-tycx-bjd (2026-05-14 03:06 GMT)</t>
  </si>
  <si>
    <t>https://drive.google.com/file/d/1JuL3i-XfmPp_gmIlfh7MUk0WtsQ6uWmp/view</t>
  </si>
  <si>
    <t>Cuộc họp diễn ra vào ngày 14/05/2026, với mục tiêu chính là thảo luận và phân công triển khai các công việc liên quan đến việc tạo trang đăng ký trực tuyến, tích hợp trên trang web "Go Đà Nẵng", bao gồm tính năng gửi email đăng ký thành công, cải thiện giao diện người dùng (UI/UX), và một số tích...</t>
  </si>
  <si>
    <t>https://docs.google.com/spreadsheets/d/12lhXE87vYPpYwXjT63f0GqBLJKSF49f5hwN5iJ0w4IY/edit#gid=815191346</t>
  </si>
  <si>
    <t>hhq-tycx-bjd (2026-05-14 04:07 GMT)</t>
  </si>
  <si>
    <t>https://drive.google.com/file/d/1Q1pL4C7qCZPalzmOQX0_tCHeav4_3ru-/view</t>
  </si>
  <si>
    <t>Cuộc họp tập trung vào việc rà soát và chốt phương án báo giá cho các hạng mục website/booking cho nhiều khách hàng, bao gồm trang thông tin cơ bản, booking, đồng bộ OTA, marketing và các gói theo tháng. Đồng thời, cuộc họp cũng thống nhất hướng triển khai test bằng BA, cập nhật file CM và điều c...</t>
  </si>
  <si>
    <t>https://docs.google.com/spreadsheets/d/12lhXE87vYPpYwXjT63f0GqBLJKSF49f5hwN5iJ0w4IY/edit#gid=757649177</t>
  </si>
  <si>
    <t>hhq-tycx-bjd (2026-05-14 07:04 GMT)</t>
  </si>
  <si>
    <t>https://drive.google.com/file/d/1P2giqrV2hUToSnil4vldFkjCPZcuCFdj/view</t>
  </si>
  <si>
    <t>Cuộc họp chủ yếu xoay quanh việc phân công nhiệm vụ giữa HR và các Leader, xác định con số tiêu chuẩn cho việc chốt hợp đồng và tỷ lệ chuyển đổi từ deal sang contract. Mục đích chính là thống nhất quy trình và điều chỉnh KPI mới cho kỳ tới.</t>
  </si>
  <si>
    <t>https://docs.google.com/spreadsheets/d/12lhXE87vYPpYwXjT63f0GqBLJKSF49f5hwN5iJ0w4IY/edit#gid=112229521</t>
  </si>
  <si>
    <t>iij-wmeu-gzq (2026-05-15 08:26 GMT)</t>
  </si>
  <si>
    <t>30 phút</t>
  </si>
  <si>
    <t>https://drive.google.com/file/d/1NoynM5eVtyw1lIv6ASgmn_W3iUxq-GXa/view</t>
  </si>
  <si>
    <t>Cuộc họp chủ yếu xoay quanh vấn đề xác định và điều chỉnh giá cả, quản lý hệ thống đặt phòng, và tích hợp công nghệ thông tin cho các dịch vụ khách sạn. Mục đích chính là tối ưu hóa quy trình bán hàng và các dịch vụ liên quan.</t>
  </si>
  <si>
    <t>https://docs.google.com/spreadsheets/d/12lhXE87vYPpYwXjT63f0GqBLJKSF49f5hwN5iJ0w4IY/edit#gid=1584365992</t>
  </si>
  <si>
    <t>48 phút</t>
  </si>
  <si>
    <t>https://drive.google.com/file/d/1Bp6cvXj1p4d0Yx-5XUJNi5FKPnkgSxU_/view</t>
  </si>
  <si>
    <t>Cuộc họp ngày 15/05/2026 tập trung vào việc phát triển và tích hợp các công cụ AI và dữ liệu tự động trên nhiều nền tảng khác nhau. Mục đích chính là tối ưu hóa quy trình làm việc và cải thiện hệ thống lưu trữ, xử lý dữ liệu.</t>
  </si>
  <si>
    <t>https://docs.google.com/spreadsheets/d/12lhXE87vYPpYwXjT63f0GqBLJKSF49f5hwN5iJ0w4IY/edit#gid=354440817</t>
  </si>
  <si>
    <t>hhq-tycx-bjd (2026-05-15 12:37 GMT)</t>
  </si>
  <si>
    <t>26 phút</t>
  </si>
  <si>
    <t>https://drive.google.com/file/d/1XYP0ME6CEvWr02ggTychOf58IdZqekAq/view</t>
  </si>
  <si>
    <t>Cuộc họp vào ngày 2026-05-15, kéo dài 26 phút, thảo luận về việc thuê và quản lý bất động sản, bao gồm chi phí, quy trình cộng tác viên (CTV) và chính sách chia hoa hồng. Ngoài ra, cuộc họp cũng đề cập đến các giải pháp công nghệ trong việc quản lý khách thuê và hỗ trợ hoạt động kinh doanh.</t>
  </si>
  <si>
    <t>https://docs.google.com/spreadsheets/d/12lhXE87vYPpYwXjT63f0GqBLJKSF49f5hwN5iJ0w4IY/edit#gid=1669870335</t>
  </si>
  <si>
    <t>43.1. CG</t>
  </si>
  <si>
    <t>[2025] Marketing Automation</t>
  </si>
  <si>
    <t>MKT</t>
  </si>
  <si>
    <t>Anh Minh, Chị Tiên</t>
  </si>
  <si>
    <t>apw-zxru-wso (2026-05-16 07:16 GMT)</t>
  </si>
  <si>
    <t>https://drive.google.com/file/d/1q0x6fmaA9e6bX15869dnKklH1BFK7wzi/view</t>
  </si>
  <si>
    <t>Cuộc họp diễn ra vào ngày 2026-05-16, với mục đích chính là thảo luận về vai trò lãnh đạo, quản lý dự án và chiến lược quảng cáo cho Marquee.</t>
  </si>
  <si>
    <t>https://docs.google.com/spreadsheets/d/12lhXE87vYPpYwXjT63f0GqBLJKSF49f5hwN5iJ0w4IY/edit#gid=946495409</t>
  </si>
  <si>
    <t>Anh Minh, Đình Huấn</t>
  </si>
  <si>
    <t>unt-eeuk-scy (2026-05-16 12:56 GMT)</t>
  </si>
  <si>
    <t>https://drive.google.com/file/d/12Ea4ER1QUoFCbCA1Wpg6wzcn_JCbYSSI/view</t>
  </si>
  <si>
    <t>Cuộc họp nhằm giới thiệu và làm rõ về quá trình tuyển dụng, định hướng và nhiệm vụ của các thực tập sinh tại công ty liên quan đến lĩnh vực marketing, đặc biệt là chạy quảng cáo, kỹ năng sales, và các quy định liên quan đến thời gian làm việc, KPI, cùng quy trình làm việc trong dự án. Cuộc họp cũ...</t>
  </si>
  <si>
    <t>https://docs.google.com/spreadsheets/d/12lhXE87vYPpYwXjT63f0GqBLJKSF49f5hwN5iJ0w4IY/edit#gid=1897823719</t>
  </si>
  <si>
    <t>Anh Minh, Trần Anh Tiên</t>
  </si>
  <si>
    <t>hhq-tycx-bjd (2026-05-17 06:02 GMT)</t>
  </si>
  <si>
    <t>https://drive.google.com/file/d/1ICCWr_e9cpt8refY9pKOL8GRGjbquXhV/view</t>
  </si>
  <si>
    <t>Cuộc họp ngày 2026-05-17 kéo dài 27 phút với 4 người tham gia nhằm thảo luận công việc chỉnh sửa và hoàn thiện thiết kế giao diện Landing Page, các yếu tố trên website, và tích hợp chức năng cho dự án Maki AI và Maki Chat.</t>
  </si>
  <si>
    <t>https://docs.google.com/spreadsheets/d/12lhXE87vYPpYwXjT63f0GqBLJKSF49f5hwN5iJ0w4IY/edit#gid=1826557931</t>
  </si>
  <si>
    <t>Tuần 21</t>
  </si>
  <si>
    <t>mqv-scqb-kth (2026-05-18 01:49 GMT)</t>
  </si>
  <si>
    <t>https://drive.google.com/file/d/1qR8dyM4VZS2OefwAn2L_GgZ-Mvq164C1/view</t>
  </si>
  <si>
    <t>Cuộc họp ngày 2026-05-18 kéo dài 23 phút, thảo luận về việc triển khai các dự án liên quan đến Zenfood, Housing Đà Nẵng, CDMP, và các công việc liên quan đến tối ưu quy trình, phát triển giao diện website, và xử lý vấn đề tự động hóa. Mục tiêu chính là phân công nhiệm vụ, xử lý các dự án còn tồn ...</t>
  </si>
  <si>
    <t>https://docs.google.com/spreadsheets/d/12lhXE87vYPpYwXjT63f0GqBLJKSF49f5hwN5iJ0w4IY/edit#gid=904757614</t>
  </si>
  <si>
    <t>hhq-tycx-bjd (2026-05-18 02:56 GMT)</t>
  </si>
  <si>
    <t>https://drive.google.com/file/d/1vitPEFPV51Z6B8Gui4JtfTsLumLSO7BT/view</t>
  </si>
  <si>
    <t>Cuộc họp ngày 18/05/2026 tập trung vào việc đánh giá hiệu quả các chính sách, dự án hiện tại và định hướng phát triển của công ty, bao gồm cải thiện hiệu suất dự án, xây dựng văn hóa nội bộ và định vị phát triển thị trường trong nước và quốc tế.</t>
  </si>
  <si>
    <t>https://docs.google.com/spreadsheets/d/12lhXE87vYPpYwXjT63f0GqBLJKSF49f5hwN5iJ0w4IY/edit#gid=251685273</t>
  </si>
  <si>
    <t>sua-djxm-hws (2026-05-18 07:54 GMT)</t>
  </si>
  <si>
    <t>https://drive.google.com/file/d/1RRSYwiZROA-N8JUh-r0Hu11ip9V66Ylw/view</t>
  </si>
  <si>
    <t>Cuộc họp diễn ra vào ngày 18/05/2026 với sự tham gia của 3 người, thảo luận về việc chỉnh sửa giao diện và nội dung trên nền tảng ứng dụng/công cụ đang phát triển. Nội dung chủ yếu tập trung vào việc xử lý layout, tối ưu trải nghiệm người dùng và định hướng thay đổi chi tiết giao diện theo yêu cầu.</t>
  </si>
  <si>
    <t>https://docs.google.com/spreadsheets/d/12lhXE87vYPpYwXjT63f0GqBLJKSF49f5hwN5iJ0w4IY/edit#gid=1663450757</t>
  </si>
  <si>
    <t>unb-zwbg-uzf (2026-05-18 13:01 GMT)</t>
  </si>
  <si>
    <t>54 phút</t>
  </si>
  <si>
    <t>https://drive.google.com/file/d/1y20Dl40OWw-_0JX4lQDgS8LOYx6kTmdX/view</t>
  </si>
  <si>
    <t>Cuộc họp ngày 2026-05-18 với mục tiêu thảo luận và thúc đẩy các hoạt động liên quan đến triển khai tính năng của dự án Marquee, định hướng lại chiến lược marketing, kiểm tra tiến độ các dự án, và tối ưu các công cụ nội bộ bao gồm MCP, KPI, Omnichannel, và Maki Chat. Đồng thời, cuộc họp nhấn mạnh ...</t>
  </si>
  <si>
    <t>https://docs.google.com/spreadsheets/d/12lhXE87vYPpYwXjT63f0GqBLJKSF49f5hwN5iJ0w4IY/edit#gid=1433140433</t>
  </si>
  <si>
    <t>wkx-yywy-efn (2026-05-18 15:46 GMT)</t>
  </si>
  <si>
    <t>https://drive.google.com/file/d/1YxU9Gqk8RdRlwpKnib2L-lCqGxH0Vgak/view</t>
  </si>
  <si>
    <t>Cuộc họp ngày 2026-05-18 kéo dài 23 phút, với sự tham gia của 2 người, tập trung vào việc thảo luận và chỉnh sửa giao diện các trang web liên quan đến dự án **Maki AI** và **AI Marketing**. Mục tiêu chính bao gồm việc điều chỉnh nội dung trang web, xử lý lỗi sai kỹ thuật, và đảm bảo có bản sao lư...</t>
  </si>
  <si>
    <t>https://docs.google.com/spreadsheets/d/12lhXE87vYPpYwXjT63f0GqBLJKSF49f5hwN5iJ0w4IY/edit#gid=731025286</t>
  </si>
  <si>
    <t>rpc-ikxm-ayg (2026-05-19 01:47 GMT)</t>
  </si>
  <si>
    <t>https://drive.google.com/file/d/1mt4i3G4W_d9eCrE5Bjcona3T-bZT1l4c/view</t>
  </si>
  <si>
    <t>Cuộc họp ngày 2026-05-19 tập trung vào việc thiết lập và thử nghiệm các bước cài đặt, đăng nhập, và sử dụng công cụ crawl dữ liệu thông qua tài khoản LinkedIn, đồng thời phân công và kiểm tra tiến độ công việc liên quan đến Facebook và LinkedIn. Cuộc họp cũng đề cập đến các nhóm làm việc và cơ ch...</t>
  </si>
  <si>
    <t>https://docs.google.com/spreadsheets/d/12lhXE87vYPpYwXjT63f0GqBLJKSF49f5hwN5iJ0w4IY/edit#gid=459093526</t>
  </si>
  <si>
    <t>https://drive.google.com/file/d/12J_UdGHAslBAKgNT7wIRYPLRr3o2k7NK/view</t>
  </si>
  <si>
    <t>Cuộc họp ngày 2026-05-19 tập trung thảo luận về các dự án liên quan đến CloudGate, SkiZone, CDP, Omnichannel và Maki, cùng các nhiệm vụ phát triển giao diện và xử lý dự án gâu Đà Nẵng. Ngoài ra, cuộc họp cũng xác định lại nhân sự và quy trình backup dữ liệu khi thực hiện dự án.</t>
  </si>
  <si>
    <t>https://docs.google.com/spreadsheets/d/12lhXE87vYPpYwXjT63f0GqBLJKSF49f5hwN5iJ0w4IY/edit#gid=276627277</t>
  </si>
  <si>
    <t>cxp-ycex-jbn (2026-05-19 03:09 GMT)</t>
  </si>
  <si>
    <t>10 phút</t>
  </si>
  <si>
    <t>https://drive.google.com/file/d/1ikhxgL2ziXEvi6TTpgAwLI0PhQDnH3Ni/view</t>
  </si>
  <si>
    <t>Cuộc họp ngày 2026-05-19 thảo luận các công việc liên quan đến xây dựng và quản lý dự án website, cụ thể là việc clone giao diện và chức năng quản lý từ một trang mẫu (Villa) sang các trang mới (About và Apartment). Cuộc họp cũng đề cập đến phân công công việc và đặt deadline để triển khai các ph...</t>
  </si>
  <si>
    <t>https://docs.google.com/spreadsheets/d/12lhXE87vYPpYwXjT63f0GqBLJKSF49f5hwN5iJ0w4IY/edit#gid=1257098675</t>
  </si>
  <si>
    <t>wbn-dugv-ioc (2026-05-19 08:38 GMT)</t>
  </si>
  <si>
    <t>https://drive.google.com/file/d/1hoMeYo3VgOw6k8Pyrb2_u0Pyyd_wTkpN/view</t>
  </si>
  <si>
    <t>Cuộc họp bàn về việc phát triển và chỉnh sửa một website cho khách hàng, tập trung vào thay đổi nội dung, kiểm tra dịch vụ và tạo phiên bản ngôn ngữ tiếng Anh cho các trang còn thiếu. Mục đích chính là đảm bảo hoàn thiện website theo đúng yêu cầu của khách hàng và nội dung được cập nhật đầy đủ.</t>
  </si>
  <si>
    <t>https://docs.google.com/spreadsheets/d/12lhXE87vYPpYwXjT63f0GqBLJKSF49f5hwN5iJ0w4IY/edit#gid=172195853</t>
  </si>
  <si>
    <t>jnb-ycjz-uve (2026-05-19 09:22 GMT)</t>
  </si>
  <si>
    <t>https://drive.google.com/file/d/1WkOgJUMKp0EE5X-7pvUBV4j-lgzLvgwE/view</t>
  </si>
  <si>
    <t>Cuộc họp diễn ra vào ngày 2026-05-19, thảo luận về việc triển khai một dự án xây dựng website cho công ty ANC với các trang thông tin cơ bản và các chức năng liên quan đến dịch vụ. Mục tiêu chính là xác định quy trình công việc, phân bổ nguồn lực và timeline để hoàn thành dự án.</t>
  </si>
  <si>
    <t>https://docs.google.com/spreadsheets/d/12lhXE87vYPpYwXjT63f0GqBLJKSF49f5hwN5iJ0w4IY/edit#gid=288472743</t>
  </si>
  <si>
    <t>syg-jxpo-cfi (2026-05-20 07:56 GMT)</t>
  </si>
  <si>
    <t>https://drive.google.com/file/d/15sVasj0VtY7XQU6gD1W3Yfnaqq0XH0Ro/view</t>
  </si>
  <si>
    <t>Cuộc họp diễn ra ngày 20/5/2026 nhằm thảo luận về các công việc liên quan đến chuyển giao và quản lý phần code dự án, triển khai tính năng mới, đồng thời xác định trách nhiệm của từng thành viên trong việc tiếp nhận và xử lý công việc.</t>
  </si>
  <si>
    <t>https://docs.google.com/spreadsheets/d/12lhXE87vYPpYwXjT63f0GqBLJKSF49f5hwN5iJ0w4IY/edit#gid=637938638</t>
  </si>
  <si>
    <t>spu-tuph-gfw (2026-05-20 09:00 GMT)</t>
  </si>
  <si>
    <t>https://drive.google.com/file/d/1j2nA534lttAEeeP3RZbGpZGFt9vioDB9/view</t>
  </si>
  <si>
    <t>Cuộc họp diễn ra vào ngày 2026-05-20 nhằm thảo luận về các công việc liên quan đến quản lý server, triển khai nhân sự mới và phân công trách nhiệm trong các bộ phận DevOps, System và team Mikey. Các chủ đề chính bao gồm phân bổ nhiệm vụ vận hành server, quá trình tách server, và kế hoạch triển kh...</t>
  </si>
  <si>
    <t>https://docs.google.com/spreadsheets/d/12lhXE87vYPpYwXjT63f0GqBLJKSF49f5hwN5iJ0w4IY/edit#gid=1560961462</t>
  </si>
  <si>
    <t>hhq-tycx-bjd (2026-05-20 10:47 GMT)</t>
  </si>
  <si>
    <t>https://drive.google.com/file/d/1OvYF-BBGcMXtNOQnKdK-7MfeDq07DVxN/view</t>
  </si>
  <si>
    <t>Cuộc họp ngày 2026-05-20 kéo dài 17 phút với sự tham gia của 2 người. Mục đích chính xoay quanh việc hoàn thiện các tính năng và chức năng cho một số dự án công nghệ bao gồm tích hợp bot Telegram, quy trình gửi dữ liệu lưu trú, tích hợp API AI và cào dữ liệu từ Shopee.</t>
  </si>
  <si>
    <t>https://docs.google.com/spreadsheets/d/12lhXE87vYPpYwXjT63f0GqBLJKSF49f5hwN5iJ0w4IY/edit#gid=716502459</t>
  </si>
  <si>
    <t>ewm-dowt-jiy (2026-05-20 13:00 GMT)</t>
  </si>
  <si>
    <t>https://drive.google.com/file/d/1IVxldxW9abo6nmcsidplcpM3mE10XWTZ/view</t>
  </si>
  <si>
    <t>Cuộc họp ngày 20/05/2026 xoay quanh việc cập nhật tiến độ các dự án đang triển khai, theo dõi hoạt động của các thành viên, và phân bổ công việc cho team. Mục tiêu chính là đảm bảo hiệu quả công việc và chuẩn bị nội dung cho website mới của công ty agency.</t>
  </si>
  <si>
    <t>https://docs.google.com/spreadsheets/d/12lhXE87vYPpYwXjT63f0GqBLJKSF49f5hwN5iJ0w4IY/edit#gid=1282713500</t>
  </si>
  <si>
    <t>hhq-tycx-bjd (2026-05-21 07:02 GMT)</t>
  </si>
  <si>
    <t>https://drive.google.com/file/d/1RTJ80_fUDhZfadPcqsTD6CalX5THiG3m/view</t>
  </si>
  <si>
    <t>Cuộc họp ngày 21/05/2026 tập trung thảo luận về việc triển khai các tính năng mới liên quan đến quản lý và đăng ký tạm trú cho khách nước ngoài và khách Việt Nam, nhằm cải thiện quy trình nhập dữ liệu, quản lý thông tin khách lưu trú, tự động hóa nhắc nhở liên quan đến hạn visa, và tối ưu hóa côn...</t>
  </si>
  <si>
    <t>https://docs.google.com/spreadsheets/d/12lhXE87vYPpYwXjT63f0GqBLJKSF49f5hwN5iJ0w4IY/edit#gid=812217999</t>
  </si>
  <si>
    <t>vtz-wcsg-uxb (2026-05-22 08:57 GMT)</t>
  </si>
  <si>
    <t>https://drive.google.com/file/d/1gYW5ZILEf0HqBvSudWNEO4vlYAYSswGi/view</t>
  </si>
  <si>
    <t>Cuộc họp ngày 22/05/2026 kéo dài 18 phút, với sự tham gia của 4 người, tập trung thảo luận về các vấn đề kỹ thuật trong việc triển khai, sửa lỗi và cải tiến giao diện, chức năng của một số nền tảng (Facebook, LinkedIn, Zalo) và các tính năng liên quan đến việc cào dữ liệu, đồng bộ dữ liệu, triển ...</t>
  </si>
  <si>
    <t>https://docs.google.com/spreadsheets/d/12lhXE87vYPpYwXjT63f0GqBLJKSF49f5hwN5iJ0w4IY/edit#gid=423377933</t>
  </si>
  <si>
    <t>xaz-ujdh-mxq (2026-05-13 08:57 GMT)</t>
  </si>
  <si>
    <t>https://drive.google.com/file/d/1FCohpx5WTfP5uA2pnx-C6WverDNL2o9y/view</t>
  </si>
  <si>
    <t>Cuộc họp ngày 2026-05-13 với sự tham gia của 2 người, nhằm giới thiệu các vị trí thực tập tại công ty, thảo luận kế hoạch tham gia thực tập, lộ trình công việc và các yêu cầu liên quan đến chương trình thực tập.</t>
  </si>
  <si>
    <t>https://docs.google.com/spreadsheets/d/12lhXE87vYPpYwXjT63f0GqBLJKSF49f5hwN5iJ0w4IY/edit#gid=2003067199</t>
  </si>
  <si>
    <t>Tuần 22</t>
  </si>
  <si>
    <t>[2026] Website StarTech</t>
  </si>
  <si>
    <t>Văn Thương, Dương Quang Vũ, Thu Huyền</t>
  </si>
  <si>
    <t>jao-hpvi-xaf (2026-05-25 01:36 GMT)</t>
  </si>
  <si>
    <t>https://drive.google.com/file/d/1BHsvID3p-2wvBTXjvBgn72cHDa-W-ReK/view</t>
  </si>
  <si>
    <t>Cuộc họp diễn ra vào ngày 2026-05-25, kéo dài 7 phút, với sự tham gia của 2 người. Nội dung chính xoay quanh việc đánh giá và chỉnh sửa thiết kế các trang, sự đồng nhất về bố cục, định dạng của trang web, và hướng dẫn thực hiện các tác vụ liên quan.</t>
  </si>
  <si>
    <t>https://docs.google.com/spreadsheets/d/12lhXE87vYPpYwXjT63f0GqBLJKSF49f5hwN5iJ0w4IY/edit#gid=1055834595</t>
  </si>
  <si>
    <t>Văn Thương, Mai, Chị Tiên, Anh Minh</t>
  </si>
  <si>
    <t>onh-gtvp-ofz (2026-05-25 04:01 GMT)</t>
  </si>
  <si>
    <t>41 phút</t>
  </si>
  <si>
    <t>https://drive.google.com/file/d/1s3D-yY5u4Em1ioQpZe8-By8CXa5UEKB7/view</t>
  </si>
  <si>
    <t>Cuộc họp ngày 25/05/2026 kéo dài 41 phút với chủ đề chính xoay quanh việc chuẩn hóa quy trình làm việc trong dự án Marquee, bao gồm thiết lập KPI, phân bổ tài khoản, quản lý công cụ hỗ trợ (tool seeding) và các thủ tục liên quan. Mục tiêu nhằm tối ưu hiệu suất nhóm và đưa ra định hướng cụ thể cho...</t>
  </si>
  <si>
    <t>https://docs.google.com/spreadsheets/d/12lhXE87vYPpYwXjT63f0GqBLJKSF49f5hwN5iJ0w4IY/edit#gid=1002529363</t>
  </si>
  <si>
    <t>[2026] Xây dựng hệ thống AI localteam (MỚI)</t>
  </si>
  <si>
    <t>Văn Thương, Anh Minh, Huỳnh Hoàng</t>
  </si>
  <si>
    <t>hhq-tycx-bjd (2026-05-25 07:42 GMT)</t>
  </si>
  <si>
    <t>https://drive.google.com/file/d/1tmlgo3isTgHNAg1ruLfIXA90eqW9z5ax/view</t>
  </si>
  <si>
    <t>Cuộc họp tập trung vào việc thảo luận và đề xuất cách tự động hóa quy trình xây dựng, thu thập và chia sẻ bộ kỹ năng (skill) và thư viện tri thức (knowledge base) thông qua sử dụng AI và extension trên Chrome. Mục tiêu chính là cải thiện hiệu quả làm việc nhóm qua việc tiêu chuẩn hóa và tự động h...</t>
  </si>
  <si>
    <t>https://docs.google.com/spreadsheets/d/12lhXE87vYPpYwXjT63f0GqBLJKSF49f5hwN5iJ0w4IY/edit#gid=1913858064</t>
  </si>
  <si>
    <t>Văn Thương, Minh Hoàng, Anh Minh</t>
  </si>
  <si>
    <t>iqa-yhai-sip (2026-05-25 08:39 GMT)</t>
  </si>
  <si>
    <t>https://drive.google.com/file/d/1WHKbgolWOb1_IAJaf_KfBbDgBhvt2GEG/view</t>
  </si>
  <si>
    <t>Cuộc họp ngày 2026-05-25 xoay quanh việc triển khai và tích hợp các công cụ quản lý tin nhắn cùng hệ thống KPI Tracker, với mục tiêu tối ưu hóa dữ liệu thu thập, hiệu quả phân tích và quản lý tài khoản mạng xã hội.</t>
  </si>
  <si>
    <t>https://docs.google.com/spreadsheets/d/12lhXE87vYPpYwXjT63f0GqBLJKSF49f5hwN5iJ0w4IY/edit#gid=1010994760</t>
  </si>
  <si>
    <t>Văn Thương, Mai, Anh Minh, Chị Tiên, Phương Uyển</t>
  </si>
  <si>
    <t>vmy-msbs-uhi (2026-05-25 12:57 GMT)</t>
  </si>
  <si>
    <t>https://drive.google.com/file/d/1j-zMH1jl4GME81u7BJj_Mtm2Of8uIiMF/view</t>
  </si>
  <si>
    <t>Cuộc họp ngày 2026-05-25 kéo dài 31 phút, với 4 người tham gia. Nội dung chính xoay quanh việc cập nhật tiến độ các dự án hiện tại, xử lý KPI, định hướng công việc marketing cho Marquee, và thống nhất KPI cho các nhiệm vụ liên quan đến việc tăng cường hiệu suất quảng cáo và seeding.</t>
  </si>
  <si>
    <t>https://docs.google.com/spreadsheets/d/12lhXE87vYPpYwXjT63f0GqBLJKSF49f5hwN5iJ0w4IY/edit#gid=1803533846</t>
  </si>
  <si>
    <t>ifh-hjmy-dso (2026-05-26 10:03 GMT)</t>
  </si>
  <si>
    <t>https://drive.google.com/file/d/1pkJiVq67-qrAEpj8ywDBw6ypgP9GZ2wW/view</t>
  </si>
  <si>
    <t>Cuộc họp diễn ra vào ngày 2026-05-26, kéo dài 16 phút, với 2 thành viên tham gia. Nội dung tập trung vào việc triển khai các hoạt động của công ty Marquee Agency trong lĩnh vực marketing outsource, định hướng nhiệm vụ và đặt ra KPI cụ thể cho tuần. Đồng thời đề cập đến việc sử dụng công cụ AI và ...</t>
  </si>
  <si>
    <t>https://docs.google.com/spreadsheets/d/12lhXE87vYPpYwXjT63f0GqBLJKSF49f5hwN5iJ0w4IY/edit#gid=910515240</t>
  </si>
  <si>
    <t>apw-zxru-wso (2026-05-26 10:48 GMT)</t>
  </si>
  <si>
    <t>https://drive.google.com/file/d/1do53OOOFEAD2DGzlKHO0U7wSscxyzzRm/view</t>
  </si>
  <si>
    <t>Cuộc họp ngày 26/05/2026 kéo dài 17 phút, với sự tham gia của 3 người, tập trung trao đổi về việc định hình và thiết kế lại giao diện, nội dung cho trang web công ty AMC – một agency marketing B2B. Nội dung chính xoay quanh việc chỉnh sửa giao diện, định hướng lại phong cách trình bày và cung cấp...</t>
  </si>
  <si>
    <t>https://docs.google.com/spreadsheets/d/12lhXE87vYPpYwXjT63f0GqBLJKSF49f5hwN5iJ0w4IY/edit#gid=1875252097</t>
  </si>
  <si>
    <t>Anh Minh, Nguyễn Văn Thương, Nguyễn Tài Quý, Đô Đức An, Huỳnh Nguyễn Ngọc Hoàng</t>
  </si>
  <si>
    <t>crh-iqhq-bpc (2026-05-27 07:54 GMT)</t>
  </si>
  <si>
    <t>https://drive.google.com/file/d/1wf6MlaXtrkY9bAytnM9oDQSM21nZ2GLl/view</t>
  </si>
  <si>
    <t>Cuộc họp diễn ra vào ngày 27-05-2026, thảo luận về việc phát triển và tối ưu hóa hệ thống Central AI, bao gồm các tính năng lưu trữ thông tin, tổng hợp dữ liệu từ người dùng, và phân loại kỹ năng. Mục đích chính là đảm bảo hệ thống hoạt động tự động, tạo ra trải nghiệm đơn giản, thuận tiện cho ng...</t>
  </si>
  <si>
    <t>https://docs.google.com/spreadsheets/d/12lhXE87vYPpYwXjT63f0GqBLJKSF49f5hwN5iJ0w4IY/edit#gid=116686204</t>
  </si>
  <si>
    <t>Anh Minh, Nguyễn Văn Thương, Dương Thị Mai, Phạm Đặng Phương Uyển</t>
  </si>
  <si>
    <t>sch-ngnf-nsu (2026-05-27 08:27 GMT) – Chat transcript</t>
  </si>
  <si>
    <t>https://drive.google.com/file/d/19mHyhRZPW1TlW4Lt4mYtlw3qTerHqfEZ/view</t>
  </si>
  <si>
    <t>Cuộc họp ngày 2026-05-27 kéo dài 19 phút, với sự tham gia của 4 người, tập trung thảo luận về các chỉ tiêu (KPI) và cơ chế thưởng/phạt liên quan đến hiệu suất công việc. Mục đích chính là thống nhất cách thiết lập chỉ số KPI, mức thưởng, và cách xử lý các trường hợp không đạt KPI.</t>
  </si>
  <si>
    <t>https://docs.google.com/spreadsheets/d/12lhXE87vYPpYwXjT63f0GqBLJKSF49f5hwN5iJ0w4IY/edit#gid=1275413763</t>
  </si>
  <si>
    <t>Anh Minh, Nguyễn Văn Thương, Nguyễn Văn Nguyên, Nguyễn Minh Hoàng</t>
  </si>
  <si>
    <t>fde-ydbt-mgi (2026-05-27 09:30 GMT)</t>
  </si>
  <si>
    <t>38 phút</t>
  </si>
  <si>
    <t>https://drive.google.com/file/d/1qRKY9CS2zlIdJIRth1zGFA7JMJWgcSR3/view</t>
  </si>
  <si>
    <t>Cuộc họp ngày 27/05/2026 thảo luận về các vấn đề kỹ thuật liên quan đến quản lý và xử lý dữ liệu qua tài khoản Facebook, phương pháp crawl data (lấy dữ liệu) từ nhiều nguồn khác nhau, và triển khai các giải pháp VPS (Virtual Private Server) và Extension để tối đa hóa hiệu suất hệ thống.</t>
  </si>
  <si>
    <t>https://docs.google.com/spreadsheets/d/12lhXE87vYPpYwXjT63f0GqBLJKSF49f5hwN5iJ0w4IY/edit#gid=530154088</t>
  </si>
  <si>
    <t>eky-jkth-hgo (2026-05-27 13:01 GMT)</t>
  </si>
  <si>
    <t>https://drive.google.com/file/d/1LXjuEqpFN58Lnp-yKfSsmaJ5kgQUFQL5/view</t>
  </si>
  <si>
    <t>Cuộc họp diễn ra vào ngày 2026-05-27 với sự tham gia của 4 người, thời lượng kéo dài 18 phút. Nội dung cuộc họp tập trung vào việc tuyển dụng và giao nhiệm vụ cho các bạn thực tập sinh của công ty Marquee. Các thông tin về công ty, chế độ làm việc, quy trình, dự án và nhiệm vụ dự kiến được trình ...</t>
  </si>
  <si>
    <t>https://docs.google.com/spreadsheets/d/12lhXE87vYPpYwXjT63f0GqBLJKSF49f5hwN5iJ0w4IY/edit#gid=1295758987</t>
  </si>
  <si>
    <t>hhq-tycx-bjd (2026-05-28 10:30 GMT)</t>
  </si>
  <si>
    <t>https://drive.google.com/file/d/1p7y2Ty0O2wVKofl7ijjGrIjs5jmoy40A/view</t>
  </si>
  <si>
    <t>Cuộc họp ngày 2026-05-28 kéo dài 10 phút, tập trung vào việc mua tài khoản Facebook và các tài nguyên hỗ trợ phát triển các dự án liên quan đến công nghệ, bao gồm tìm kiếm group Facebook và fanpage.</t>
  </si>
  <si>
    <t>https://docs.google.com/spreadsheets/d/12lhXE87vYPpYwXjT63f0GqBLJKSF49f5hwN5iJ0w4IY/edit#gid=1308672381</t>
  </si>
  <si>
    <t>ijq-ocfc-ouo (2026-05-28 13:25 GMT)</t>
  </si>
  <si>
    <t>https://drive.google.com/file/d/1fX1Q7EDcCxuw8jzFPJuiASnTp4-A0AvQ/view</t>
  </si>
  <si>
    <t>Cuộc họp diễn ra ngày 28/5/2026, tập trung thảo luận về việc phân tích báo cáo chiến dịch quảng cáo Google AdWords và các đối thủ cạnh tranh. Mục đích chính là rà soát dữ liệu hiện có, đánh giá tình hình, và tìm ra các điểm khác biệt hoặc cải thiện để tối ưu hóa chiến lược quảng cáo.</t>
  </si>
  <si>
    <t>https://docs.google.com/spreadsheets/d/12lhXE87vYPpYwXjT63f0GqBLJKSF49f5hwN5iJ0w4IY/edit#gid=103936162</t>
  </si>
  <si>
    <t>Trần Đình Thọ, Phạm Thanh Sang, Phạm Quốc Việt</t>
  </si>
  <si>
    <t>usn-uzna-sbx (2026-05-29 07:55 GMT)</t>
  </si>
  <si>
    <t>https://drive.google.com/file/d/1YZsWyNAP1p2cr3oFtG6-WlZ1vlRv125e/view</t>
  </si>
  <si>
    <t>Cuộc họp ngày 2026-05-29 kéo dài 24 phút, với sự tham gia của 5 thành viên, thảo luận về dự án lập trình các tính năng tự động hóa liên quan đến việc crawl (thu thập) dữ liệu từ Zalo và forward (chuyển tiếp) nội dung đến các group. Mục tiêu chính là cải thiện tốc độ và hiệu quả của các tính năng,...</t>
  </si>
  <si>
    <t>https://docs.google.com/spreadsheets/d/12lhXE87vYPpYwXjT63f0GqBLJKSF49f5hwN5iJ0w4IY/edit#gid=1874685409</t>
  </si>
  <si>
    <t>Nguyễn Văn Thương, Nguyễn Tài Quý, Huỳnh Nguyễn Ngọc Hoàng</t>
  </si>
  <si>
    <t>tue-pqbk-hft (2026-05-29 08:34 GMT)</t>
  </si>
  <si>
    <t>https://drive.google.com/file/d/1p0aq6RnVx3dlF8GgMs8SjvxMFMkyU-H7/view</t>
  </si>
  <si>
    <t>Cuộc họp ngày 2026-05-29 kéo dài 22 phút, tập trung thảo luận về các ý tưởng và kỹ thuật liên quan đến việc phát triển tính năng tạo kỹ năng (skill) từ đoạn chát, sử dụng AI (chẳng hạn như Gemini Free và Callao). Mục tiêu là tối ưu hóa quy trình tạo file skill, tăng tính tự động hóa và đảm bảo kh...</t>
  </si>
  <si>
    <t>https://docs.google.com/spreadsheets/d/12lhXE87vYPpYwXjT63f0GqBLJKSF49f5hwN5iJ0w4IY/edit#gid=879596208</t>
  </si>
  <si>
    <t>Anh Minh, Nguyễn Văn Thương, Nguyễn Minh Hoàng</t>
  </si>
  <si>
    <t>icg-zagy-osh (2026-05-29 09:32 GMT)</t>
  </si>
  <si>
    <t>https://drive.google.com/file/d/1WD2Oc4HfjG5qWoNp4xCJWc5SkEz5f_gW/view</t>
  </si>
  <si>
    <t>Cuộc họp vào ngày 2026-05-29 kéo dài 19 phút thảo luận về các vấn đề kỹ thuật liên quan đến quản lý dữ liệu, tính năng ứng dụng, và cải thiện hệ thống filter, seeding. Mục đích chính là xác định các giải pháp kỹ thuật và điều chỉnh cần thiết để tối ưu hóa hiệu năng của các hệ thống đang hoạt động.</t>
  </si>
  <si>
    <t>https://docs.google.com/spreadsheets/d/12lhXE87vYPpYwXjT63f0GqBLJKSF49f5hwN5iJ0w4IY/edit#gid=19357859</t>
  </si>
  <si>
    <t>Tuần 23</t>
  </si>
  <si>
    <t>kdj-acqy-tft (2026-06-01 08:55 GMT)</t>
  </si>
  <si>
    <t>4 phút</t>
  </si>
  <si>
    <t>https://drive.google.com/file/d/151bU4pK_dJKcrsz0MnvSoZ8SFJKvrnHq/view</t>
  </si>
  <si>
    <t>Cuộc họp diễn ra ngày 2026-06-01 với mục đích chính là thảo luận về quản lý CV trên trang web, bổ sung thông tin cần thiết cho hệ thống quản lý các level, và đề xuất cải tiến giao diện UI của admin.</t>
  </si>
  <si>
    <t>https://docs.google.com/spreadsheets/d/12lhXE87vYPpYwXjT63f0GqBLJKSF49f5hwN5iJ0w4IY/edit#gid=281272542</t>
  </si>
  <si>
    <t>hgj-kdkg-sew (2026-06-01 08:34 GMT) – Chat transcript</t>
  </si>
  <si>
    <t>40 phút</t>
  </si>
  <si>
    <t>https://drive.google.com/file/d/18n4ZG-Og8Kd7WcCsyuEtP0Qatrne61kW/view</t>
  </si>
  <si>
    <t>Cuộc họp ngày 2026-06-01 kéo dài 40 phút, tập trung giải quyết các vấn đề liên quan đến các công việc setting, bài post, comment, và tương tác trong chiến dịch Social của dự án **Marquee ANC** và Marquee Agency. Mục tiêu chính là làm rõ quy trình, KPI, và các đầu việc cho từng thành viên trong te...</t>
  </si>
  <si>
    <t>https://docs.google.com/spreadsheets/d/12lhXE87vYPpYwXjT63f0GqBLJKSF49f5hwN5iJ0w4IY/edit#gid=1505928906</t>
  </si>
  <si>
    <t>hgj-kdkg-sew (2026-06-01 08:34 GMT)</t>
  </si>
  <si>
    <t>https://drive.google.com/file/d/1YAhbb_1LygXI5Ep1sglM8mjE2g8Cv-jC/view</t>
  </si>
  <si>
    <t>Cuộc họp ngày 2026-06-01 kéo dài 40 phút với 4 thành viên tham gia, tập trung trao đổi về công việc setting bài đăng (post), comment và thiết lập danh sách tương tác (list). Nội dung chủ yếu là rà soát tiến độ, giải quyết các vấn đề tồn đọng, và hướng dẫn chi tiết quy trình liên quan đến KPI, quy...</t>
  </si>
  <si>
    <t>https://docs.google.com/spreadsheets/d/12lhXE87vYPpYwXjT63f0GqBLJKSF49f5hwN5iJ0w4IY/edit#gid=2124732072</t>
  </si>
  <si>
    <t>uyp-yboe-zou (2026-06-01 12:51 GMT)</t>
  </si>
  <si>
    <t>https://drive.google.com/file/d/1hHNVZeAkcv5QBpMT7q230WsLu1AQkphc/view</t>
  </si>
  <si>
    <t>Cuộc họp diễn ra ngày 01/06/2026, tập trung vào việc quản lý tiến độ các dự án hiện tại, điều chỉnh KPI cho team, xử lý vấn đề liên quan đến các nền tảng như web của Marquee Agency, và phối hợp trong triển khai công việc với đối tác bên ngoài như Cao Sơn. Cuộc họp cũng đặt trọng tâm vào việc đánh...</t>
  </si>
  <si>
    <t>https://docs.google.com/spreadsheets/d/12lhXE87vYPpYwXjT63f0GqBLJKSF49f5hwN5iJ0w4IY/edit#gid=41112230</t>
  </si>
  <si>
    <t>mpx-dwhz-met (2026-06-02 01:29 GMT)</t>
  </si>
  <si>
    <t>https://drive.google.com/file/d/1BsDPZLpTglMljoWDZGVCbxFUYA9Fie5T/view</t>
  </si>
  <si>
    <t>Cuộc họp ngày 2026-06-02 thảo luận về các yêu cầu kỹ thuật và chức năng liên quan đến G-MATRIX, phần mềm đào tạo và thi chứng chỉ. Mục đích chính là làm rõ nhu cầu bổ sung tính năng hỗ trợ đa nền tảng và quản lý dữ liệu, cùng kế hoạch phát triển phần mềm mới tương tự G-MATRIX.</t>
  </si>
  <si>
    <t>https://docs.google.com/spreadsheets/d/12lhXE87vYPpYwXjT63f0GqBLJKSF49f5hwN5iJ0w4IY/edit#gid=300819011</t>
  </si>
  <si>
    <t>fst-vgcy-xxt (2026-06-02 13:38 GMT)</t>
  </si>
  <si>
    <t>https://drive.google.com/file/d/13BYNuC2GjybmfuEINOZfAsVsEygsA6Xg/view</t>
  </si>
  <si>
    <t>Cuộc họp diễn ra vào ngày 2026-06-02, tập trung vào việc điều chỉnh định hướng nội dung marketing, triển khai các dự án Villa Đà Nẵng, Go Đà Nẵng và Marquee NC. Các hạng mục trọng tâm bao gồm phân công công việc, cập nhật KPI, và hướng dẫn chi tiết về cách thực hiện các nhiệm vụ liên quan.</t>
  </si>
  <si>
    <t>https://docs.google.com/spreadsheets/d/12lhXE87vYPpYwXjT63f0GqBLJKSF49f5hwN5iJ0w4IY/edit#gid=1257734761</t>
  </si>
  <si>
    <t>yzv-hqin-qag (2026-06-03 03:24 GMT)</t>
  </si>
  <si>
    <t>https://drive.google.com/file/d/1Mnrg3yAWgTsRcwxJrqLS_NYqIspBdu03/view</t>
  </si>
  <si>
    <t>Cuộc họp ngày 2026-06-03 tập trung vào các dự án Marquee (Maki), Marquee Chat, và Marquee CDP, liên quan đến việc tích hợp các nền tảng quảng cáo, phát triển tính năng, và phân chia công việc trong đội DevOps.</t>
  </si>
  <si>
    <t>https://docs.google.com/spreadsheets/d/12lhXE87vYPpYwXjT63f0GqBLJKSF49f5hwN5iJ0w4IY/edit#gid=226409383</t>
  </si>
  <si>
    <t>bkb-irsn-yjm (2026-06-03 04:04 GMT)</t>
  </si>
  <si>
    <t>5 phút</t>
  </si>
  <si>
    <t>https://drive.google.com/file/d/1MSDREsY6r3mAsZoqZ9OLt5tSsfgoVLrf/view</t>
  </si>
  <si>
    <t>Cuộc họp ngày 2026-06-03 tập trung vào vấn đề quản lý và triển khai CDN của HiLabs, cùng việc xử lý các lỗi liên quan đến MCB. Mục đích chính là xác định trách nhiệm, hướng hỗ trợ từ anh Sơn và giải quyết các vấn đề kỹ thuật liên quan.</t>
  </si>
  <si>
    <t>https://docs.google.com/spreadsheets/d/12lhXE87vYPpYwXjT63f0GqBLJKSF49f5hwN5iJ0w4IY/edit#gid=1175769367</t>
  </si>
  <si>
    <t>jnq-jeca-miz (2026-06-03 04:25 GMT)</t>
  </si>
  <si>
    <t>2 phút</t>
  </si>
  <si>
    <t>https://drive.google.com/file/d/1TMd_iHENoins3lXsRDRsjcBe1SFs6QWP/view</t>
  </si>
  <si>
    <t>Cuộc họp ngắn ngày 2026-06-03 với trọng tâm chính về dự án liên quan đến việc xử lý file và hướng dẫn build môi trường local. Mục đích là thảo luận tiến độ, kiểm tra mã nguồn trên GitLab và phối hợp giải quyết các vấn đề kỹ thuật.</t>
  </si>
  <si>
    <t>https://docs.google.com/spreadsheets/d/12lhXE87vYPpYwXjT63f0GqBLJKSF49f5hwN5iJ0w4IY/edit#gid=1209476573</t>
  </si>
  <si>
    <t>iqz-cnpy-ghc (2026-06-03 13:02 GMT)</t>
  </si>
  <si>
    <t>59 phút</t>
  </si>
  <si>
    <t>https://drive.google.com/file/d/13WFvpoM21uRheUjKhoBhPAXzFHiCocDT/view</t>
  </si>
  <si>
    <t>Cuộc họp ngày 2026-06-03 nhằm thảo luận chi tiết về việc quản lý và tối ưu hệ thống crawl dữ liệu (Cronata) cùng với hệ thống VPS (Virtual Private Server), cải tiến giao diện người dùng, và tích hợp các tính năng Auto Post lên Facebook thông qua công cụ Maki. Cuộc họp cũng tập trung đề xuất giải ...</t>
  </si>
  <si>
    <t>https://docs.google.com/spreadsheets/d/12lhXE87vYPpYwXjT63f0GqBLJKSF49f5hwN5iJ0w4IY/edit#gid=749318447</t>
  </si>
  <si>
    <t>Anh Minh, Nguyễn Văn Thương, Nguyễn Hữu Thuật, Trần Anh Tiên, Nguyễn Chí Thanh, Vũ Thị Ngọc Thảo, Nguyễn Minh Hoàng</t>
  </si>
  <si>
    <t>twc-hywk-rmy (2026-06-04 02:56 GMT)</t>
  </si>
  <si>
    <t>https://drive.google.com/file/d/1wHkXA61aSOqDwm_cM-UKX_CR9Dr2elPk/view</t>
  </si>
  <si>
    <t>Cuộc họp ngày 2026-06-04 với thời lượng 28 phút, thảo luận về tiến độ, công việc, phân chia nhiệm vụ của các dự án hiện tại và tương lai. Các dự án chính bao gồm Maki App, Maki Chat, CDB, và các gói dự án khách hàng như Villa Đà Nẵng, Go Đà Nẵng, và MyKey Agency.</t>
  </si>
  <si>
    <t>https://docs.google.com/spreadsheets/d/12lhXE87vYPpYwXjT63f0GqBLJKSF49f5hwN5iJ0w4IY/edit#gid=711354284</t>
  </si>
  <si>
    <t>Nguyễn Văn Thương, Nguyễn Chí Thanh, Trần Anh Tiên, Nguyễn Hữu Thuật, Vũ Thị Ngọc Thảo</t>
  </si>
  <si>
    <t>https://drive.google.com/file/d/13efyLmCLqTC0VM95VrgezEgTkUn37BAF/view</t>
  </si>
  <si>
    <t>Cuộc họp diễn ra vào ngày 2026-06-04, với sự tham gia của 5 người. Mục đích chính là thảo luận về việc tích hợp Google Tag Manager và các công cụ phân tích vào website, cụ thể là cách thiết lập và quản lý các tài khoản Google Analytics và Google Search Console cho khách hàng.</t>
  </si>
  <si>
    <t>https://docs.google.com/spreadsheets/d/12lhXE87vYPpYwXjT63f0GqBLJKSF49f5hwN5iJ0w4IY/edit#gid=802389428</t>
  </si>
  <si>
    <t>[2026] Dự án Go Đà Nẵng</t>
  </si>
  <si>
    <t>Anh Minh, Nguyễn Văn Thương, Trần Anh Tiên, Nguyễn Thanh Tùng</t>
  </si>
  <si>
    <t>djc-gsof-axn (2026-06-05 03:55 GMT)</t>
  </si>
  <si>
    <t>33 phút</t>
  </si>
  <si>
    <t>https://drive.google.com/file/d/1IHk8RxEKoNpmIqYEzwxAV6bfqxpjD_92/view</t>
  </si>
  <si>
    <t>Cuộc họp ngày 2026-06-05 tập trung vào việc triển khai các tính năng mới trên hệ thống quản lý đặt phòng ứng dụng cho dự án Gâu Đà Nẵng, xử lý vấn đề crawl dữ liệu và tối ưu hóa giao diện, hệ thống quản lý. Mục tiêu chính là đẩy nhanh tiến độ triển khai các tính năng quan trọng, bao gồm booking v...</t>
  </si>
  <si>
    <t>https://docs.google.com/spreadsheets/d/12lhXE87vYPpYwXjT63f0GqBLJKSF49f5hwN5iJ0w4IY/edit#gid=984262380</t>
  </si>
  <si>
    <t>Huỳnh Nguyễn Ngọc Hoàng, Nguyễn Văn Thương, Nguyễn Tài Quý</t>
  </si>
  <si>
    <t>nrd-kyfe-gpa (2026-06-05 08:02 GMT)</t>
  </si>
  <si>
    <t>https://drive.google.com/file/d/1GZ6RTJjI1-H_HQ7vng7sW2IKdRGLCq59/view</t>
  </si>
  <si>
    <t>Cuộc họp thảo luận về giao diện và các tính năng liên quan đến việc quản lý, hiển thị "skill" (kỹ năng) trên nền tảng. Các thành viên tập trung làm rõ các lỗi tồn đọng, cải tiến chức năng đăng nhập, tải xuống file, và lưu trữ dữ liệu. Ngoài ra, cũng có kế hoạch điều chỉnh và gắn file hướng dẫn ng...</t>
  </si>
  <si>
    <t>https://docs.google.com/spreadsheets/d/12lhXE87vYPpYwXjT63f0GqBLJKSF49f5hwN5iJ0w4IY/edit#gid=1712496205</t>
  </si>
  <si>
    <t>Đỗ Ngọc Hoàng Huy, Nguyễn Văn Thương, Nguyễn Thanh Truyền, Nguyễn Thị Hồng Vân</t>
  </si>
  <si>
    <t>ksp-qemv-swm (2026-06-05 08:21 GMT)</t>
  </si>
  <si>
    <t>https://drive.google.com/file/d/17EGXqw0J3M0evuPXZDMm-PdZxwHpZ9i_/view</t>
  </si>
  <si>
    <t>Cuộc họp diễn ra vào ngày 2026-06-05 với mục tiêu chính là kiểm tra trạng thái tiến độ dự án hiện tại, bàn bạc về các vấn đề kỹ thuật phát sinh, và xác định kế hoạch làm việc cho tuần tiếp theo.</t>
  </si>
  <si>
    <t>https://docs.google.com/spreadsheets/d/12lhXE87vYPpYwXjT63f0GqBLJKSF49f5hwN5iJ0w4IY/edit#gid=1091645834</t>
  </si>
  <si>
    <t>[2026] MARKEE_PRODUCT</t>
  </si>
  <si>
    <t>Nguyễn Văn Thương, Nguyễn Phi Hùng, Nguyễn Đình Phương, Châu Thanh Bình, Lê Văn Hải, Trần Văn Hoàng Vũ</t>
  </si>
  <si>
    <t>ykq-cvyx-kjh (2026-06-05 08:50 GMT)</t>
  </si>
  <si>
    <t>https://drive.google.com/file/d/1HJ-ey1f3vOOjYyjvStb4UJXOahApYLAI/view</t>
  </si>
  <si>
    <t>Cuộc họp ngày 2026-06-05 tập trung vào tình hình triển khai các service, sửa đổi giao diện và cấu hình dự án liên quan đến Chatwood. Mục tiêu chính là kiểm tra tiến độ, thảo luận kế hoạch sửa đổi code và giao diện, cùng phân công công việc cho tuần tới.</t>
  </si>
  <si>
    <t>https://docs.google.com/spreadsheets/d/12lhXE87vYPpYwXjT63f0GqBLJKSF49f5hwN5iJ0w4IY/edit#gid=1010154829</t>
  </si>
  <si>
    <t>hhq-tycx-bjd (2026-06-05 13:44 GMT)</t>
  </si>
  <si>
    <t>https://drive.google.com/file/d/133j5vCMuk01IVPRmQ8LpRBiPwgh5_tR9/view</t>
  </si>
  <si>
    <t>Cuộc họp tập trung vào các yêu cầu kỹ thuật và cải tiến cho một hệ thống quản lý dữ liệu nội bộ, bao gồm các biểu mẫu, tính năng hẹn giờ, xử lý tương tác trên nhiều nền tảng (Facebook, Zalo, LinkedIn), và hệ thống báo cáo KPI. Điểm nhấn chính là tối ưu quy trình theo hướng tự động hóa và giảm thủ...</t>
  </si>
  <si>
    <t>https://docs.google.com/spreadsheets/d/12lhXE87vYPpYwXjT63f0GqBLJKSF49f5hwN5iJ0w4IY/edit#gid=1474217205</t>
  </si>
  <si>
    <t>Tuần 24</t>
  </si>
  <si>
    <t>xbg-geop-pgh (2026-06-08 03:57 GMT)</t>
  </si>
  <si>
    <t>https://drive.google.com/file/d/1cYueR9_BWTlw8i0bK8b_qWJle0f0MMgG/view</t>
  </si>
  <si>
    <t>Cuộc họp diễn ra vào ngày 2026-06-08, kéo dài 10 phút với 4 người tham gia. Nội dung chính xoay quanh việc triển khai, kiểm thử các chức năng trong dự án và thảo luận các vấn đề kỹ thuật liên quan đến môi trường triển khai, cơ sở hạ tầng và tích hợp các công cụ.</t>
  </si>
  <si>
    <t>https://docs.google.com/spreadsheets/d/12lhXE87vYPpYwXjT63f0GqBLJKSF49f5hwN5iJ0w4IY/edit#gid=1252559655</t>
  </si>
  <si>
    <t>wbz-dfgy-qoe (2026-06-08 07:57 GMT)</t>
  </si>
  <si>
    <t>https://drive.google.com/file/d/1i1Q4G_qxQlyuY6y17BQHUqkcrqGojsJv/view</t>
  </si>
  <si>
    <t>Cuộc họp tập trung vào các nhiệm vụ liên quan đến giao diện, tích hợp Shading Marquee, chatbot AI, và nhiều vấn đề quản lý, phân công công việc cho các thành viên trong đội. Mục đích chính là kiểm tra tiến độ và lên kế hoạch xử lý các công việc còn lại.</t>
  </si>
  <si>
    <t>https://docs.google.com/spreadsheets/d/12lhXE87vYPpYwXjT63f0GqBLJKSF49f5hwN5iJ0w4IY/edit#gid=876418230</t>
  </si>
  <si>
    <t>yzk-krjm-fam (2026-06-08 08:29 GMT)</t>
  </si>
  <si>
    <t>https://drive.google.com/file/d/1_Yyyc4vszsoXb4kiMHurrO68HVPFArO9/view</t>
  </si>
  <si>
    <t>Cuộc họp ngày 08/06/2026 tập trung vào việc triển khai và theo dõi tiến độ các dự án/dịch vụ liên quan đến các nền tảng như Zalo, Facebook, Google Ads, TikTok, Shopee và tích hợp các công cụ phục vụ marketing. Ngoài ra, một số vấn đề kỹ thuật trong việc cào dữ liệu, xử lý đa tài khoản và tích hợp...</t>
  </si>
  <si>
    <t>https://docs.google.com/spreadsheets/d/12lhXE87vYPpYwXjT63f0GqBLJKSF49f5hwN5iJ0w4IY/edit#gid=2055140575</t>
  </si>
  <si>
    <t>https://drive.google.com/file/d/1nJg-f2Zz3yRvRWGi6QeMZJt9RvpmM730/view</t>
  </si>
  <si>
    <t>Cuộc họp ngày 08/06/2026 kéo dài 19 phút với 2 người tham gia, chủ yếu tập trung vào việc phân bổ nhân lực, cải tiến tính năng sản phẩm, đồng bộ hóa hệ thống dữ liệu và quản lý ứng dụng, quy trình tuyển dụng và tổ chức chỗ làm việc cho nhân sự.</t>
  </si>
  <si>
    <t>https://docs.google.com/spreadsheets/d/12lhXE87vYPpYwXjT63f0GqBLJKSF49f5hwN5iJ0w4IY/edit#gid=135032137</t>
  </si>
  <si>
    <t>Anh Minh, Nguyễn Văn Thương</t>
  </si>
  <si>
    <t>mag-jphe-vfa (2026-06-08 09:59 GMT)</t>
  </si>
  <si>
    <t>https://drive.google.com/file/d/1YeBh3NHdy6Wu4813HuIVYstFWUhsS-wr/view</t>
  </si>
  <si>
    <t>Cuộc họp ngày 2026-06-08 tập trung vào việc thảo luận các vấn đề liên quan đến định giá, điều chỉnh nền tảng Maki AI, và lập báo giá cho khách hàng. Mục đích chính là thống nhất phương án xử lý giá cả, quy trình báo giá, và ước tính Menday cho các dự án cụ thể.</t>
  </si>
  <si>
    <t>https://docs.google.com/spreadsheets/d/12lhXE87vYPpYwXjT63f0GqBLJKSF49f5hwN5iJ0w4IY/edit#gid=1707714982</t>
  </si>
  <si>
    <t>Nguyễn Văn Thương, Anh Minh, Trần Thị Hà Tiên, Phạm Đặng Phương Uyển</t>
  </si>
  <si>
    <t>gxp-yibh-iqi (2026-06-09 01:30 GMT)</t>
  </si>
  <si>
    <t>https://drive.google.com/file/d/1p8BOt9kZ-vFlTRBL0tlP7oqSofq9lQB1/view</t>
  </si>
  <si>
    <t>Cuộc họp ngày 2026-06-09 tập trung vào quản lý tiến độ các dự án như HelloGuide, Marquee Agency, WebSatTest; triển khai các công cụ hỗ trợ marketing và xử lý danh sách khách hàng (leads). Cuộc họp cũng bàn về cải tiến quy trình setting và shifting thông tin khách hàng, kèm theo việc đánh giá và p...</t>
  </si>
  <si>
    <t>https://docs.google.com/spreadsheets/d/12lhXE87vYPpYwXjT63f0GqBLJKSF49f5hwN5iJ0w4IY/edit#gid=1087068502</t>
  </si>
  <si>
    <t>Anh Minh, Nguyễn Chí Thanh</t>
  </si>
  <si>
    <t>hhq-tycx-bjd (2026-06-09 07:56 GMT)</t>
  </si>
  <si>
    <t>https://drive.google.com/file/d/1h2kmOKqrV947zQd87p8HDDYneLBxQHws/view</t>
  </si>
  <si>
    <t>Cuộc họp diễn ra ngày 2026-06-09 với nội dung chính xoay quanh việc hoàn thiện các tính năng cho dự án quản lý hóa đơn và tích hợp giao diện. Mục tiêu là cập nhật tiến độ các hạng mục, xử lý các yêu cầu bổ sung và chuẩn bị cho buổi họp với khách hàng vào ngày hôm sau.</t>
  </si>
  <si>
    <t>https://docs.google.com/spreadsheets/d/12lhXE87vYPpYwXjT63f0GqBLJKSF49f5hwN5iJ0w4IY/edit#gid=518651905</t>
  </si>
  <si>
    <t>xmf-ziui-rga (2026-06-10 02:00 GMT)</t>
  </si>
  <si>
    <t>https://drive.google.com/file/d/1qA6iIMZAfsXxfwvbjIgcp72hneHgZyrB/view</t>
  </si>
  <si>
    <t>Cuộc họp kéo dài 8 phút với 1 người tham gia, nội dung tập trung kiểm tra âm thanh. Không có thông tin cụ thể về chủ đề hoặc mục đích chính.</t>
  </si>
  <si>
    <t>https://docs.google.com/spreadsheets/d/12lhXE87vYPpYwXjT63f0GqBLJKSF49f5hwN5iJ0w4IY/edit#gid=1885888206</t>
  </si>
  <si>
    <t>xuq-ickn-vgo (2026-06-10 02:36 GMT)</t>
  </si>
  <si>
    <t>https://drive.google.com/file/d/1GNw2W5-hXijLCTGGhCWD1iGkAPxfcF7C/view</t>
  </si>
  <si>
    <t>Cuộc họp ngắn ngày 10/06/2026 tập trung thảo luận về việc phát triển và chỉnh sửa các tính năng của hệ thống tuyển dụng thuộc dự án Marquee, bao gồm tích hợp dữ liệu, hiển thị cột thông tin mới và tối ưu mẫu admin.</t>
  </si>
  <si>
    <t>https://docs.google.com/spreadsheets/d/12lhXE87vYPpYwXjT63f0GqBLJKSF49f5hwN5iJ0w4IY/edit#gid=379194499</t>
  </si>
  <si>
    <t>hhq-tycx-bjd (2026-06-10 01:59 GMT)</t>
  </si>
  <si>
    <t>https://drive.google.com/file/d/1S8t4Z0cinSUJR9ylocL-Setlrng22TcP/view</t>
  </si>
  <si>
    <t>Cuộc họp ngày 10/06/2026 thảo luận các yêu cầu và giải pháp cho hệ thống quản lý bán hàng, bao gồm việc triển khai phần mềm quản lý bán hàng, tính năng scan và quản lý hóa đơn, tích hợp kho hàng và website bán hàng, cũng như các yêu cầu đầu ra như quản lý đơn hàng và xuất hóa đơn.</t>
  </si>
  <si>
    <t>https://docs.google.com/spreadsheets/d/12lhXE87vYPpYwXjT63f0GqBLJKSF49f5hwN5iJ0w4IY/edit#gid=1236433964</t>
  </si>
  <si>
    <t>hhq-tycx-bjd (2026-06-10 02:45 GMT)</t>
  </si>
  <si>
    <t>https://drive.google.com/file/d/17N-Oz9ol2ubbj0CdR0smQ28koCCiCjOq/view</t>
  </si>
  <si>
    <t>Cuộc họp ngày 10/06/2026 là buổi thảo luận về tiến độ và kế hoạch triển khai các tính năng liên quan đến phần mềm AI bao gồm Autobot Facebook cá nhân, Artistic AI, bot đa nền tảng, tích hợp Omnichannel, và phân bổ thiết kế giao diện cùng các yêu cầu kỹ thuật hỗ trợ. Cuộc họp tập trung vào việc xử...</t>
  </si>
  <si>
    <t>https://docs.google.com/spreadsheets/d/12lhXE87vYPpYwXjT63f0GqBLJKSF49f5hwN5iJ0w4IY/edit#gid=57158133</t>
  </si>
  <si>
    <t>hez-mcbz-man (2026-06-10 03:23 GMT)</t>
  </si>
  <si>
    <t>https://drive.google.com/file/d/1dx_UqOYurMPXgzj-PwiTNKlyUdwsz_EB/view</t>
  </si>
  <si>
    <t>Cuộc họp ngày 2026-06-10 tập trung vào việc cập nhật tình hình các dự án, quản lý KPI và công việc của các nhóm. Mục đích chính là giải quyết các nhiệm vụ liên quan đến marketing, hoàn thiện quy trình báo giá, theo dõi tiến độ dự án và cải thiện hệ thống quản trị.</t>
  </si>
  <si>
    <t>https://docs.google.com/spreadsheets/d/12lhXE87vYPpYwXjT63f0GqBLJKSF49f5hwN5iJ0w4IY/edit#gid=1854764062</t>
  </si>
  <si>
    <t>Anh Minh</t>
  </si>
  <si>
    <t>Đình Minh</t>
  </si>
  <si>
    <t>Nguyễn Văn Thương</t>
  </si>
  <si>
    <t>Nguyễn Hữu Thuật</t>
  </si>
  <si>
    <t>Dương Thị Mai</t>
  </si>
  <si>
    <t>Dương Thị Dung</t>
  </si>
  <si>
    <t>Dương Đình Huấn</t>
  </si>
  <si>
    <t>Trần Lê Hoàng</t>
  </si>
  <si>
    <t>Quách Thị Y Bình</t>
  </si>
  <si>
    <t>Trần Thị Hà Tiên</t>
  </si>
  <si>
    <t>Phạm Đặng Phương Uyển</t>
  </si>
  <si>
    <t>Phạm Bá Thuận</t>
  </si>
  <si>
    <t>Trương Tất Quang Vinh</t>
  </si>
  <si>
    <t>Châu Hoàng Thúc</t>
  </si>
  <si>
    <t>Trần Anh Tiên</t>
  </si>
  <si>
    <t>Dương Quang Vũ</t>
  </si>
  <si>
    <t>Nguyễn Chí Thanh</t>
  </si>
  <si>
    <t>Nguyễn Duy Việt</t>
  </si>
  <si>
    <t>Nguyễn Phương Nam</t>
  </si>
  <si>
    <t>Lư Kiều Minh Quân</t>
  </si>
  <si>
    <t>Nguyễn Tài Quý</t>
  </si>
  <si>
    <t>Bùi Thị Thảo Nhi</t>
  </si>
  <si>
    <t>Nguyễn Thị Ngọc Huyền</t>
  </si>
  <si>
    <t>Lê Thị Thu Huyền</t>
  </si>
  <si>
    <t>Vũ Thị Ngọc Thảo</t>
  </si>
  <si>
    <t>Phạm Quốc Việt</t>
  </si>
  <si>
    <t>Phạm Thanh Sang</t>
  </si>
  <si>
    <t>Nguyễn Minh Hoàng</t>
  </si>
  <si>
    <t>Nguyễn Văn Nguyên</t>
  </si>
  <si>
    <t>Trần Đình Thọ</t>
  </si>
  <si>
    <t>Huỳnh Nguyễn Ngọc Hoàng</t>
  </si>
  <si>
    <t>Đặng Văn Nam</t>
  </si>
  <si>
    <t>Đặng Thị Bích Loan</t>
  </si>
  <si>
    <t>Nguyễn Thanh Truyền</t>
  </si>
  <si>
    <t>Nguyễn Trường Giang</t>
  </si>
  <si>
    <t>Đô Đức An</t>
  </si>
  <si>
    <t>Nguyễn Thanh Tùng</t>
  </si>
  <si>
    <t>Trần Thị Thùy Trinh</t>
  </si>
  <si>
    <t>Bùi Thị Quỳnh Như</t>
  </si>
  <si>
    <t>Võ Lê Hoàng Quân</t>
  </si>
  <si>
    <t>Nguyễn Phi Hùng</t>
  </si>
  <si>
    <t>Võ Trực Thắng</t>
  </si>
  <si>
    <t>Nguyễn Thị Hoài Anh</t>
  </si>
  <si>
    <t>Chung Tú My</t>
  </si>
  <si>
    <t>Đỗ Ngọc Hoàng Huy</t>
  </si>
  <si>
    <t>Trần Hoài Huệ</t>
  </si>
  <si>
    <t>Lê Thị Thùy Trinh</t>
  </si>
  <si>
    <t>Nguyễn Thị Hồng Vân</t>
  </si>
  <si>
    <t>Lê Viết Minh Hiếu</t>
  </si>
  <si>
    <t>Đỗ Hữu Hậu</t>
  </si>
  <si>
    <t>Nguyễn Thị Thu Phương</t>
  </si>
  <si>
    <t>Nguyễn Minh Trung</t>
  </si>
  <si>
    <t>Ngô Thị Mỹ Lành</t>
  </si>
  <si>
    <t>Trần Xuân Đức</t>
  </si>
  <si>
    <t>Tăng Nguyễn Kiều Anh</t>
  </si>
  <si>
    <t>Châu Thanh Bình</t>
  </si>
  <si>
    <t>Nguyễn Đình Phương</t>
  </si>
  <si>
    <t>Lê Văn Hải</t>
  </si>
  <si>
    <t>Trần Văn Hoàng Vũ</t>
  </si>
  <si>
    <t>Cả team</t>
  </si>
  <si>
    <t>BIÊN BẢN CUỘC HỌP</t>
  </si>
  <si>
    <t>Mục</t>
  </si>
  <si>
    <t>Chi tiết</t>
  </si>
  <si>
    <t>Ngày</t>
  </si>
  <si>
    <t>Số người tham gia</t>
  </si>
  <si>
    <t>TỔNG QUAN</t>
  </si>
  <si>
    <t>ACTION ITEMS</t>
  </si>
  <si>
    <t>STT</t>
  </si>
  <si>
    <t>Công việc</t>
  </si>
  <si>
    <t>Deadline</t>
  </si>
  <si>
    <t>Các nhóm liên quan họp nội bộ để hoàn thiện bản summary và chốt bản listing.</t>
  </si>
  <si>
    <t>Không đề cập</t>
  </si>
  <si>
    <t>Trình bản listing đã chốt cho bộ phận phụ trách xem xét.</t>
  </si>
  <si>
    <t>Tổ chức cuộc họp lần cuối cùng với bộ phận phụ trách để thống nhất kết quả và định hướng kênh.</t>
  </si>
  <si>
    <t>QUYẾT ĐỊNH ĐÃ THỐNG NHẤT</t>
  </si>
  <si>
    <t>Nội dung</t>
  </si>
  <si>
    <t>Quyết định sẽ để nhóm nội bộ bàn bạc và hoàn thiện trước, sau đó mới họp lại để thống nhất với bộ phận phụ trách.</t>
  </si>
  <si>
    <t>Phần brand của omnichannel sẽ được tích hợp vào marquee để thuận tiện hơn, nhưng cần bàn kỹ lại sau khi các nhóm hoàn thiện xong phần nội dung.</t>
  </si>
  <si>
    <t>VẤN ĐỀ &amp; RỦI RO</t>
  </si>
  <si>
    <t>Chưa có sự thống nhất chính thức do chưa họp đầy đủ và chưa có bản final summary, listing.</t>
  </si>
  <si>
    <t>Cần làm rõ định hướng sử dụng kênh và tối ưu hóa nguồn lực nhằm đạt target nhanh nhất.</t>
  </si>
  <si>
    <t>BƯỚC TIẾP THEO</t>
  </si>
  <si>
    <t>Các nhóm nội bộ tiến hành họp, làm việc để hoàn thiện và chốt bản tổng hợp (summary) và bản danh sách (listing).</t>
  </si>
  <si>
    <t>Bàn giao bản listing đã hoàn chỉnh cho bộ phận chịu trách nhiệm duyệt.</t>
  </si>
  <si>
    <t>Tổ chức cuộc họp cuối cùng để thống nhất nội dung, định hướng sử dụng kênh, công cụ trước khi triển khai.</t>
  </si>
  <si>
    <t>Đảm bảo việc tích hợp phần brand của omnichannel vào marquee được thực hiện thuận lợi, tiện lợi cho mục tiêu tối ưu khách hàng và resource.</t>
  </si>
  <si>
    <t>Cuộc họp tập trung rà soát tiến độ và kế hoạch phát triển các tính năng của hệ thống Marquee, bao gồm dashboard YouTube, phân quyền admin, và báo cáo AI quản lý kênh. Mục đích chính là hoàn chỉnh các tính năng để chuyển sang giai đoạn đóng gói app, phục vụ dùng thử và demo cho khách hàng Trung Nguyên trong tuần.</t>
  </si>
  <si>
    <t>Hoàn thiện phần bài khóa hiệu quả trên dashboard.</t>
  </si>
  <si>
    <t>Hoàn thiện tính năng phân quyền cho admin sử dụng.</t>
  </si>
  <si>
    <t>Triển khai đẩy dữ liệu YouTube sang dashboard trong tuần đầu.</t>
  </si>
  <si>
    <t>Điều chỉnh, sửa lỗi phần quản lý kênh, đặc biệt các link và chức năng nhỏ cho đúng chuẩn.</t>
  </si>
  <si>
    <t>Chỉnh sửa, bổ sung trường "người boss bài" trong các bài viết giúp quản lý rõ người phụ trách.</t>
  </si>
  <si>
    <t>Lấy thêm chỉ số dữ liệu từ Dev để cải thiện phần báo cáo (ví dụ từ Google Console, Google Analytics).</t>
  </si>
  <si>
    <t>Kết nối chung tất cả các page/profiles kênh của dự án vào dashboard để admin có thể xem thống nhất dữ liệu.</t>
  </si>
  <si>
    <t>Tích hợp API từ Security Zone vào sản phẩm, kết nối với website Wordpress (site sikion.vn).</t>
  </si>
  <si>
    <t>Đàm phán và lên kế hoạch lấy thêm dữ liệu cho Facebook, Instagram vì phần cào data hiện còn thiếu.</t>
  </si>
  <si>
    <t>Đóng gói các tính năng đơn giản thành app mobile để mọi người sử dụng thử chậm nhất trước thứ 5 tuần này.</t>
  </si>
  <si>
    <t>Họp chiều để tổng hợp feedback, phối hợp Dev xác định deadline chi tiết.</t>
  </si>
  <si>
    <t>Ghi lại và lưu trữ buổi họp hôm nay phục vụ cho việc theo dõi tiến độ.</t>
  </si>
  <si>
    <t>Ưu tiên hoàn thiện bài khóa hiệu quả và phân quyền admin trước, sau đó chuyển sang phần báo cáo tổng quan AI cho admin.</t>
  </si>
  <si>
    <t>Kết nối tất cả các kênh trong dự án để admin có thể gom dữ liệu xem thống nhất trên cùng một dashboard chung.</t>
  </si>
  <si>
    <t>Sửa xong các điểm nhỏ trong quản lý kênh thì đóng gói app, phát hành cho người dùng thử.</t>
  </si>
  <si>
    <t>Demo sản phẩm app cho khách hàng Trung Nguyên vào thứ 5 trong tuần.</t>
  </si>
  <si>
    <t>Forum sẽ tích hợp sau, ưu tiên ổn định dữ liệu Facebook, TikTok, YouTube trước.</t>
  </si>
  <si>
    <t>Tích hợp Security Zone với website Wordpress sẽ tiếp tục thực hiện.</t>
  </si>
  <si>
    <t>Hiện phần cào data Facebook và Instagram chưa hoàn thiện, dữ liệu chưa đủ để hiện báo cáo hiệu quả.</t>
  </si>
  <si>
    <t>Dashboard hiện tại dữ liệu còn sơ sài, thiếu một số trường quan trọng như "người boss bài viết".</t>
  </si>
  <si>
    <t>Một số tài khoản Instagram không hoạt động nên không thể hiển thị dữ liệu.</t>
  </si>
  <si>
    <t>Forum chưa hoàn thiện việc đăng bài và tích hợp dữ liệu, tạm hoãn xử lý phần này.</t>
  </si>
  <si>
    <t>Cần phối hợp với Dev xác định timeline rõ để đảm bảo hoàn thành các tính năng đúng hạn.</t>
  </si>
  <si>
    <t>Tiếp tục hoàn thiện và đóng gói các tính năng dashboard YouTube, phân quyền quản trị trong tuần.</t>
  </si>
  <si>
    <t>Đẩy mạnh kết nối dữ liệu từ tất cả các page/profiles vào dashboard để admin dễ theo dõi hiệu quả chung.</t>
  </si>
  <si>
    <t>Triển khai tích hợp Security Zone vào website Wordpress sikion.vn và tiếp tục theo dõi hiệu quả phần này.</t>
  </si>
  <si>
    <t>Phối hợp với Dev cập nhật, bổ sung chỉ số dữ liệu, khắc phục vấn đề cào dữ liệu Facebook, Instagram.</t>
  </si>
  <si>
    <t>Họp chiều để tổng hợp feedback, xác định deadline chi tiết nhằm đảm bảo tiến độ demo app cho Trung Nguyên vào thứ 5.</t>
  </si>
  <si>
    <t>Sau khi hoàn thiện các chức năng cơ bản, đóng gói app mobile và phân phối cho người dùng thử trong nội bộ.</t>
  </si>
  <si>
    <t>Tạm hoãn xử lý tính năng forum, ưu tiên hoàn thiện các kênh Facebook, TikTok, YouTube trước.</t>
  </si>
  <si>
    <t>Ghi âm, lưu trữ lại biên bản và thông tin cuộc họp để tiện theo dõi và báo cáo.</t>
  </si>
  <si>
    <t>Cuộc họp trao đổi về việc đồng bộ và tích hợp thương hiệu, hệ sinh thái sản phẩm giữa hai dự án Omnichannel và HiChat nhằm tối ưu nhận diện thương hiệu và hiệu quả tiếp cận khách hàng. Mục đích chính là thống nhất kế hoạch xây dựng lại hệ thống thương hiệu và kênh truyền thông, cũng như phân định vai trò, công việc triển khai cho từng bên.</t>
  </si>
  <si>
    <t>Đồng bộ giao diện, logo, bảng màu giữa website và các kênh fanpage để thống nhất thương hiệu.</t>
  </si>
  <si>
    <t>Quyết định làm lại website mới cho thương hiệu tích hợp, không dùng lại website và fanpage cũ.</t>
  </si>
  <si>
    <t>Phân chia kênh tiếp cận khách hàng theo từng đối tượng khác nhau (ví dụ kênh TikTok, Facebook cho khách hàng nhỏ lẻ; LinkedIn, Facebook cho doanh nghiệp lớn).</t>
  </si>
  <si>
    <t>Tạo một nhóm chat (group) mới để trao đổi và phối hợp giữa các thành viên dự án Omnichannel và HiChat.</t>
  </si>
  <si>
    <t>Chị sẽ lên kế hoạch triển khai chi tiết từng hạng mục, timeline trong vòng 1 tháng để cả hai bên chạy dự án.</t>
  </si>
  <si>
    <t>Chị hỗ trợ phần điều phối team và phân công công việc; em hỗ trợ vận hành các kênh social theo kế hoạch.</t>
  </si>
  <si>
    <t>Trao đổi, thống nhất nội dung kế hoạch với anh Minh trong cuộc họp tiếp theo để chốt phương án thực hiện.</t>
  </si>
  <si>
    <t>Xem xét, xác định domain sử dụng cho thương hiệu mới MagiChat (có thể dùng domain khác, chưa chốt).</t>
  </si>
  <si>
    <t>Tích hợp 2 thương hiệu Omnichannel và HiChat thành một brand mới dưới tên MagiChat, dùng chung mascot.</t>
  </si>
  <si>
    <t>Làm lại hoàn toàn website và hệ thống fanpage, không tiếp tục dùng các trang hiện có.</t>
  </si>
  <si>
    <t>Phân chia kênh và đối tượng khác nhau để đánh thị trường hiệu quả, không gộp chung hoàn toàn mà phân loại theo kênh và khách hàng.</t>
  </si>
  <si>
    <t>Chị sẽ làm vai trò VM dự án, em làm BM hỗ trợ vận hành social, không quản lý website và sale.</t>
  </si>
  <si>
    <t>Trước khi triển khai chính thức, sẽ thảo luận và chốt với anh Minh để đồng thuận về kế hoạch.</t>
  </si>
  <si>
    <t>Hiện tại hệ thống website và fanpage bị lệch tông, không đồng bộ về thương hiệu, logo, bảng màu làm giảm hiệu quả nhận diện khách hàng.</t>
  </si>
  <si>
    <t>Có rủi ro khi tích hợp 2 thương hiệu vì vốn dĩ sản phẩm hướng tới khách hàng khác nhau, cần phân tích kỹ về tính năng và lợi thế để tránh làm mất lợi thế riêng của từng thương hiệu.</t>
  </si>
  <si>
    <t>Giao diện website hiện tại khó dùng, chưa tối ưu trải nghiệm khách hàng nhỏ.</t>
  </si>
  <si>
    <t>Quy trình triển khai chưa rõ ràng, thiếu kế hoạch và phân công cụ thể khiến nhân sự bị áp lực, cần có quy trình rõ ràng trước khi báo cáo cấp trên.</t>
  </si>
  <si>
    <t>Lập nhóm làm việc chung giữa 2 team Omnichannel và HiChat để trao đổi thông tin và phối hợp triển khai.</t>
  </si>
  <si>
    <t>Chị lên kế hoạch triển khai chi tiết từng hạng mục công việc trong vòng 1 tháng, bao gồm thay đổi logo, thiết kế lại website, đồng bộ kênh truyền thông.</t>
  </si>
  <si>
    <t>Phân công công việc rõ ràng: chị làm VM dự án và điều phối chung, em làm BM quản lý vận hành các kênh social.</t>
  </si>
  <si>
    <t>Thống nhất phương án dùng domain cho thương hiệu mới MagiChat và chuẩn bị các tài liệu demo để làm rõ tính năng sản phẩm trước khi trình anh Minh.</t>
  </si>
  <si>
    <t>Chuẩn bị nội dung cuộc họp với anh Minh để thảo luận, xin phê duyệt kế hoạch tích hợp thương hiệu và triển khai thực thi dự án.</t>
  </si>
  <si>
    <t>Sau khi có approval từ anh Minh, bắt đầu triển khai thiết kế lại website và đồng bộ các kênh truyền thông dựa trên kế hoạch đã thống nhất.</t>
  </si>
  <si>
    <t>Theo dõi tiến độ, cập nhật thường xuyên trong nhóm để đảm bảo các công việc được thực hiện đúng tiến độ và chất lượng.</t>
  </si>
  <si>
    <t>Cuộc họp review tiến độ phát triển sản phẩm tuần trước và lên kế hoạch cho tuần này, tập trung vào các tính năng dashboard (YouTube, TikTok, Facebook, Instagram, GSC, GA4), phân quyền người dùng, và chuẩn bị bản app để demo cho Trung Nguyên vào thứ 5. Nhóm cũng thống nhất quy trình xử lý bug và phân loại lỗi theo tính năng đã release hay chưa.</t>
  </si>
  <si>
    <t>Anh Sơn kiểm tra và xác nhận lại tiến độ phần Grow Data của Facebook và Instagram (crawl data, lấy lượt view)</t>
  </si>
  <si>
    <t>Hôm nay hoặc sáng mai</t>
  </si>
  <si>
    <t>Anh Sơn cập nhật tiến độ phần YouTube cho team</t>
  </si>
  <si>
    <t>Hôm nay</t>
  </si>
  <si>
    <t>Mai đẩy file feedback (phân quyền, điều hướng, UI) lên group cho team</t>
  </si>
  <si>
    <t>Anh Sơn đẩy bản web lên app để demo cho Trung Nguyên</t>
  </si>
  <si>
    <t>Thứ 5</t>
  </si>
  <si>
    <t>Mai thông báo lại cho toàn team: lỗi thuộc tính năng đã release thì up thẳng lên group (không qua Mai), team dev xử lý trực tiếp</t>
  </si>
  <si>
    <t>Mai take note các lỗi thuộc tính năng chưa release để đưa vào roadmap sau</t>
  </si>
  <si>
    <t>Bổ sung tính năng set KPI vào sau khi hoàn thành dashboard YouTube</t>
  </si>
  <si>
    <t>Sau khi test dashboard YouTube xong</t>
  </si>
  <si>
    <t>Trang tổng quan khi vào chiến dịch sẽ được đổi thành trang quản trị nhân sự (hoặc trang quản trị nhân sự được đặt làm trang tổng quan).</t>
  </si>
  <si>
    <t>Khi bấm vào tab quản lý kênh, hệ thống phải tự động sổ xuống các mục con và vào phần báo cáo hiệu quả đầu tiên.</t>
  </si>
  <si>
    <t>Quy trình xử lý bug: lỗi thuộc tính năng đã release (phân quyền, đăng bài, báo cáo hiệu quả) thì up thẳng lên group để team dev xử lý ngay. Lỗi thuộc tính năng chưa release thì chỉ take note, không xử lý ngay.</t>
  </si>
  <si>
    <t>Feedback/lỗi từ chị Tiên sẽ up thẳng lên group, không qua Mai, để tránh chậm trễ.</t>
  </si>
  <si>
    <t>Ba tính năng đã release gồm: phân quyền, đăng bài ra nền tảng, báo cáo hiệu quả.</t>
  </si>
  <si>
    <t>Bản web sẽ được đẩy lên app trước thứ 5 để demo cho Trung Nguyên. Các tính năng mới ngoài danh sách hiện tại sẽ pending.</t>
  </si>
  <si>
    <t>Phân quyền tạo chiến dịch: chỉ quản lý được tạo chiến dịch trong project; nhân viên được add kênh nhưng cần quản lý duyệt khi bỏ kênh; admin chỉ tạo project, không tạo chiến dịch.</t>
  </si>
  <si>
    <t>Tính năng set KPI sẽ được bổ sung sau khi hoàn thành và test xong dashboard YouTube.</t>
  </si>
  <si>
    <t>Mobile app để sau, hiện tại tập trung bản web trước.</t>
  </si>
  <si>
    <t>Các tính năng mới nếu không cấp thiết thì pending, không phát triển thêm trong tuần này.</t>
  </si>
  <si>
    <t>Lỗi điều hướng chiến dịch: vào chiến dịch quý 4/2026, bấm lại Omnichannel thì hiển thị "chưa có chiến dịch" dù đã có Omnichannel.</t>
  </si>
  <si>
    <t>Lỗi menu chiến dịch: không có nút back khi bấm vào menu trên.</t>
  </si>
  <si>
    <t>Lỗi UX tab quản lý: bấm vào không tự sổ xuống mục con, người dùng tưởng tính năng không tồn tại.</t>
  </si>
  <si>
    <t>Lỗi phân quyền: hiện tại admin đang tự tạo cả project lẫn chiến dịch, chưa đúng với phân quyền mong muốn.</t>
  </si>
  <si>
    <t>Một số người dùng (team chị Tiên) vẫn báo lỗi khi vào hệ thống nhưng chưa rõ lỗi cụ thể là gì; trong khi bên Mai dùng bình thường.</t>
  </si>
  <si>
    <t>Quy trình báo lỗi hiện tại chậm do đi qua nhiều người (Tiên → Mai → Sơn), gây mất thời gian xử lý.</t>
  </si>
  <si>
    <t>Dashboard TikTok còn khoảng 1-2 ngày nữa mới xong phần backend.</t>
  </si>
  <si>
    <t>Dashboard GSC và GA4 còn khoảng 8 ngày làm việc (1 tuần) mới xong.</t>
  </si>
  <si>
    <t>Phần lấy view từ Facebook hiện chưa lấy được, cần xử lý để hiển thị trên dashboard.</t>
  </si>
  <si>
    <t>Mobile app chưa có nhân sự phụ trách, chưa có timeline cụ thể.</t>
  </si>
  <si>
    <t>Hôm nay hoặc sáng mai: Anh Sơn xác nhận và bàn giao phần Facebook/Instagram Grow Data để team test.</t>
  </si>
  <si>
    <t>Trước thứ 5: Sửa xong các lỗi critical (điều hướng vào trang quản trị nhân sự, nút back menu chiến dịch, auto sổ tab quản lý kênh) và đẩy bản web lên app.</t>
  </si>
  <si>
    <t>Thứ 5: Demo bản app cho Trung Nguyên.</t>
  </si>
  <si>
    <t>Trong tuần này: Hoàn thành và test dashboard YouTube; hoàn thành phần backend TikTok (còn 1-2 ngày).</t>
  </si>
  <si>
    <t>Trong 1 tuần tới: Hoàn thành dashboard GSC và GA4 (còn ~8 ngày làm việc).</t>
  </si>
  <si>
    <t>Sau khi test dashboard YouTube xong: Bổ sung tính năng set KPI.</t>
  </si>
  <si>
    <t>Liên tục: Team chị Tiên và các user up lỗi thẳng lên group để dev xử lý ngay; Mai take note lỗi thuộc tính năng chưa release vào roadmap.</t>
  </si>
  <si>
    <t>Sau thứ 5: Optimize thêm (so sánh số liệu với Meta và các nền tảng khác, xem bài của ai đang chạy tốt...) và lên kế hoạch mobile app.</t>
  </si>
  <si>
    <t>Anh Vinh và anh Thuận chỉnh sửa lại phần UI báo cáo YouTube theo các góp ý đã thảo luận.</t>
  </si>
  <si>
    <t>sáng 8/4/2026</t>
  </si>
  <si>
    <t>Chuyển phần lượt đăng ký kênh lên đầu phần overview báo cáo hiệu quả kênh YouTube.</t>
  </si>
  <si>
    <t>Thay phần chọn video và kênh YouTube bằng cách ấn vào từng video trong danh sách top video để hiển thị báo cáo hiệu quả video YouTube tương ứng.</t>
  </si>
  <si>
    <t>Bổ sung nút chọn nhiều hơn top 10 video và phân trang tương tự kiểu Google (tab 1, 2, 3...).</t>
  </si>
  <si>
    <t>Cắt màn hình biểu đồ so sánh hiệu quả video với trung bình các video khác để đưa vào UI.</t>
  </si>
  <si>
    <t>Đổi tên phần “số người còn xem” thành “tổng phút xem” cho đúng số liệu.</t>
  </si>
  <si>
    <t>Chỉnh sửa phần live stream cho phép chọn video, thời gian xem, và số lượng người xem cụ thể trong khoảng live stream.</t>
  </si>
  <si>
    <t>Hoàn thiện và đẩy phần UI báo cáo YouTube cho DEV test.</t>
  </si>
  <si>
    <t>Sau khi DEV đẩy bản hoàn chỉnh, bên QA sẽ test lại và cập nhật feedback.</t>
  </si>
  <si>
    <t>Sau phần YouTube xong, bắt đầu phát triển tính năng set mục tiêu KPI cho từng thành viên trong nhóm.</t>
  </si>
  <si>
    <t>Nhóm Dev sẽ tắt thông báo anh Đình Minh khi anh này tham gia để tránh trùng thông tin.</t>
  </si>
  <si>
    <t>Phần báo cáo hiệu quả kênh và hiệu quả video YouTube được bố trí thành các tab riêng biệt để dễ theo dõi.</t>
  </si>
  <si>
    <t>Biểu đồ so sánh hiệu suất video sẽ chỉ hiển thị khi người dùng chọn một video cụ thể trong top video.</t>
  </si>
  <si>
    <t>Lượt đăng ký kênh sẽ được chuyển lên đầu báo cáo overview hiệu quả kênh YouTube.</t>
  </si>
  <si>
    <t>Danh sách video không giới hạn ở top 10 mà có thể xem thêm bằng phân trang.</t>
  </si>
  <si>
    <t>Live stream được tính là một loại video, cho phép chọn từng video livestream theo ngày giờ.</t>
  </si>
  <si>
    <t>Omnichannel và chat có thể được gộp chung thành 1 project; content team và anh Tấn hiện đang đảm nhiệm phần content, có thể bổ sung lực lượng hỗ trợ tùy tình hình.</t>
  </si>
  <si>
    <t>Sau khi hoàn thiện phần UI báo cáo YouTube, sẽ đẩy cho dev test và hoàn thiện trong ngày kế tiếp.</t>
  </si>
  <si>
    <t>Một số số liệu có tên gọi chưa chính xác, ví dụ “số người còn xem” cần đổi thành “tổng phút xem” để tránh nhầm lẫn.</t>
  </si>
  <si>
    <t>Biểu đồ so sánh hiệu suất video khá hay nhưng cách hiển thị còn chưa rõ, cần cắt màn hình để đưa vào UI.</t>
  </si>
  <si>
    <t>Giao diện hiện có phần chọn video và chọn kênh chưa hợp lý, sẽ bỏ phần này thay bằng cách chọn video ngay trên danh sách.</t>
  </si>
  <si>
    <t>Omnichannel và content team hiện chưa có sự phân chia chuyên sâu, thiếu nhân sự chuyên trách nên chất lượng có thể bị ảnh hưởng.</t>
  </si>
  <si>
    <t>Có độ trễ khoảng 1 tháng trong việc cập nhật số liệu hiệu suất do quy trình cặp dữ liệu 30 ngày/lần.</t>
  </si>
  <si>
    <t>Phần live stream cần điều chỉnh lại cách hiển thị thời gian và cách chọn video phù hợp với thực tế livestream hằng ngày.</t>
  </si>
  <si>
    <t>Anh Vinh và anh Thuận tiếp tục chỉnh sửa giao diện báo cáo hiệu suất YouTube chiều nay/xuyên đêm để sáng mai đẩy cho DEV.</t>
  </si>
  <si>
    <t>DEV nhận tài liệu UI hoàn chỉnh để phát triển và đẩy bản test vào ngày 8/4/2026.</t>
  </si>
  <si>
    <t>Bên QA thực hiện test và thu thập feedback về bản test UI mới, phản hồi cho DEV để cập nhật.</t>
  </si>
  <si>
    <t>Triển khai bổ sung nút phân trang top video và tích hợp biểu đồ so sánh hiệu suất video dưới phần lượt tương tác.</t>
  </si>
  <si>
    <t>Hoàn thiện phần live stream theo yêu cầu cho phép chọn video, chọn thời gian xem.</t>
  </si>
  <si>
    <t>Sau khi hoàn tất phần YouTube, nhóm tiến hành phát triển tính năng set KPI cá nhân cho từng thành viên.</t>
  </si>
  <si>
    <t>Tiếp tục theo dõi và điều chỉnh phần Omnichannel, cân nhắc bổ sung nhân sự hỗ trợ content team nếu cần.</t>
  </si>
  <si>
    <t>Giữ lịch họp đánh giá định kỳ theo tháng để cập nhật dữ liệu hoạt động và hiệu suất.</t>
  </si>
  <si>
    <t>Mọi thành viên tuân thủ thông báo và qui định nhắn tin – tắt thông báo cho anh Đình Minh khi anh này tham gia cuộc họp hoặc trao đổi.</t>
  </si>
  <si>
    <t>---</t>
  </si>
  <si>
    <t>Đây là biên bản tóm tắt đầy đủ và chính xác theo nội dung cuộc họp từ transcript đã cung cấp. Nếu cần bổ sung hay làm rõ thêm phần nào, bạn cứ yêu cầu nhé!</t>
  </si>
  <si>
    <t>Cuộc họp tập trung vào việc rà soát và triển khai các công việc liên quan đến dự án Villa, Tour, Combo, tích hợp chatbot và website hỗ trợ. Mục đích chính là đánh giá tiến độ, sửa lỗi, chuẩn bị dữ liệu cào, điều chỉnh booking flow, đồng thời thảo luận kế hoạch tích hợp các công cụ chatbot và quy hoạch các dự án tiếp theo.</t>
  </si>
  <si>
    <t>Sửa lại giao diện phần Villa: bỏ các mục không cần thiết như 4 chiếc UDT, combo, sửa cân tay, điều chỉnh các nút nhận booking, tư vấn và liên hệ trực tiếp.</t>
  </si>
  <si>
    <t>Gửi lại nội dung để thay đổi phần content trong Villa.</t>
  </si>
  <si>
    <t>Cào data tour và combo, hoàn thành trong 2 ngày kể từ khi có link dữ liệu.</t>
  </si>
  <si>
    <t>Lên phần chi tiết cho tour dựa trên data đã cào.</t>
  </si>
  <si>
    <t>Cài đặt, tích hợp chatbot HiChat vào hệ thống để khách hàng có thể tương tác như người thật.</t>
  </si>
  <si>
    <t>Tìm hiểu và hỏi anh Minh cách cài đặt HiChat.</t>
  </si>
  <si>
    <t>Dừng triển khai các dự án liên quan đến 2 chat và Omnichannel cũ, tập trung làm trang website mới cho Highlighting Pack.</t>
  </si>
  <si>
    <t>Viết bài viết mới cho blog sau khi hoàn thành từng phần combo, tránh trùng nội dung với affiliate.</t>
  </si>
  <si>
    <t>Xử lý lỗi bot, kiểm tra lại phần hoạt động chatbot hiện tại.</t>
  </si>
  <si>
    <t>Cào dữ liệu dựa trên các link và hạng mục do chị cung cấp.</t>
  </si>
  <si>
    <t>Đồng ý bỏ các mục không cần thiết trong Villa, chỉ giữ lại phần chi tiết và chỉnh sửa các chức năng liên quan đến booking, tư vấn, liên hệ.</t>
  </si>
  <si>
    <t>Chốt thời gian cào data tour và combo trong khoảng 1-2 ngày, ưu tiên 2 ngày để lên chi tiết.</t>
  </si>
  <si>
    <t>Các nút Conduction sẽ dẫn về Funpack hoặc Yaloa cho việc tư vấn tự động.</t>
  </si>
  <si>
    <t>Tích hợp chatbot HiChat để thay thế hoặc bổ sung Omnichannel, tăng khả năng học dữ liệu và tương tác người dùng.</t>
  </si>
  <si>
    <t>Dừng toàn bộ các công việc liên quan đến 2 chat cũ và Omnichannel trên website hiện tại, đảm bảo chỉ tập trung vào kế hoạch website mới cho Highlighting Pack.</t>
  </si>
  <si>
    <t>Phương án viết bài blog mới, tránh trùng nội dung với affiliate.</t>
  </si>
  <si>
    <t>Một số lỗi về bot chatbot hiện tại, dữ liệu cứng và hoạt động không ổn định trên môi trường sản xuất (dev vẫn ổn).</t>
  </si>
  <si>
    <t>Khó khăn trong việc tích hợp một số khung riêng của chatbot vào hệ thống mới.</t>
  </si>
  <si>
    <t>Rủi ro về tốc độ cào data do bị chặn bởi các công cụ bảo vệ trang web nguồn, máy móc yếu sẽ làm chậm tiến độ.</t>
  </si>
  <si>
    <t>Các nội dung blog giả hoặc dữ liệu chưa có tính xác thực cao ban đầu, cần viết lại để tránh trùng lặp và đảm bảo chất lượng.</t>
  </si>
  <si>
    <t>Quá trình chuyển đổi và đồng bộ 2 công cụ chatbot đang gây khó khăn, cần có cách thức tích hợp hợp lý hơn.</t>
  </si>
  <si>
    <t>Tiếp tục sửa giao diện Villa theo yêu cầu, chỉnh các nút chức năng booking và tư vấn, chờ nhận content mới từ chị để hoàn thiện.</t>
  </si>
  <si>
    <t>Tập trung cào dữ liệu tour và combo trong 2 ngày tới, sau đó hoàn thiện phần chi tiết của tour.</t>
  </si>
  <si>
    <t>Tiến hành tích hợp chatbot HiChat vào hệ thống, đồng thời liên hệ anh Minh để hỗ trợ hướng dẫn cài đặt.</t>
  </si>
  <si>
    <t>Dừng tất cả dự án liên quan đến 2 chat cũ và Omnichannel trên website hiện tại, chuẩn bị thực hiện trang website mới dành cho Highlighting Pack.</t>
  </si>
  <si>
    <t>Viết bài blog mới sau khi hoàn thành các phần combo, tránh sao chép dữ liệu giả và nội dung trùng lặp.</t>
  </si>
  <si>
    <t>Xử lý các lỗi bot chatbot hiện có để đảm bảo tính ổn định khi đưa vào hoạt động chính thức.</t>
  </si>
  <si>
    <t>Tiếp tục theo dõi tiến độ và báo cáo định kỳ các bước thực hiện, chuẩn bị họp đánh giá tiếp nếu cần.</t>
  </si>
  <si>
    <t>Cuộc họp thảo luận về kế hoạch quản lý và triển khai nội dung marketing, xây dựng cộng đồng trên các kênh Facebook, Discord, TikTok cho các dự án AI Marketing như Marquee, Maki và các dự án liên quan. Mục đích chính là phân bổ công việc, điều chỉnh nội dung và định hướng triển khai để tăng tương tác, thu hút user phù hợp với từng nền tảng và dự án.</t>
  </si>
  <si>
    <t>Duy trì post bài song song trên Facebook, Discord với nội dung trải nghiệm AI Marketing như người dùng bình thường, không PR trực tiếp.</t>
  </si>
  <si>
    <t>Chuẩn bị tài liệu video, hình ảnh, content test sử dụng Marquee để chia sẻ lên cộng đồng AI Marketing.</t>
  </si>
  <si>
    <t>Sửa lại phần content liên quan đến Gold ở Nắng, đặc biệt đoạn mô tả vận hành villa, gửi lại trước 5-6 giờ chiều 07/04/2026.</t>
  </si>
  <si>
    <t>Product phân phối lại phần admin để có thể liên kết patch Denmark với hệ thống hiện tại.</t>
  </si>
  <si>
    <t>Hoàn thiện chỉnh sửa bộ câu hỏi và đổi tên HeChat thành MagiChat, đồng bộ logo, linh vật và guideline màu của Marky cho MarkyChat trước Thứ 6 (10/04/2026).</t>
  </si>
  <si>
    <t>Tạo group Facebook riêng cho dự án G.O.A.T hoặc liên quan Đà Nẵng với nội dung thu hút giới trẻ, mang tính trải nghiệm dịch vụ du lịch Đà Nẵng, đăng tải video tổng hợp liên quan.</t>
  </si>
  <si>
    <t>Làm lại nội dung fanpage G.O.A.T tập trung chủ đề mùa hè Đà Nẵng, lập folder tài liệu video hỗ trợ đăng tải trên TikTok.</t>
  </si>
  <si>
    <t>Gửi lại layout phần combo tư vấn Gold ở Nắng sớm nhất có thể, ưu tiên trước Thứ 4 (08/04/2026).</t>
  </si>
  <si>
    <t>Mỗi thành viên tạo file tracking riêng cho từng dự án (Monkey, Discord, Facebook...) để dễ dàng quản lý và truy cập thông tin.</t>
  </si>
  <si>
    <t>Lấy content từ anh Huấn để chạy cho các group liên quan, đảm bảo chỉnh sửa phù hợp đặc thù từng nền tảng (Facebook, TikTok, Instagram...).</t>
  </si>
  <si>
    <t>Hoàn thiện kế hoạch hoạt động group Facebook, lên kế hoạch đăng bài chi tiết gửi trước 20:00 ngày 07/04/2026.</t>
  </si>
  <si>
    <t>Điều chỉnh phân bổ công việc, task cho 4 dự án ưu tiên: G.O.A.T (Goa Đắng), Maki, Maki Chat, Chloe AI theo hướng hợp lý và logic hơn do đang chồng chéo.</t>
  </si>
  <si>
    <t>Giữ hai hướng chạy nội dung song song: post bài trải nghiệm user thực tế và duy trì trang chính (fanpage).</t>
  </si>
  <si>
    <t>Sửa lại tên, logo, linh vật branding của MagiChat đồng bộ theo nhận diện chung của Marky trước Thứ 6.</t>
  </si>
  <si>
    <t>Tạo group Facebook vệ tinh cho dự án G.O.A.T, không nhất thiết đặt tên đúng, đề xuất tên thu hút giới trẻ liên quan đến Đà Nẵng.</t>
  </si>
  <si>
    <t>Ưu tiên triển khai và phân bổ lại các dự án theo thứ tự ưu tiên rõ ràng: G.O.A.T, Maki, Maki Chat, Chloe AI.</t>
  </si>
  <si>
    <t>Mỗi thành viên sẽ giữ file tracking riêng theo dự án để dễ quản lý và cập nhật tiến độ.</t>
  </si>
  <si>
    <t>Nội dung hiện tại trên fanpage G.O.A.T thiếu hấp dẫn, hình ảnh không thu hút, chưa phù hợp mùa hè ở Đà Nẵng.</t>
  </si>
  <si>
    <t>Tương tác trên các group AI Marketing hiện rất thấp mặc dù có lượng user lớn.</t>
  </si>
  <si>
    <t>Chưa có tính năng tích hợp group Facebook vào app Maki gây khó khăn trong việc xây dựng cộng đồng.</t>
  </si>
  <si>
    <t>Phân bổ công việc các dự án đang chồng chéo, gây lộn xộn, chưa có kế hoạch triển khai chi tiết đồng bộ.</t>
  </si>
  <si>
    <t>Chưa hoàn thành content phần Gold ở Nắng theo yêu cầu, tiến độ chậm so với kế hoạch.</t>
  </si>
  <si>
    <t>Chưa thống nhất rõ trình tự triển khai nội dung video, content trên các platform.</t>
  </si>
  <si>
    <t>Sửa content phần Gold ở Nắng, đặc biệt sửa đoạn vận hành villa, gửi lại trong chiều 07/04.</t>
  </si>
  <si>
    <t>Thực hiện chỉnh sửa và hoàn thiện logo, linh vật, guideline cho MagiChat, gửi sản phẩm cuối cùng trước Thứ 6 (10/04).</t>
  </si>
  <si>
    <t>Tạo và ra mắt group Facebook vệ tinh cho dự án G.O.A.T, phát triển nội dung thu hút, chuẩn bị tài liệu video đăng TikTok.</t>
  </si>
  <si>
    <t>Hoàn thiện layout combo tư vấn Gold ở Nắng và gửi sớm nhất, tối ưu trước Thứ 4 (08/04).</t>
  </si>
  <si>
    <t>Từng thành viên tạo file tracking cho các dự án đang chạy và cập nhật thường xuyên để dễ giám sát.</t>
  </si>
  <si>
    <t>Lấy content từ anh Huấn và phối hợp chỉnh sửa phù hợp để chạy cho các group Facebook.</t>
  </si>
  <si>
    <t>Lên kế hoạch chi tiết cho hoạt động group Facebook và các kênh khác, gửi bản kế hoạch trước 20:00 ngày 07/04.</t>
  </si>
  <si>
    <t>Chủ động triển khai theo các tag được giao, chuẩn bị báo cáo, chờ phân bổ lại công việc theo quyết định phân loại dự án ưu tiên.</t>
  </si>
  <si>
    <t>Product team tiến hành triển khai tính năng kết nối group Facebook với app Maki trong các phiên bản tới.</t>
  </si>
  <si>
    <t>Tiếp tục theo dõi mức độ tương tác trên các kênh, điều chỉnh nội dung để tăng hiệu quả truyền thông và thu hút user đúng phân khúc.</t>
  </si>
  <si>
    <t>Chuẩn bị tổ chức họp hoặc briefing tiếp theo sau khi có kết quả phân bổ công việc mới và tiến độ các task quan trọng.</t>
  </si>
  <si>
    <t>Nếu bạn cần, tôi có thể hỗ trợ soạn kịch bản hoặc template báo cáo chi tiết cho từng action item hoặc bước tiếp theo.</t>
  </si>
  <si>
    <t>Cuộc họp thảo luận về các phản hồi và đề xuất cải tiến giao diện, chức năng quản lý thành viên và trải nghiệm sử dụng trong dự án Omnichannel và MakiChat. Mục đích chính nhằm tối ưu quy trình thao tác trên phần quản lý chiến dịch, nâng cao khả năng xem và điều chỉnh vai trò thành viên trong nhóm dự án.</t>
  </si>
  <si>
    <t>Cập nhật để khi người dùng nhấn vào phần quản lý sẽ tự động xổ xuống và chuyển thẳng sang tab đăng bài, không chỉ xổ xuống đơn thuần.</t>
  </si>
  <si>
    <t>Điều chỉnh giao diện, di chuyển danh sách thành viên nhóm từ bên trái xuống dưới phần danh sách chiến dịch để dễ nhìn và thuận tiện hơn.</t>
  </si>
  <si>
    <t>Gửi yêu cầu cập nhật quyền quản lý/cấp quyền quản lý cho người dùng trong nhóm dự án với anh Minh.</t>
  </si>
  <si>
    <t>Lập lại và tổng hợp các phần feedback đã trao đổi trong cuộc họp để gửi cho các bên liên quan.</t>
  </si>
  <si>
    <t>Giữ nguyên trạng thái phần danh sách thành viên chiến dịch nhưng sẽ thêm danh sách thành viên chung của dự án để mọi người dễ kiểm soát.</t>
  </si>
  <si>
    <t>Quyền xem danh sách thành viên dự án nên được mở rộng để ít nhất người dùng biết được ai đang là thành viên, quyền điều chỉnh cụ thể dành cho Admin và Quản lý.</t>
  </si>
  <si>
    <t>Giao diện xổ xuống phần quản lý các tab (đăng bài, sản xuất nội dung…) sẽ được cải tiến để người dùng không phải thao tác nhiều lần mới vào được nội dung cần thiết.</t>
  </si>
  <si>
    <t>Người dùng không biết mình có vai trò gì trong nhóm dự án do không xem được danh sách thành viên ở mức dự án.</t>
  </si>
  <si>
    <t>Danh sách thành viên hiện được đặt ở vị trí bên trái, ít được chú ý nên dễ bị bỏ qua.</t>
  </si>
  <si>
    <t>Cần bổ nhiệm quyền rõ ràng để người quản lý dễ dàng điều chỉnh thành viên.</t>
  </si>
  <si>
    <t>Một số trao đổi trong cuộc họp bị ngắt quãng do âm thanh nhỏ, gây khó khăn trong giao tiếp.</t>
  </si>
  <si>
    <t>Người phản hồi sẽ nhắn tin cho anh Minh để cập nhật quyền quản lý trong nhóm dự án.</t>
  </si>
  <si>
    <t>Triển khai điều chỉnh giao diện theo feedback: tự động chuyển tab khi nhấn vào quản lý, di chuyển danh sách thành viên xuống phần chiến dịch.</t>
  </si>
  <si>
    <t>Tổng hợp và gửi lại các feedback đã trao đổi trong cuộc họp để phía kỹ thuật hoặc quản lý dự án theo dõi và thực hiện.</t>
  </si>
  <si>
    <t>Nếu có thắc mắc hoặc vấn đề mới phát sinh sẽ tổ chức cuộc họp tiếp theo hoặc trao đổi qua chat để làm rõ.</t>
  </si>
  <si>
    <t>Tiếp tục theo dõi phản hồi từ anh Minh và các thành viên để hoàn thiện quyền quản lý và giao diện.</t>
  </si>
  <si>
    <t>Cuộc họp diễn ra nhằm giới thiệu và trao đổi về nhóm thực tập sinh ngành Công nghệ Thông tin, xác định vai trò chuyên môn của từng người cũng như hướng dẫn quy trình thực tập, đánh giá KPI và xác định công việc liên quan tới dự án hiện có. Mục đích chính là thiết lập nhân sự, công cụ theo dõi công việc và các quy định về đào tạo, thanh toán cho thực tập sinh.</t>
  </si>
  <si>
    <t>Gửi file để các thực tập sinh điền thông tin cá nhân và dự án tham gia.</t>
  </si>
  <si>
    <t>Tạo user profile cho từng thực tập sinh trên hệ thống quản lý KPI.</t>
  </si>
  <si>
    <t>Hỗ trợ các thực tập sinh trong dự án khi cần thiết, đặc biệt cách phối hợp giữa Thanh và Tiên ở dự án Gao Đà Nẵng.</t>
  </si>
  <si>
    <t>Theo dõi và nhập dữ liệu KPI hàng tháng vào file hệ thống để đánh giá quá trình thực tập.</t>
  </si>
  <si>
    <t>Hàng tháng trong thời gian thực tập</t>
  </si>
  <si>
    <t>Lên báo cáo về kết quả KPI để xem xét việc tăng lương cho thực tập sinh theo cấp độ.</t>
  </si>
  <si>
    <t>Thời gian thực tập tối thiểu là 3 tháng để đủ điều kiện nhận giấy chứng nhận thực tập.</t>
  </si>
  <si>
    <t>Thực tập sinh tháng đầu tiên không lương nhưng vẫn được tính KPI.</t>
  </si>
  <si>
    <t>Mức thưởng KPI theo mức như sau: tháng đầu tiên không lương, tháng kế tiếp là 1 triệu đồng, tháng sau nữa là 3 triệu đồng.</t>
  </si>
  <si>
    <t>Nếu thực tập sinh hoàn thành tốt sẽ được xét lên làm chính thức.</t>
  </si>
  <si>
    <t>Phân công Vũ chuyên về frontend, Thanh chuyên về backend; đồng thời Thanh hỗ trợ Tiên tại dự án Gao Đà Nẵng.</t>
  </si>
  <si>
    <t>Sử dụng file KPI để theo dõi thời gian, project, kỹ năng và mức độ khó của nhiệm vụ thực hiện.</t>
  </si>
  <si>
    <t>Vũ chưa có kỹ năng thiết kế giao diện UI, yêu cầu nếu cần thiết bổ sung thêm người hỗ trợ phần UI.</t>
  </si>
  <si>
    <t>Không có các vấn đề, rủi ro đặc biệt khác được nêu.</t>
  </si>
  <si>
    <t>Gửi file thông tin và hướng dẫn cách điền cho thực tập sinh để chuẩn bị tạo user profile trên hệ thống KPI.</t>
  </si>
  <si>
    <t>Thực tập sinh hoàn thành thủ tục kê khai công việc, KPI hàng tháng trong file trung tâm để quản lý và đánh giá.</t>
  </si>
  <si>
    <t>Các thực tập sinh phối hợp cùng nhau trong dự án theo phân công, có thể hỏi thêm khi có khó khăn.</t>
  </si>
  <si>
    <t>Bộ phận quản lý theo dõi KPI để có quyết định nâng lương hoặc đề bạt lên vị trí chính thức khi phù hợp.</t>
  </si>
  <si>
    <t>Tiếp tục hỗ trợ thực tập sinh hoàn thiện kỹ năng liên quan đến frontend/backend và giao diện nếu cần thiết.</t>
  </si>
  <si>
    <t>Có thể tổ chức cuộc họp/tương tác tiếp theo để cập nhật tiến độ, tuy nhiên không có cuộc họp kế tiếp cụ thể trong transcript.</t>
  </si>
  <si>
    <t>Cuộc họp tập trung thảo luận về tiến độ, giải pháp và phân công công việc liên quan đến việc phát triển, cập nhật các task về hệ thống AI, đổi logo và giao diện web, chatbot, thu thập dữ liệu từ mạng xã hội, cũng như các dự án tại Đà Nẵng và forum. Mục đích chính là cập nhật tiến độ từng dự án, tháo gỡ vấn đề hiện tại và xây dựng kế hoạch thực hiện tiếp theo.</t>
  </si>
  <si>
    <t>Task</t>
  </si>
  <si>
    <t>Member</t>
  </si>
  <si>
    <t>Note</t>
  </si>
  <si>
    <t>Xây dựng chức năng summary tin nhắn hàng ngày của nhóm trên Telegram hoặc Zalo để tóm tắt các thông tin chính trong cuộc hội thoại.</t>
  </si>
  <si>
    <t>Chi tiết tour GoDN</t>
  </si>
  <si>
    <t>Thiết lập cú pháp đơn giản để giao task qua chat, bao gồm tên task, người phụ trách, deadline và mức độ ưu tiên để bot tự cập nhật task đúng trên Google Sheets.</t>
  </si>
  <si>
    <t>Crawl facebook</t>
  </si>
  <si>
    <t>Nghiên cứu và thực hiện việc đổi logo, giao diện của web MatterMost sang logo của công ty.</t>
  </si>
  <si>
    <t>Summary chat trong ngày và auto fill task theo cú pháp</t>
  </si>
  <si>
    <t>Nghiên cứu, kiểm tra việc deploy Master Mode trên VM, bao gồm xem xét image để có thể chỉnh sửa, build bản riêng.</t>
  </si>
  <si>
    <t>Video và docs hướng dẫn sử dụng crawl Data Tiktok</t>
  </si>
  <si>
    <t>Nguyễn Tiến Huy</t>
  </si>
  <si>
    <t>Hoàn thành sửa lỗi, nâng cấp chatbot gấu Đà Nẵng, hoàn thiện phần chi tiết trang tour.</t>
  </si>
  <si>
    <t>Sửa lại logo MatterMost</t>
  </si>
  <si>
    <t>Tìm hiểu khả năng tích hợp chatbot với Light Model (LM) và automation workflow của n8n hoặc các công cụ khác để tối ưu phản hồi.</t>
  </si>
  <si>
    <t>Crawl data Tour</t>
  </si>
  <si>
    <t>Xây dựng, hoàn chỉnh forum mới trên môi trường DEV để phục vụ sửa đổi thông tin dễ dàng.</t>
  </si>
  <si>
    <t>Chat gợi ý tour,villa GoDN</t>
  </si>
  <si>
    <t>Hoàn thiện phần fix frontend của website liên quan đến forum, Omni, HiChat và tích hợp tính năng đăng bài tự động qua MyKey hoặc các tool tương tự.</t>
  </si>
  <si>
    <r>
      <rPr/>
      <t xml:space="preserve">Sửa lại giao web </t>
    </r>
    <r>
      <rPr>
        <color rgb="FF1155CC"/>
        <u/>
      </rPr>
      <t>securityzone.vn/forum</t>
    </r>
    <r>
      <rPr/>
      <t xml:space="preserve"> trên bản dev</t>
    </r>
  </si>
  <si>
    <t>Chờ chị Hân clone 1 forum bản dev</t>
  </si>
  <si>
    <t>Trao đổi, phối hợp với bên anh Sơn về việc tích hợp hệ thống đăng bài tự động.</t>
  </si>
  <si>
    <t>Làm phần Blog cho GoDN để mấy bạn MKT có thể đăng bài bằng account</t>
  </si>
  <si>
    <t>Tiếp tục hoàn thiện việc crawl dữ liệu Facebook, đặc biệt lấy đủ thông tin view, bình luận, và lọc data khách hàng tiềm năng để phục vụ tương tác.</t>
  </si>
  <si>
    <r>
      <rPr/>
      <t xml:space="preserve">Sửa lại trang contact trên </t>
    </r>
    <r>
      <rPr>
        <color rgb="FF1155CC"/>
        <u/>
      </rPr>
      <t>securityzone.vn</t>
    </r>
  </si>
  <si>
    <t>Thực hiện review cấp độ 2 (lvl 2) với sự tham gia đánh giá của Thương và Thuật đối với phần crawl data và frontend.</t>
  </si>
  <si>
    <t>Cập nhật tiến độ, báo cáo deadline các task trong cuộc họp tuần tới.</t>
  </si>
  <si>
    <t>Tất cả các post video, nội dung đăng lên mạng xã hội phải qua công cụ MyKey để quản lý số liệu.</t>
  </si>
  <si>
    <t>Đồng ý tập trung làm hai tính năng chính cho bot: summary nội dung chat hàng ngày và cú pháp nhắn task đơn giản để cập nhật task tự động trên Google Sheets.</t>
  </si>
  <si>
    <t>Phân công nhiệm vụ cụ thể cho từng thành viên: Thương làm phụ trách review data và phối hợp với Thuật, Tiên xử lý dự án chatbot gấu Đà Nẵng, Thanh, Vũ hỗ trợ sửa dữ liệu cứng cho form và site.</t>
  </si>
  <si>
    <t>Đồng thuận sử dụng MyKey làm kênh đăng bài video, tin tức lên mạng xã hội để có số liệu thống kê chính xác, thay vì đăng trực tiếp trên nhiều nền tảng rời rạc.</t>
  </si>
  <si>
    <t>Kế hoạch trao đổi với bên anh Sơn tuần tới để đồng bộ tích hợp hệ thống đăng bài tự động.</t>
  </si>
  <si>
    <t>Kế hoạch họp tiếp theo trong tuần tới (thứ 3 hoặc thứ 4) để final tiến độ và check deadline các phần đã giao.</t>
  </si>
  <si>
    <t>Bot tự động không truy cập được Google Sheets để cập nhật task có sẵn, dẫn đến tình trạng tạo task trùng lặp, không cập nhật trạng thái task cũ đúng.</t>
  </si>
  <si>
    <t>Việc đổi logo và giao diện web Master Mode vẫn chưa thực hiện do chưa rõ cách thức và thiếu kinh nghiệm deploy trên VM.</t>
  </si>
  <si>
    <t>Chatbot gấu Đà Nẵng còn lỗi, chưa hoàn chỉnh phần chi tiết trang tour.</t>
  </si>
  <si>
    <t>Chưa rõ ràng về việc tích hợp chatbot với LM và workflow automation n8n.</t>
  </si>
  <si>
    <t>Vấn đề tích hợp đăng bài tự động chưa hoàn toàn ổn định, có thể do bị giới hạn giữ lại giao diện từ tool hiện tại.</t>
  </si>
  <si>
    <t>Crawl Facebook gặp hạn chế trong việc lấy đủ dữ liệu chi tiết (view, comment,...).</t>
  </si>
  <si>
    <t>Forum cần xây dựng lại cơ bản trên môi trường DEV trước khi đưa vào sử dụng.</t>
  </si>
  <si>
    <t>Cần training lại đội team game để các thành viên mới có thể tiếp cận sửa code, dữ liệu.</t>
  </si>
  <si>
    <t>Giao diện UI tweak cho forum và screen zone cần chỉnh sửa thêm.</t>
  </si>
  <si>
    <t>Vấn đề lag mạng và thoại trong họp ảnh hưởng phần nào đến việc trao đổi thông tin.</t>
  </si>
  <si>
    <t>Thúc tập trung hoàn thành tính năng summary chat hàng ngày và xây dựng cú pháp task đơn giản, báo cáo tiến độ, deadline trong cuộc họp tới.</t>
  </si>
  <si>
    <t>Nghiên cứu và phối hợp với chị Diệp Hân để xây dựng forum mới trên môi trường DEV, đồng thời chuẩn bị tài khoản, tài liệu cho việc đổi logo và giao diện web Master Mode.</t>
  </si>
  <si>
    <t>Tiên hoàn thiện chatbot Go Đà Nẵng và phần chi tiết trang tour, đồng thời tìm hiểu tích hợp chatbot với LM và automation workflow.</t>
  </si>
  <si>
    <t>Thanh và Vũ hỗ trợ sửa dữ liệu cứng, phối hợp với team training để triển khai công việc cho các bạn mới.</t>
  </si>
  <si>
    <t>Trao đổi và làm việc với bên anh Sơn trong tuần tới về tích hợp hệ thống đăng bài tự động qua Markee hoặc công cụ tương tự.</t>
  </si>
  <si>
    <t>Tiếp tục thu thập/crawl data Facebook đúng yêu cầu để phục vụ phân tích và tương tác khách hàng.</t>
  </si>
  <si>
    <t>Tiến hành review lvl 2 với sự tham gia của Thương và Thuật, nhận phản hồi để hoàn thiện sản phẩm.</t>
  </si>
  <si>
    <t>Lên kế hoạch họp tiếp theo vào thứ 3 hoặc thứ 4 tuần sau để tổng kết tiến độ, bàn giao các phần hoàn thành, đưa ra deadline cuối cho các task tồn đọng.</t>
  </si>
  <si>
    <t>Tất cả nội dung video, bài đăng lên mạng xã hội phải đăng qua Markee để quản lý và thống kê số liệu hiệu quả.</t>
  </si>
  <si>
    <t>Theo dõi tình trạng kết nối, đảm bảo âm thanh họp ổn định trong các buổi trao đổi tới.</t>
  </si>
  <si>
    <t>Nếu cần tôi có thể giúp làm biên bản chi tiết theo từng phần công việc hoặc hỗ trợ soạn email tóm tắt gửi team.</t>
  </si>
  <si>
    <t>Không có action items cụ thể.</t>
  </si>
  <si>
    <t>Không có quyết định chính thức.</t>
  </si>
  <si>
    <t>Không có vấn đề đặc biệt.</t>
  </si>
  <si>
    <t>Không có bước tiếp theo cụ thể được đề cập. Đề xuất tổ chức lại cuộc họp với nội dung rõ ràng và mục đích cụ thể nhằm đảm bảo hiệu quả công việc.</t>
  </si>
  <si>
    <t>Cuộc họp tập trung thảo luận về định hướng thương hiệu và xây dựng website mới cho dự án MakiChat, hợp nhất hai sản phẩm Omi và Hai Jack thành Maki Jack, đồng thời bàn về vấn đề thiếu nhân sự cho các dự án marketing thuộc các brand CloudGate, Security Zone và Marquee. Mục đích chính là thống nhất kế hoạch phát triển website, nhận diện thương hiệu, nhân sự cần bổ sung và công tác tuyển dụng thực tập sinh, nhân viên chính thức.</t>
  </si>
  <si>
    <t>Dựng lại website MakiChat với đầy đủ thông tin sản phẩm, landing page theo từng ngành.</t>
  </si>
  <si>
    <t>Xem lại, phân loại sản phẩm đúng theo 3 brand: CloudGate, Security Zone, Marquee.</t>
  </si>
  <si>
    <t>Gộp 2 sản phẩm Omi và Hai Jack thành một con Maki Jack trong hệ sinh thái Maki.</t>
  </si>
  <si>
    <t>Bổ sung nhân sự: 3 bạn content (1 tại Go Đà Nẵng, 1 tại Marquee, 1 tại Flow AI), 1 editor cho Flow AI.</t>
  </si>
  <si>
    <t>Bổ sung thêm nhân sự Ý Bình và Tuấn vào team.</t>
  </si>
  <si>
    <t>Phối hợp với Dung đăng tuyển dụng nhân sự, ưu tiên tuyển dài hạn, nếu thiếu cấp bách thì tuyển thêm thực tập sinh.</t>
  </si>
  <si>
    <t>Liên hệ anh Duy để gọi điện phối hợp với trường đại học (FPT, Duy Tân) để hỗ trợ tuyển thực tập sinh.</t>
  </si>
  <si>
    <t>Tạo và thống nhất tài khoản LinkedIn chung cho các dự án như HiChat, MyKey; dùng email công ty Maki để làm tài khoản chính.</t>
  </si>
  <si>
    <t>Tổng hợp và đồng bộ các tài khoản social media, marketing trên nền tảng Mikey.</t>
  </si>
  <si>
    <t>Theo dõi và phối hợp với đội Dev xử lý lỗi quyền add tài khoản nhóm liên quan.</t>
  </si>
  <si>
    <t>Mai và nhóm có trách nhiệm xem xét cải tiến nhận diện thương hiệu (logo, màu sắc) cho website và landing page.</t>
  </si>
  <si>
    <t>Lên kế hoạch tổ chức một buổi meeting giữa Mai và team để rà soát công việc liên quan.</t>
  </si>
  <si>
    <t>Chia rõ brand: Security Zone chuyên về mảng công nghệ Antivirus Security, Marquee chuyên về marketing và AI, tên công ty mẹ là CloudGate.</t>
  </si>
  <si>
    <t>Gộp Omi và Hai Jack thành Maki Jack, phát triển website mới mô tả chi tiết chức năng chatbot và các tính năng theo ngành.</t>
  </si>
  <si>
    <t>Thay đổi nhận diện thương hiệu các sản phẩm marketing (logo, màu sắc, landing page) cho đồng bộ và nhất quán hơn.</t>
  </si>
  <si>
    <t>Ưu tiên tuyển dụng nhân sự lâu dài; trong trường hợp thiếu quá thì sử dụng thực tập sinh hỗ trợ.</t>
  </si>
  <si>
    <t>Tạo một tài khoản LinkedIn chung cho các dự án marketing để dễ quản lý và đồng bộ account.</t>
  </si>
  <si>
    <t>Thiếu nhân sự nghiêm trọng: cần ít nhất 3 content và 1 editor để đảm bảo chạy kênh marketing hiệu quả.</t>
  </si>
  <si>
    <t>Nhân sự hiện tại làm việc chưa chủ động, chỉ copy-paste nội dung từ ChatGPT, không đảm bảo chất lượng.</t>
  </si>
  <si>
    <t>Tình trạng nhận diện thương hiệu không đồng nhất, các badge từng kênh màu sắc và kiểu dáng khác nhau gây loạn.</t>
  </si>
  <si>
    <t>Lỗi quyền truy cập và thêm tài khoản nhóm trong hệ thống chưa được fix, gây khó khăn cho việc quản lý account.</t>
  </si>
  <si>
    <t>Sử dụng thực tập sinh có thể gây rủi ro về tính liên tục và chất lượng công việc do thời gian hợp tác ngắn.</t>
  </si>
  <si>
    <t>Tiến hành gộp sản phẩm Omi và Hai Jack thành Maki Jack, xây dựng website mới theo kế hoạch.</t>
  </si>
  <si>
    <t>Mai và nhóm tổ chức buổi meeting cùng team để rà soát kế hoạch nhận diện thương hiệu, logo, màu sắc, nội dung landing page.</t>
  </si>
  <si>
    <t>Tuyển dụng thêm nhân sự content và editor theo danh sách thiếu hụt, phối hợp với Dung để đăng tin và liên hệ trường đại học.</t>
  </si>
  <si>
    <t>Anh Duy liên hệ nhanh với các trường đại học (FPT, Duy Tân) để triển khai tuyển thực tập sinh làm nguồn dự phòng.</t>
  </si>
  <si>
    <t>Hoàn thiện và đồng bộ hóa tài khoản LinkedIn cho các dự án, ưu tiên sử dụng email công ty chung của Maki.</t>
  </si>
  <si>
    <t>Theo dõi, phối hợp với đội Dev xử lý lỗi hệ thống quyền truy cập nhóm để đảm bảo các tài khoản vận hành trơn tru.</t>
  </si>
  <si>
    <t>Trong tuần tới tập trung tổng hợp, sắp xếp toàn bộ các account marketing trên nền tảng Mikey để quản lý hiệu quả.</t>
  </si>
  <si>
    <t>Tạm thời dùng nguồn nhân sự hiện có như Ý Bình, Tuấn để giữ ổn định dự án cho đến khi tuyển đủ người mới.</t>
  </si>
  <si>
    <t>Cân nhắc kỹ việc sử dụng thực tập sinh chỉ như giải pháp ngắn hạn, ưu tiên tuyển nhân sự dài hạn đảm bảo chất lượng dự án.</t>
  </si>
  <si>
    <t>Hoàn thiện layout banner với phần hình ảnh bên phải, nội dung bên trái và 3 combo nổi bật được trình bày theo dạng ngang hoặc cột ngang, chọn một trong hai option thiết kế cho phần combo.</t>
  </si>
  <si>
    <t>Triển khai bộ lọc filter ở dưới phần combo theo mẫu thiết kế đã được đề xuất, tương tự như bên Villa nhưng dạng ngang.</t>
  </si>
  <si>
    <t>Làm một trang combo tương tự như trang villa và trang tour, có đa hàng dữ liệu, và khi bấm vào combo sẽ ra phần chi tiết chi tiết.</t>
  </si>
  <si>
    <t>Tuyển và bố trí 9 người làm việc phần giao diện (giao diễn) để đảm bảo đồng nhất layout, hình ảnh, màu sắc.</t>
  </si>
  <si>
    <t>Các bạn khác hỗ trợ cào và đẩy data cho phần chi tiết combo dưới sự điều phối của nhóm thiết kế.</t>
  </si>
  <si>
    <t>Thêm các trường dữ liệu cần thiết trên admin để sửa nội dung chi tiết combo và phần booking, fix các lỗi ở chỗ booking và phần dữ liệu.</t>
  </si>
  <si>
    <t>Hạn chế việc người dùng phải nhập tay trong form đặt tour, thiết kế tương tác thông minh như AI để tăng tính tiện lợi và trải nghiệm người dùng.</t>
  </si>
  <si>
    <t>Hoàn thiện phần chi tiết tour, dự kiến xong trong khoảng tuần này, ưu tiên hoàn thiện phần layout combo để sớm hoàn thiện web.</t>
  </si>
  <si>
    <t>Phân tích kỹ chỗ filter về giá tour, thêm tính năng sắp xếp giá từ thấp tới cao và ngược lại.</t>
  </si>
  <si>
    <t>Kiểm tra và chỉnh sửa các trường lọc theo địa điểm, thêm trường đón khách gồm đón tại sân bay, đón tại nhà, nhưng bỏ lọc đón khách bằng tour guide trong filter để gọn hơn.</t>
  </si>
  <si>
    <t>Tiếp tục cào dữ liệu từ các website khác để làm đầy đủ giá cả, nội dung cho các tour và combo.</t>
  </si>
  <si>
    <t>Gửi lại biên bản và các ghi chú liên quan công việc sau cuộc họp.</t>
  </si>
  <si>
    <t>Layout phần banner sẽ gồm phần hình ảnh bên phải, nội dung bên trái.</t>
  </si>
  <si>
    <t>3 combo nổi bật sẽ được bố trí dạng card ngang hoặc dạng cột ngang, có 2 option thiết kế để lựa chọn.</t>
  </si>
  <si>
    <t>Bộ lọc filter sẽ đặt ở cuối phần combo, thiết kế tương tự bên Villa nhưng theo dạng ngang, không dùng bộ lọc dọc.</t>
  </si>
  <si>
    <t>Trang combo sẽ có cấu trúc tương tự trang villa và tour, có đa hàng, dữ liệu đầy đủ, có phần chi tiết khi bấm vào combo.</t>
  </si>
  <si>
    <t>Tuyển 9 người làm giao diện đồng nhất layout, không phân tán cho nhiều người làm khác để tránh lệch thiết kế.</t>
  </si>
  <si>
    <t>Không để phần lọc đón khách bằng tour guide vì tour guide luôn đi cùng tour, nên chỉ cần lọc đón sân bay hay đón tại nhà.</t>
  </si>
  <si>
    <t>Ưu tiên hoàn thiện layout combo và web, còn phần chi tiết tour có thể làm chậm hơn nếu cần.</t>
  </si>
  <si>
    <t>Phần lọc giá cả sẽ có chức năng sắp xếp tăng giảm giá.</t>
  </si>
  <si>
    <t>Có sự kéo dài thời gian làm chi tiết tour (tua), gây chậm tiến độ tổng thể.</t>
  </si>
  <si>
    <t>Các admin hiện tại chưa có đủ trường thông tin cần thiết để chỉnh sửa chi tiết nội dung, cần bổ sung thêm trường.</t>
  </si>
  <si>
    <t>Các phần dữ liệu booking và phần chi tiết cần fix lỗi còn tồn đọng.</t>
  </si>
  <si>
    <t>Việc để nhiều người làm phần giao diện có thể gây lệch layout, phải giới hạn người làm giao diện để giữ sự đồng bộ.</t>
  </si>
  <si>
    <t>Cần tránh việc người dùng phải nhập tay nhiều trong form đặt tour để tăng trải nghiệm tương tác tốt.</t>
  </si>
  <si>
    <t>Người phụ trách sắp xếp nhân sự 9 người đảm nhận phần giao diện để hoàn thiện đồng bộ layout combo.</t>
  </si>
  <si>
    <t>Tiếp tục làm bộ lọc filter theo design dạng ngang, bổ sung các trường lọc theo giá, vị trí đón khách.</t>
  </si>
  <si>
    <t>Hoàn thiện phần layout trang combo, đồng thời đẩy nhanh phần chi tiết tour, ưu tiên hoàn thành layout trước để hoàn thiện website.</t>
  </si>
  <si>
    <t>Các bạn làm data tiếp tục cào dữ liệu từ các website khác để bổ sung đủ nội dung, giá cả cho tour và combo.</t>
  </si>
  <si>
    <t>Bổ sung trường thông tin vào admin để cho phép chỉnh sửa nội dung chi tiết và các phần booking, đồng thời fix lỗi còn tồn đọng.</t>
  </si>
  <si>
    <t>Thiết kế tương tác form đặt tour với tính năng AI giảm nhập liệu tay.</t>
  </si>
  <si>
    <t>Sau khi hoàn thành, tổng hợp biên bản, phân chia công việc gửi lại nhóm để theo dõi tiến độ.</t>
  </si>
  <si>
    <t>Dự kiến hoàn thành phần tour trong tuần này, tuy nhiên nếu chậm sẽ ưu tiên hoàn thành trước phần layout tổng thể web.</t>
  </si>
  <si>
    <t>Cuộc họp tập trung vào việc thiết lập và chuẩn hóa quy trình Google Meet/meeting log, gồm cấu hình tài khoản, record, thư mục lưu trữ, cách điền dữ liệu và cách tách dữ liệu theo team. Ngoài ra, hai bên thống nhất về quy ước đặt tên file theo tháng, quyền truy cập link flow và việc chuẩn bị video hướng dẫn triển khai.</t>
  </si>
  <si>
    <t>Kiểm tra và xác nhận nhu cầu tài khoản của Ryan, bao gồm yêu cầu record và lựa chọn loại tài khoản phù hợp</t>
  </si>
  <si>
    <t>Thiết lập/kiểm tra Google consent screen và lấy Customer ID, Custom Secret để cấu hình hệ thống</t>
  </si>
  <si>
    <t>Kiểm tra thư mục mặc định lưu record/mixing record và xác nhận cách lưu summary vào thư mục đã định sẵn</t>
  </si>
  <si>
    <t>Xem xét khả năng tách record/meeting data ra 2 folder theo điều kiện team/sale/kỹ thuật nếu sau này cần</t>
  </si>
  <si>
    <t>Đánh dấu từ cột C đến cột F là phần điền tay trong meeting log</t>
  </si>
  <si>
    <t>Highlight header của các cột cần điền tay từ C đến F bằng màu vàng, chữ màu đen</t>
  </si>
  <si>
    <t>Tách meeting log theo từng team thành các Google Sheets khác nhau, gồm team Marketing và team MailSupport</t>
  </si>
  <si>
    <t>Cho phép chọn nhiều member tham gia họp trong meeting log</t>
  </si>
  <si>
    <t>Rút gọn tên sheet/tên file meeting log để dễ theo dõi, đồng thời đặt theo tháng/năm</t>
  </si>
  <si>
    <t>Theo dõi giới hạn số dòng/sheet và chuẩn bị tạo meeting log mới khi gần đầy hoặc đạt ngưỡng khoảng 100 dòng</t>
  </si>
  <si>
    <t>Tạo file meeting log mới theo tháng; file hiện tại sẽ được đặt tên theo năm + tháng</t>
  </si>
  <si>
    <t>Đổi tên file meeting log marketing theo tháng, ví dụ 202604 MKT, và đặt tên trên đầu file theo tháng tương ứng</t>
  </si>
  <si>
    <t>Kiểm tra cách cấp quyền cho link flow/file JSON, chỉ cấp cho người cần dùng</t>
  </si>
  <si>
    <t>Làm video hướng dẫn để chị Linh Hân hiểu và triển khai</t>
  </si>
  <si>
    <t>Nhờ team marketing hỗ trợ hướng dẫn/chỉnh sửa phần edit video</t>
  </si>
  <si>
    <t>Test lại toàn bộ sau khi cấu hình xong và phản hồi kết quả</t>
  </si>
  <si>
    <t>Nhắc mọi người khi tham gia họp phải điền thông tin từ cột C đến F</t>
  </si>
  <si>
    <t>Chức năng record yêu cầu bản Pro mới có.</t>
  </si>
  <si>
    <t>Record sẽ lưu vào thư mục mặc định “mixing record”, không đổi theo nhu cầu hiện tại.</t>
  </si>
  <si>
    <t>Phần điền tay áp dụng cho cột C đến cột F.</t>
  </si>
  <si>
    <t>Mỗi team sẽ dùng Google Sheets/meeting log khác nhau, ít nhất gồm team Marketing và team MailSupport.</t>
  </si>
  <si>
    <t>Khi họp xong, summary sẽ nhảy ra sheet mới và được đặt gọn theo ngày/tháng.</t>
  </si>
  <si>
    <t>Sẽ giữ lại toàn bộ dữ liệu, không xóa log cũ; khi đầy thì tạo meeting log mới.</t>
  </si>
  <si>
    <t>Meeting log sẽ được đổi tên theo tháng/năm, ví dụ theo tháng 5 hoặc dạng 202604.</t>
  </si>
  <si>
    <t>Link chứa flow/file JSON chỉ cấp quyền cho người cần triển khai.</t>
  </si>
  <si>
    <t>Video hướng dẫn sẽ được làm để chị Linh Hân triển khai.</t>
  </si>
  <si>
    <t>Mọi người tham gia họp phải điền thông tin từ cột C đến F.</t>
  </si>
  <si>
    <t>Tài khoản cá nhân và Workspace có khác biệt trong việc tạo/copy credential, cụ thể tài khoản cá nhân không cho copy như Workspace.</t>
  </si>
  <si>
    <t>Có nhu cầu tách dữ liệu ra nhiều folder theo điều kiện team, nhưng hiện tại chưa triển khai và được xem là chưa cần thiết.</t>
  </si>
  <si>
    <t>Chưa kiểm tra giới hạn tối đa số sheet/dòng của meeting log, cần xem lại để tránh vượt ngưỡng.</t>
  </si>
  <si>
    <t>Cần xác định cách xử lý khi meeting log đầy trước khi hết tháng, vì có thể phải tạo log mới sớm hơn dự kiến.</t>
  </si>
  <si>
    <t>Video demo đang bị lỗi âm thanh trong lúc mở, cần kiểm tra lại khi test.</t>
  </si>
  <si>
    <t>Kiểm tra lại cấu hình Google Meet/Google consent screen, lấy và lưu Customer ID, Custom Secret đúng quy trình.</t>
  </si>
  <si>
    <t>Rà soát và test việc lưu record vào thư mục mặc định “mixing record” và summary vào thư mục đã định.</t>
  </si>
  <si>
    <t>Hoàn thiện meeting log theo quy ước: cột C đến F điền tay, header highlight, tách theo team và đặt tên theo tháng/năm.</t>
  </si>
  <si>
    <t>Kiểm tra ngưỡng số dòng/sheet để quyết định khi nào tạo meeting log mới, ưu tiên giữ toàn bộ dữ liệu cũ.</t>
  </si>
  <si>
    <t>Cấp quyền cho link flow/file JSON đúng đối tượng cần triển khai.</t>
  </si>
  <si>
    <t>Làm và gửi video hướng dẫn cho chị Linh Hân, đồng thời nhờ team marketing hỗ trợ edit nếu cần.</t>
  </si>
  <si>
    <t>Test thử hệ thống sau khi cập nhật và phản hồi lại kết quả để tiếp tục chỉnh sửa nếu phát sinh lỗi.</t>
  </si>
  <si>
    <t>Nhắc các thành viên tham gia họp điền đủ thông tin từ cột C đến F trong các cuộc họp sau.</t>
  </si>
  <si>
    <t>Tích hợp webapp cho dự án dụ lượng và chuyển hệ thống game cũ sang hệ thống game mới, đồng thời tạo Darkbox sang KPI bằng Metabyte</t>
  </si>
  <si>
    <t>Trong tuần này</t>
  </si>
  <si>
    <t>Làm trang recruitment cho bên Hoa Kỳ, bao gồm mobile, cao data, trang tour và trang combo; tuần tiếp theo làm admin bên tour và cao data combo</t>
  </si>
  <si>
    <t>Tuần tiếp theo</t>
  </si>
  <si>
    <t>Chuẩn bị dữ liệu/chi tiết cho phần combo và hoàn thiện phần tour theo hướng admin cho dự án liên quan</t>
  </si>
  <si>
    <t>Gửi demo cho Trung Nguyên bằng cách show các tính năng hiện có của MyKey AI</t>
  </si>
  <si>
    <t>Bỏ phần KPI vào tab quản trị theo nội dung đã gửi</t>
  </si>
  <si>
    <t>Bỏ dự án Market Chat và Flow AI vào danh sách hiển thị dự án</t>
  </si>
  <si>
    <t>Cắt ghép lại video của Thương cho ngắn hơn để phục vụ mục đích sử dụng; bản dài thì đăng lên Youtube</t>
  </si>
  <si>
    <t>Chèn lại logo đúng của bên mình vào video hướng dẫn và document video</t>
  </si>
  <si>
    <t>Hướng dẫn các bạn khác cách làm document/video giống mẫu đã có cho các ứng dụng trong N8N</t>
  </si>
  <si>
    <t>Set up meeting với anh Hiệp để bàn lại tool plan KPI và kế hoạch triển khai</t>
  </si>
  <si>
    <t>Set up lịch họp cố định với anh Hiệp vào thứ 3 hàng tuần lúc 3 giờ chiều</t>
  </si>
  <si>
    <t>Tham gia họp offline với team HiChat vào thứ 4 hoặc thứ 5; nếu không tham gia được thì tham gia online</t>
  </si>
  <si>
    <t>Gửi logo và bộ màu của công ty để làm trang page công ty, đồng thời trao đổi với Tiên để chốt bộ brand xuyên suốt cho Studio, Marketing và Cloud Gate</t>
  </si>
  <si>
    <t>Tạo folder mới cho CloudGate và đưa 2 dự án vào trong folder đó</t>
  </si>
  <si>
    <t>Chuyển toàn bộ account về cho Thương giữ, từ HelloMonkey đến các account khác; tạo file share để mọi người cùng dùng</t>
  </si>
  <si>
    <t>Gửi lại thông tin để tạo page công ty khi đã có logo và bộ màu</t>
  </si>
  <si>
    <t>Sắp xếp họp với anh Bô để feedback lại các vấn đề của tour Đà Nẵng khi phần sửa hoàn thiện hơn</t>
  </si>
  <si>
    <t>Dự kiến thứ 4</t>
  </si>
  <si>
    <t>Họp với team Maki/Makie để nắm lại các vấn đề hạt cao và các phần tích hợp liên quan</t>
  </si>
  <si>
    <t>Thứ 3</t>
  </si>
  <si>
    <t>Chuyển lịch họp với anh Hiệp sang khung giờ 4 giờ đến 5 giờ chiều nếu không giữ được lịch cũ</t>
  </si>
  <si>
    <t>Chỉnh khai toàn bộ lịch đăng bài và các nội dung lên Maki/Makie trong tuần này</t>
  </si>
  <si>
    <t>Tuyển hoặc phân bổ người hỗ trợ content cho gấu Đà Nẵng và MakiChat; cần khoảng 2-3 người</t>
  </si>
  <si>
    <t>Tổ chức meeting tối nay lúc 8 rưỡi để triển khai plan cho MakiChat</t>
  </si>
  <si>
    <t>Tối nay</t>
  </si>
  <si>
    <t>Chuẩn bị bảng sơ bộ rule cho chính sách khen thưởng dựa trên KPI trước buổi meeting</t>
  </si>
  <si>
    <t>Trước meeting tối nay</t>
  </si>
  <si>
    <t>Set lịch meeting với chị Tiên để trao đổi về chính sách khen thưởng khi các bạn vượt KPI</t>
  </si>
  <si>
    <t>Ngày mai nếu kịp</t>
  </si>
  <si>
    <t>MyKey AI hiện đang lỗi trên app, chưa thể demo được; cần họp lại với Death để bàn cách triển khai xử lý lỗi.</t>
  </si>
  <si>
    <t>Demo cho Trung Nguyên sẽ tập trung vào việc show các tính năng hiện có, không phải demo đầy đủ toàn bộ phần chưa hoàn thiện.</t>
  </si>
  <si>
    <t>Flow AI chỉ tạo kênh khi đã dồn đủ tư liệu/truyền thông; nếu tạo sớm sẽ dễ bị flop, nên các nội dung liên quan sẽ đi vào kênh tổng hợp trước.</t>
  </si>
  <si>
    <t>Với Flow AI sẽ có 2 kênh: 1 kênh tổng hợp cho Flow AI và 1 kênh riêng cho Marquee.</t>
  </si>
  <si>
    <t>Các video dài của Thương sẽ đăng lên Youtube; các bản ngắn sẽ được cắt ghép lại để dùng trực tiếp.</t>
  </si>
  <si>
    <t>Logo trong video/document phải được thay bằng logo đúng của bên mình, không dùng logo notebook LEM.</t>
  </si>
  <si>
    <t>Anh Hiệp sẽ họp cố định vào thứ 3 hàng tuần; riêng cuộc họp với anh Hiệp được chốt chuyển sang 4 giờ chiều.</t>
  </si>
  <si>
    <t>Tất cả account sẽ được dồn về cho Thương quản lý để tránh lộn xộn; mọi người cần gì thì yêu cầu qua Thương.</t>
  </si>
  <si>
    <t>Với team Marketing, tất cả nội dung sẽ đưa lên Maki/Makie; vướng mắc sẽ nhắn lên để được xử lý.</t>
  </si>
  <si>
    <t>Chính sách khen thưởng sẽ được triển khai dựa trên plan KPI khi các bạn vượt KPI.</t>
  </si>
  <si>
    <t>MyKey AI trên app đang bị lỗi, chưa thể demo cho bên Trung Nguyên.</t>
  </si>
  <si>
    <t>Google Analytics trên web/MyKey bị lỗi.</t>
  </si>
  <si>
    <t>Một số link/kênh của Maki và Flow.ai chưa được tạo hoặc chưa hiển thị đầy đủ.</t>
  </si>
  <si>
    <t>Flow AI chưa đủ tư liệu/truyền thông nên chưa thể tạo kênh ngay; rủi ro là kênh mới tạo sớm sẽ bị flop.</t>
  </si>
  <si>
    <t>Phần tour Đà Nẵng còn chưa tối ưu: câu trả lời phản hồi chưa sáng, khó nhìn, domain vẫn chưa đổi.</t>
  </si>
  <si>
    <t>Tình trạng account/hạt cao bị lộn xộn, có lỗi do việc tạo account và chưa xác minh, dẫn đến bị khóa.</t>
  </si>
  <si>
    <t>Chưa có đủ người content cho các đầu việc gấu Đà Nẵng và MakiChat, cần bổ sung hoặc training lại.</t>
  </si>
  <si>
    <t>Phần KPI/chính sách khen thưởng đang bị chậm và bị quên cập nhật hơn một tuần.</t>
  </si>
  <si>
    <t>Một số video/document cần chỉnh sửa lại logo cho đúng, nếu không sẽ không đồng bộ thương hiệu.</t>
  </si>
  <si>
    <t>Xử lý lỗi MyKey AI và Google Analytics, sau đó chuẩn bị demo cho Trung Nguyên theo các tính năng hiện có.</t>
  </si>
  <si>
    <t>Hoàn thiện việc tổ chức lại tài khoản/hạt cao, chuyển toàn bộ về Thương quản lý và chuẩn hóa file share.</t>
  </si>
  <si>
    <t>Làm việc với anh Hiệp theo lịch cố định để chốt tool plan KPI, đồng thời triển khai phần KPI và video record cho chị Tiên upload.</t>
  </si>
  <si>
    <t>Tổ chức họp offline với team HiChat vào thứ 4 hoặc thứ 5 để triển khai lại phần dự án, Thương tham gia nếu sắp xếp được.</t>
  </si>
  <si>
    <t>Chuẩn bị và gửi logo, bộ màu, đồng thời trao đổi với Tiên để hoàn thiện brand system cho Studio, Marketing và Cloud Gate.</t>
  </si>
  <si>
    <t>Tổ chức meeting với team Maki/Makie tối nay lúc 8 rưỡi để chốt plan, phân công content và triển khai lịch đăng bài.</t>
  </si>
  <si>
    <t>Hoàn thiện phần tour Đà Nẵng rồi họp feedback với anh Bô vào khoảng thứ 4.</t>
  </si>
  <si>
    <t>Cập nhật chính sách khen thưởng/KPI với chị Tiên, chuẩn bị rule sơ bộ trước buổi họp và chốt trong ngày mai nếu kịp.</t>
  </si>
  <si>
    <t>Rà soát nhân sự content cho gấu Đà Nẵng và MakiChat, phân bổ anh Vinh, anh Thuận, anh Tấn theo nhu cầu và training nếu cần.</t>
  </si>
  <si>
    <t>Chỉnh sửa, cắt ghép, chèn logo đúng cho toàn bộ video/document liên quan để dùng cho truyền thông và hướng dẫn nội bộ.</t>
  </si>
  <si>
    <t>Cuộc họp tập trung vào việc rà soát trạng thái kết nối và quyền truy cập các tài khoản Google phục vụ Google Analytics, Google Search Console/GSC và các công cụ liên quan. Ngoài ra, nhóm trao đổi về tiến độ dashboard, nguồn dữ liệu, cách xử lý lỗi, phân chia công việc trong team và một số hướng triển khai nội dung/website.</t>
  </si>
  <si>
    <t>Kiểm tra và kết nối lại tài khoản GSC, rà soát nguyên nhân lỗi do Refresh Token hoặc do tài khoản Google</t>
  </si>
  <si>
    <t>Chuyển toàn bộ account Google Analytics, Google Query Control và các account liên quan về 1 account Google chung của team/công ty, không dùng account cá nhân</t>
  </si>
  <si>
    <t>Chọn và cấu hình 2 account chính là Gmail và Hello Markie/Hello Marquis, đặt quyền admin và thiết lập cơ chế dự phòng giữa 2 account</t>
  </si>
  <si>
    <t>Chuyển toàn bộ account marketing Adzone và các account liên quan sang quản lý của team, tránh team marketing tự ý đụng vào account setup</t>
  </si>
  <si>
    <t>Thiết lập connection trên MaiKey cho các group hiện có, phối hợp với Mai để hoàn tất kết nối</t>
  </si>
  <si>
    <t>Combo/tổng hợp toàn bộ chiến dịch của Luan để thuận tiện sử dụng</t>
  </si>
  <si>
    <t>Hoàn thiện dashboard của Tiktok và tiếp tục xử lý phần dữ liệu còn thiếu</t>
  </si>
  <si>
    <t>Research cách lấy dữ liệu còn thiếu cho các nguồn như LinkedIn và các dữ liệu chưa có cách lấy</t>
  </si>
  <si>
    <t>Kiểm tra lại raw data để xác định các phần đã có và phần nào còn thiếu, phối hợp với team để support research nhanh hơn</t>
  </si>
  <si>
    <t>Hỗ trợ xử lý các lỗi của Duke đang được các bạn sử dụng, chia đều trong team để xử lý</t>
  </si>
  <si>
    <t>Share PM tool cho anh và Thương để theo dõi task</t>
  </si>
  <si>
    <t>Gửi invite để tham gia project trên VMTool/Amazon cho người chưa thấy project</t>
  </si>
  <si>
    <t>Tạo blog trên Maki để mọi người có thể viết bài và đăng bài lên đó</t>
  </si>
  <si>
    <t>Trao đổi thêm về cách tích hợp website tự code với blog/landing page, bao gồm việc cần cung cấp thông tin gì và có cần viết thêm API hay không</t>
  </si>
  <si>
    <t>Check mail/invite liên quan đến tài khoản Gomail và xử lý việc không vào được của một số account</t>
  </si>
  <si>
    <t>Tiếp tục hỗ trợ feedback và kiểm tra các lỗi còn lại cho người đang sử dụng</t>
  </si>
  <si>
    <t>Chuyển toàn bộ các account Google Analytics, Google Query Control và các account liên quan về account chung của team/công ty, không dùng account cá nhân.</t>
  </si>
  <si>
    <t>Dùng 2 account chính là Gmail và Hello Markie/Hello Marquis, trong đó cả 2 account đều được cấu hình quyền admin để dự phòng lẫn nhau.</t>
  </si>
  <si>
    <t>Không để team marketing đụng vào account setup để tránh phát sinh lỗi hoặc mất cấu hình.</t>
  </si>
  <si>
    <t>Các group, connection và account cần được quản lý tập trung qua Thương/Mai và phối hợp nội bộ team.</t>
  </si>
  <si>
    <t>Dashboard Google Analytics đã chạy được trên app, còn Google Console/GSC chưa ổn định đầy đủ.</t>
  </si>
  <si>
    <t>Tạm thời dừng cuộc họp và để xử lý tiếp ở buổi meeting sau khi có thêm thông tin/anh Hiệp vào được.</t>
  </si>
  <si>
    <t>Phần summary meeting trên web có thể để dạng normal, không cần ưu tiên làm phức tạp ngay.</t>
  </si>
  <si>
    <t>Có dấu hiệu lỗi do Refresh Token hoặc do tài khoản Google kết nối không đúng.</t>
  </si>
  <si>
    <t>Một số account trước đó đã bị xóa/chỉnh sửa nên không còn hợp lệ.</t>
  </si>
  <si>
    <t>GSC/Google Console chưa chạy ổn định, trong khi Google Analytics đã ổn.</t>
  </si>
  <si>
    <t>Có trường hợp nhiều website, website chạy được website không, cho thấy khả năng lỗi nằm ở account kết nối.</t>
  </si>
  <si>
    <t>Còn thiếu dữ liệu của một số nguồn như LinkedIn và các nguồn dữ liệu khác chưa rõ cách lấy.</t>
  </si>
  <si>
    <t>Việc nghiên cứu và lấy dữ liệu còn phụ thuộc vào phối hợp trong team, có thể làm chậm tiến độ.</t>
  </si>
  <si>
    <t>Có lỗi liên quan đến Duke đang được nhiều người dùng gặp và cần chia đều để xử lý.</t>
  </si>
  <si>
    <t>Một số người chưa vào được project/VMTool hoặc chưa thấy project phù hợp.</t>
  </si>
  <si>
    <t>Có vấn đề với việc invite/gomail của một số account không hoạt động như mong muốn.</t>
  </si>
  <si>
    <t>Nếu triển khai blog tự code và tự động đăng bài lên Maki, có thể cần viết thêm API và làm rõ cách tích hợp.</t>
  </si>
  <si>
    <t>Anh Hiệp chưa vào được nên tiến độ một số phần có thể phải chờ cuộc họp sau.</t>
  </si>
  <si>
    <t>Hoàn tất việc gom các account về account chung của team/công ty và cấu hình 2 account admin dự phòng.</t>
  </si>
  <si>
    <t>Phối hợp Mai và Thương để hoàn thiện connection trên MaiKey, kiểm tra lại toàn bộ group và account.</t>
  </si>
  <si>
    <t>Tiếp tục xử lý dashboard GSC/Google Console trên dev rồi chuyển sang app khi ổn định.</t>
  </si>
  <si>
    <t>Rà soát raw data, research cách lấy các dữ liệu còn thiếu như LinkedIn và các nguồn liên quan.</t>
  </si>
  <si>
    <t>Chia tiếp các module trong team để mỗi người nắm rõ phần mình phụ trách và report task qua PM tool.</t>
  </si>
  <si>
    <t>Xử lý các lỗi Duke đang phát sinh cho người dùng hiện tại.</t>
  </si>
  <si>
    <t>Gửi invite và hoàn tất quyền truy cập project/VMTool/Amazon cho các thành viên chưa vào được.</t>
  </si>
  <si>
    <t>Trao đổi thêm về phương án tích hợp blog/Maki và nếu cần thì làm thêm API để tự động đăng bài.</t>
  </si>
  <si>
    <t>Tiếp tục kiểm tra mail/invite và chờ buổi meeting sau để xử lý tiếp các nội dung còn dang dở, đặc biệt khi anh Hiệp tham gia được.</t>
  </si>
  <si>
    <t>1. Cuộc họp tập trung vào việc rà soát tiến độ các task, kiểm tra việc đăng bài/tracking, bàn giao và phân chia lại trách nhiệm giữa các dự án Go Đà Nẵng, Marquee, MakiChat.  
2. Nội dung chính cũng bao gồm thống nhất quy trình quản lý file tracking, tạo/điền các kênh social, nghiên cứu đối thủ/ngành, và góp ý định hướng nội dung cho MakiChat.</t>
  </si>
  <si>
    <t>Cập nhật đầy đủ file tracking sau mỗi ngày làm xong tài khoản/công việc</t>
  </si>
  <si>
    <t>Bổ sung link đăng bài còn thiếu vào file tracking</t>
  </si>
  <si>
    <t>Kiểm tra và hỏi lại tình trạng sử dụng/không sử dụng devmaki.com, chuyển sang app Maki làm trực tiếp trên thực tế</t>
  </si>
  <si>
    <t>Xác nhận lại việc dự án/nhóm đang đăng bài ở đâu và sử dụng đúng phần nhóm/cá nhân theo quy định</t>
  </si>
  <si>
    <t>Bàn giao Go Đà Nẵng từ Hoàng cho Dung để tiếp tục chạy social gồm group, Facebook, TikTok</t>
  </si>
  <si>
    <t>Bàn giao Marquee từ Dung và Huấn cho Y Bình và Tấn để triển khai Facebook, group Facebook, Discord, TikTok, blog, YouTube</t>
  </si>
  <si>
    <t>Huấn và Hoàng phối hợp quản lý MakiChat, làm lại website và landing page mới cho MakiChat</t>
  </si>
  <si>
    <t>Hoàng tạo toàn bộ các kênh social cho MakiChat từ tài khoản/nick Maki được bàn giao, gồm Facebook, LinkedIn, YouTube, Instagram nếu cần theo trao đổi</t>
  </si>
  <si>
    <t>Hoàng nghiên cứu 2 lĩnh vực: nhà khoa và khách sạn để làm nội dung/luồng chatbot</t>
  </si>
  <si>
    <t>3 ngày</t>
  </si>
  <si>
    <t>Huấn lên nội dung trang home cho MakiChat theo flow website đã làm trước đó</t>
  </si>
  <si>
    <t>Các bạn làm lại toàn bộ plan/overview/content direction cho dự án được giao</t>
  </si>
  <si>
    <t>2 ngày</t>
  </si>
  <si>
    <t>Điền đầy đủ các link tracking, account, file làm việc và thông tin dự án vào file tổng hợp tracking</t>
  </si>
  <si>
    <t>Tiếp tục làm landing page/tag của MakiChat nếu đang được giao</t>
  </si>
  <si>
    <t>Hoàng thực hiện tạo fanpage và các kênh social cho MakiChat, sau đó báo lại để nhận plan nội dung</t>
  </si>
  <si>
    <t>Fill tag, viết meeting note và gửi lên group trước sáng mai</t>
  </si>
  <si>
    <t>Sáng mai</t>
  </si>
  <si>
    <t>Hoàn thành phần content đã chuẩn bị sẵn cho MakiChat và tiếp tục post trong tuần này theo công việc đã làm</t>
  </si>
  <si>
    <t>Nếu có gì vướng mắc hoặc over task thì báo ngay cho chị hoặc Mai</t>
  </si>
  <si>
    <t>Không sử dụng devmaki.com nữa, chuyển sang làm trực tiếp trên app thực tế.</t>
  </si>
  <si>
    <t>Toàn bộ các dự án phải quy về một tài khoản quản lý chung; ai đang cầm fanpage/trang nào thì add tài khoản đó vào và bàn giao toàn quyền cho tài khoản chung.</t>
  </si>
  <si>
    <t>Phân chia lại dự án: Go Đà Nẵng giao cho Dung; Maki giao cho Y Bình và Tấn; MakiChat giao cho Huấn và Hoàng quản lý.</t>
  </si>
  <si>
    <t>Go Đà Nẵng sẽ chạy các kênh social gồm group, Facebook, TikTok.</t>
  </si>
  <si>
    <t>Marquee sẽ tiếp tục chạy Facebook, group Facebook, Discord, TikTok, blog, YouTube theo phân công mới.</t>
  </si>
  <si>
    <t>MakiChat tập trung vào xây dựng website, landing page và hệ thống social mới.</t>
  </si>
  <si>
    <t>KPI nội dung tối thiểu cho các kênh social là 3 bài/tuần/kênh.</t>
  </si>
  <si>
    <t>Tất cả dự án phải có overview, định hướng nội dung, calendar và file tracking content đầy đủ.</t>
  </si>
  <si>
    <t>Mỗi dự án cần làm rõ content theo chân dung khách hàng, không viết chung chung, lan man.</t>
  </si>
  <si>
    <t>Các nội dung AI/công nghệ cần đồng nhất về hình ảnh, logo, nội dung và thể hiện tính chuyên nghiệp, tạo niềm tin.</t>
  </si>
  <si>
    <t>File tracking đang bị thiếu thông tin, thiếu link đăng bài và chưa được điền đầy đủ.</t>
  </si>
  <si>
    <t>Có nhầm lẫn/không rõ ràng về việc đăng bài đang thực hiện ở nhóm hay ở cá nhân.</t>
  </si>
  <si>
    <t>Có chậm trễ trong việc hỏi lại bên Bindex về lỗi/liên kết dự án từ tuần trước đến hiện tại.</t>
  </si>
  <si>
    <t>Một số dự án đang bị rối do không đi đúng flow quản lý và bàn giao.</t>
  </si>
  <si>
    <t>Nội dung MakiChat hiện bị chung chung, thiếu hấp dẫn ở title và chưa đủ cụ thể theo nhóm đối tượng.</t>
  </si>
  <si>
    <t>Bài content MakiChat đang thiếu phần construction và footer.</t>
  </si>
  <si>
    <t>Một số bạn có nguy cơ bị over task nếu tiếp tục nhận thêm dự án mà không báo lại.</t>
  </si>
  <si>
    <t>Chưa có đủ thông tin/ghi nhận về link kênh Markie trong file tracking.</t>
  </si>
  <si>
    <t>Hoàn tất bàn giao các dự án theo phân công mới: Go Đà Nẵng, Marquee, MakiChat.</t>
  </si>
  <si>
    <t>Trong 2 ngày tới, hoàn thiện overview, định hướng nội dung, calendar và file tracking cho các dự án được giao.</t>
  </si>
  <si>
    <t>Trong 3 ngày tới, hoàn thành research 2 ngành nhà khoa và khách sạn, đồng thời xây nội dung trang home cho MakiChat.</t>
  </si>
  <si>
    <t>Bổ sung đầy đủ toàn bộ link/account/file vào file tracking để chị có thể kiểm tra tiến độ.</t>
  </si>
  <si>
    <t>Hoàn tất việc tạo các kênh social cho MakiChat và báo lại để nhận plan nội dung triển khai.</t>
  </si>
  <si>
    <t>Fill tag, viết meeting note và gửi lên group trước sáng mai.</t>
  </si>
  <si>
    <t>Nếu có vướng mắc trong quá trình bàn giao hoặc triển khai, cần báo ngay để điều chỉnh KPI hoặc phạm vi công việc.</t>
  </si>
  <si>
    <t>Cuộc họp tập trung vào việc kiểm tra trạng thái triển khai bài đăng/quảng cáo trên Tiktok, cách xử lý dữ liệu trả về như view, like, share và các bước xin quyền/thu thập thông tin từ các nền tảng khác nhau. Mục đích chính là thống nhất cách test, theo dõi kết quả và phân công xử lý theo từng chỗ/nền tảng để đảm bảo có dữ liệu đầy đủ.</t>
  </si>
  <si>
    <t>Test kết quả từ Tiktok để xem các thông tin trả về như like, view, share sau khi chạy bài</t>
  </si>
  <si>
    <t>Mai</t>
  </si>
  <si>
    <t>Nhờ bên liên quan cung cấp thông tin/kết quả test từ “bên đấy” để đối chiếu</t>
  </si>
  <si>
    <t>Xin quyền trên Tiktok và các nền tảng khác nếu cần, sau đó chia nhau ra xin theo từng chỗ</t>
  </si>
  <si>
    <t>Chọn một chỗ/nền tảng phù hợp để thực hiện xin quyền và so sánh kết quả</t>
  </si>
  <si>
    <t>Ghi nhận các feedback đã nhận từ Facebook để xử lý nếu có feedback nhiều</t>
  </si>
  <si>
    <t>Tập trung xử lý các thông tin mới, không chỉ bóc tách người lọc tin</t>
  </si>
  <si>
    <t>Kiểm tra và chạy test cho “Death” khi cần, sau đó theo dõi và watch lại khi xong</t>
  </si>
  <si>
    <t>Xem xét phần Dashboard và lịch đăng vì đây là phần đang được đề cập là do em làm</t>
  </si>
  <si>
    <t>Trên Tiktok, quy trình đặt bài sẽ qua 2 bước moderation: trước hết bằng AI, sau đó qua con người.</t>
  </si>
  <si>
    <t>Nếu nền tảng nào không xin quyền được thì sẽ dùng Metify.</t>
  </si>
  <si>
    <t>Mỗi người sẽ chia nhau ra xin quyền theo từng chỗ, thay vì làm chung một chỗ.</t>
  </si>
  <si>
    <t>Phần cần quan tâm chính là kết quả nhận được, không nhất thiết phải so sánh quá nhiều giữa các chỗ khác nhau.</t>
  </si>
  <si>
    <t>Trường hợp dữ liệu trả về chậm thì thời gian test có thể khoảng 3-6 tiếng hoặc lâu hơn.</t>
  </si>
  <si>
    <t>Không có vấn đề gì đặc biệt nếu tình trạng chạy ra “like”/kết quả tương tự trong lúc test.</t>
  </si>
  <si>
    <t>Khi có phản hồi nhiều từ Facebook thì sẽ dùng các feedback đã nhận để xử lý tiếp.</t>
  </si>
  <si>
    <t>Chưa trả được ID cho phía yêu cầu.</t>
  </si>
  <si>
    <t>Khi lặp/bật báo cáo lên thì chưa rõ trạng thái xử lý dữ liệu từ các tài khoản.</t>
  </si>
  <si>
    <t>Chưa biết chính xác khi nào dữ liệu sẽ được trả về.</t>
  </si>
  <si>
    <t>Thời gian test có thể kéo dài từ 3-6 tiếng hoặc lâu hơn.</t>
  </si>
  <si>
    <t>Một số nền tảng có thể không xin quyền được, cần phương án thay thế bằng Metify.</t>
  </si>
  <si>
    <t>Có thể phát sinh nhiều feedback từ Facebook, cần tổng hợp và xử lý.</t>
  </si>
  <si>
    <t>Phần Dashboard và lịch đăng được nhắc đến như hạng mục cần chú ý, nhưng chưa thấy mô tả đầy đủ chi tiết triển khai.</t>
  </si>
  <si>
    <t>Tiếp tục test trên Tiktok và chờ đến mai để kiểm tra thêm dữ liệu trả về như like, view, share.</t>
  </si>
  <si>
    <t>Thực hiện xin quyền theo từng nền tảng/chỗ được phân công, ưu tiên chọn phương án phù hợp nhất.</t>
  </si>
  <si>
    <t>Nếu nền tảng không xin quyền được thì chuyển sang dùng Metify.</t>
  </si>
  <si>
    <t>Theo dõi thời gian phản hồi của hệ thống trong khoảng 3-6 tiếng hoặc lâu hơn để đánh giá kết quả.</t>
  </si>
  <si>
    <t>Thu thập và xử lý feedback từ Facebook nếu có phát sinh.</t>
  </si>
  <si>
    <t>Rà soát phần Dashboard và lịch đăng để hoàn thiện các nội dung còn dang dở.</t>
  </si>
  <si>
    <t>Khi có kết quả test hoặc dữ liệu mới, tổng hợp lại để báo cáo và đối chiếu tiếp.</t>
  </si>
  <si>
    <t>Anh Vinh chỉnh sửa dock, bao gồm phần thêm tài khoản admin và lấy các tài khoản shipping</t>
  </si>
  <si>
    <t>5 giờ chiều nay</t>
  </si>
  <si>
    <t>Anh Thuận thực hiện lên UI dựa trên dock đã chỉnh sửa</t>
  </si>
  <si>
    <t>10h sáng ngày mai</t>
  </si>
  <si>
    <t>Bổ sung Facebook Group vào UI bên cạnh Facebook Fanpage để người dùng phân biệt rõ hai loại</t>
  </si>
  <si>
    <t>Làm rõ cách hiển thị để người dùng nhận biết dễ hiểu và dễ nhìn giữa group và fanpage, tránh UI bị rối</t>
  </si>
  <si>
    <t>Thêm tài khoản admin để quản lý các tài khoản setting khác vào dock</t>
  </si>
  <si>
    <t>Test phần list sách cuối thủ và tính năng nổi bật</t>
  </si>
  <si>
    <t>Xử lý phần “dạy cả dòng thứ 3” do người nói đảm nhiệm</t>
  </si>
  <si>
    <t>Hoàn thiện list giám sát đối thủ và tính năng đối thủ</t>
  </si>
  <si>
    <t>Thứ 6 trước khi report</t>
  </si>
  <si>
    <t>Gửi lại phần list giám sát đối thủ trước khi report</t>
  </si>
  <si>
    <t>Chuyển góc và UI cho anh Thương</t>
  </si>
  <si>
    <t>Kiểm tra, xác nhận lại deadline và báo sớm nếu có nguy cơ trễ tiến độ</t>
  </si>
  <si>
    <t>Dock sẽ được chỉnh sửa trước, chốt deadline là 5 giờ chiều nay.</t>
  </si>
  <si>
    <t>UI sẽ được tiếp tục chỉnh sau khi dock hoàn thành, chốt deadline là 10h sáng ngày mai.</t>
  </si>
  <si>
    <t>Phần admin không cần “mang bài”, chỉ cần quản lý.</t>
  </si>
  <si>
    <t>Với Facebook Fanpage và Facebook Group, sẽ tách riêng thành hai phần rõ ràng trên UI thay vì làm gộp gây rối.</t>
  </si>
  <si>
    <t>List giám sát đối thủ sẽ chốt deadline vào thứ 6 trước khi report.</t>
  </si>
  <si>
    <t>Có thể ping/cập nhật qua lại khi cần, không vấn đề gì.</t>
  </si>
  <si>
    <t>Cần làm rõ cách phân biệt Facebook Group và Facebook Fanpage để UI không bị rối.</t>
  </si>
  <si>
    <t>Nếu chia theo kiểu chuyển qua lại hai tab liên tục thì UI sẽ phức tạp và dễ lộn xộn.</t>
  </si>
  <si>
    <t>Cần xác nhận kỹ deadline; nếu không đảm bảo đúng tiến độ thì phải báo sớm để điều chỉnh.</t>
  </si>
  <si>
    <t>Hoàn thành chỉnh sửa dock trước 5 giờ chiều nay, bao gồm thêm tài khoản admin và xử lý phần tài khoản shipping.</t>
  </si>
  <si>
    <t>Sau khi dock xong, tiếp tục chỉnh UI và hoàn tất vào 10h sáng ngày mai.</t>
  </si>
  <si>
    <t>Bổ sung Facebook Group vào UI theo cách hiển thị rõ ràng, dễ dùng, không gây rối.</t>
  </si>
  <si>
    <t>Hoàn thiện và gửi lại list giám sát đối thủ trước khi report vào thứ 6.</t>
  </si>
  <si>
    <t>Tiếp tục trao đổi, ping và xác nhận tiến độ nếu có nguy cơ chậm deadline.</t>
  </si>
  <si>
    <t>Cuộc họp tập trung rà soát và làm rõ các tính năng của tool setting liên quan đến đăng bài, comment, theo dõi chiến dịch và quản lý tài khoản/group Facebook. Mục đích chính là thống nhất phạm vi làm thử, cách test, cách quản lý nhiều tài khoản, đồng thời chốt các đầu việc cần chuẩn bị trước khi chuyển sang dev.</t>
  </si>
  <si>
    <t>Gửi lại danh sách tính năng cần cho phần setting tool</t>
  </si>
  <si>
    <t>mai</t>
  </si>
  <si>
    <t>List danh sách đối thủ, gồm cả đối thủ Việt Nam và nước ngoài, và tổng hợp các tính năng hay để tham khảo</t>
  </si>
  <si>
    <t>thứ 2</t>
  </si>
  <si>
    <t>Chuẩn bị phần admin để quản lý nhiều tài khoản, bao gồm một tài khoản quản lý được toàn bộ các tài khoản khác</t>
  </si>
  <si>
    <t>thứ 6</t>
  </si>
  <si>
    <t>Test thử các tính năng setting/comment Facebook trên N8n hoặc một bot load trước khi đẩy sang dev</t>
  </si>
  <si>
    <t>Hẹn meeting để trao đổi về tính năng set KPI trên tài khoản phân quyền</t>
  </si>
  <si>
    <t>Chia task và sắp xếp lại công việc cho các bạn liên quan sau khi thống nhất tính năng</t>
  </si>
  <si>
    <t>Note các task vào group/file được chỉ định để mọi người cùng xem và theo dõi</t>
  </si>
  <si>
    <t>Xử lý và cập nhật thông tin cho phần Google/AdWord để quản lý dữ liệu và tương tác</t>
  </si>
  <si>
    <t>Phần boss bài/comment sẽ được gom về trong Autobot nếu giao diện và chức năng không khác nhiều, để người dùng đỡ nhầm lẫn.</t>
  </si>
  <si>
    <t>Giao diện cần phân biệt rõ fanpage và group; có thể dùng icon hoặc nhãn nhận dạng để người dùng chọn đúng loại.</t>
  </si>
  <si>
    <t>Phần setting comment trên group sẽ là hệ thống tự vào bài viết trong group và đăng một trong các comment đã được thiết lập sẵn.</t>
  </si>
  <si>
    <t>Tính năng comment có thể chọn theo bài hot nhất, bài mới nhất đang hot hoặc theo từ khóa chỉ định.</t>
  </si>
  <si>
    <t>Hệ thống sẽ theo dõi từng chương trình, ghi nhận trạng thái thành công/thất bại và hiển thị nguyên nhân lỗi cố định nếu có lỗi.</t>
  </si>
  <si>
    <t>Cần có một giao diện quản lý admin để điều hành nhiều tài khoản, thay vì đăng nhập từng tài khoản riêng lẻ.</t>
  </si>
  <si>
    <t>Danh sách đối thủ cần được tổng hợp và đưa lên project manager/sheet để mọi người cùng theo dõi.</t>
  </si>
  <si>
    <t>Cách làm việc được thống nhất là: team làm tính năng, chuyển cho anh Thương test trước, sau khi hai bên final mới đẩy sang dev.</t>
  </si>
  <si>
    <t>Autobot chưa cần làm ngay; ưu tiên test thử phần tool setting trước.</t>
  </si>
  <si>
    <t>Anh Thương sẽ test thử các tính năng trên một bot/load bằng N8n trước khi chuyển sang dev.</t>
  </si>
  <si>
    <t>Tính năng đăng bài/comment dễ bị Facebook đánh spam nếu đăng cùng một nội dung trên nhiều page/group.</t>
  </si>
  <si>
    <t>Phần comment hiện đang phụ thuộc vào limit của một tài khoản; chưa tính đầy đủ bài toán nhiều tài khoản.</t>
  </si>
  <si>
    <t>Có yêu cầu cần phân tách rõ tài khoản theo nhóm nội dung để vận hành hợp lý, nếu không sẽ khó quản lý.</t>
  </si>
  <si>
    <t>Dữ liệu/connection với Google chưa kết nối được hoặc chưa sẵn sàng, cần xử lý thêm.</t>
  </si>
  <si>
    <t>Dev hiện không có nhiều thời gian cho các tính năng mới, nên cần test và chốt trước để tránh kéo dài.</t>
  </si>
  <si>
    <t>Gửi danh sách tính năng setting tool cho anh để review và note vào file/group.</t>
  </si>
  <si>
    <t>Tổng hợp danh sách đối thủ và các tính năng tham khảo trước thứ 2.</t>
  </si>
  <si>
    <t>Chuẩn bị phương án UI/admin cho quản lý nhiều tài khoản và phân quyền.</t>
  </si>
  <si>
    <t>Anh Thương test thử các tính năng đã thống nhất trên bot/load/N8n, sau đó báo lại kết quả.</t>
  </si>
  <si>
    <t>Họp/trao đổi tiếp về tính năng set KPI trên tài khoản phân quyền vào thứ 6.</t>
  </si>
  <si>
    <t>Sau khi test xong và final nội dung, chuyển sang dev để code và triển khai.</t>
  </si>
  <si>
    <t>Các task liên quan sẽ được chia lại trong group để các bạn xử lý theo phân công.</t>
  </si>
  <si>
    <t>Cuộc họp tập trung cập nhật tiến độ các tính năng đang phát triển, gồm Flashball Youtube, phân quyền, Quản lý đội nhóm, set KPI, dashboard và Shifting. Mục đích chính là báo cáo trạng thái công việc trong tuần, làm rõ các vấn đề liên quan đến re-verify/xin quyền, dashboard Facebook/Instagram, Tiktok và thống nhất hướng xử lý tiếp theo.</t>
  </si>
  <si>
    <t>Hoàn thành tính năng Flashball Youtube và các chỉnh sửa feedback trong tính năng phân quyền và Quản lý đội nhóm vào thứ sáu tuần này</t>
  </si>
  <si>
    <t>Thứ sáu tuần này.</t>
  </si>
  <si>
    <t>Deb cập nhật lại cho team về dashboard, đặc biệt là tình trạng số liệu Facebook và Instagram chưa lấy được</t>
  </si>
  <si>
    <t>Hôm nay.</t>
  </si>
  <si>
    <t>Submit re-verify cho Tiktok và tiếp tục xử lý các vấn đề liên quan đến quyền/danh sách quyền cho dashboard Tiktok</t>
  </si>
  <si>
    <t>Không đề cập.</t>
  </si>
  <si>
    <t>Thương phối hợp xử lý các vấn đề về xin quyền trong tương lai để giảm phát sinh cho team</t>
  </si>
  <si>
    <t>Dad chuẩn bị video và demo để phục vụ việc xin quyền đúng quy trình</t>
  </si>
  <si>
    <t>Research thêm về Shifting trước khi triển khai tiếp</t>
  </si>
  <si>
    <t>Tiếp tục tập trung hoàn thiện phần Dashboard</t>
  </si>
  <si>
    <t>Research lại phần Linking/API để xác định cách lấy dữ liệu phù hợp</t>
  </si>
  <si>
    <t>Tính năng Flashball Youtube và các chỉnh sửa liên quan sẽ được hoàn thành vào thứ sáu tuần này.</t>
  </si>
  <si>
    <t>Vấn đề dashboard Facebook và Instagram sẽ được Deb cập nhật lại cho team trong hôm nay.</t>
  </si>
  <si>
    <t>Phần xin quyền sẽ được Thương hỗ trợ xử lý, để gom và giải quyết các vấn đề xin quyền cho team.</t>
  </si>
  <si>
    <t>Phần Shifting sẽ được để research thêm, chưa triển khai giao tiếp tiếp theo ngay.</t>
  </si>
  <si>
    <t>Team thống nhất tiếp tục dồn lực vào phần Dashboard cho xong.</t>
  </si>
  <si>
    <t>Phần Linking trước đây dùng chế độ cá nhân nên không có API Linking để lấy dữ liệu; nếu muốn lấy dữ liệu thì phải dùng API phù hợp theo hướng mới.</t>
  </si>
  <si>
    <t>Dashboard trên Facebook và Instagram hiện chưa lấy được số liệu.</t>
  </si>
  <si>
    <t>Tiktok có vấn đề về re-verify quyền; khi thay đổi domain hoặc một số trạng thái liên quan thì hệ thống yêu cầu xin quyền lại.</t>
  </si>
  <si>
    <t>Việc xin quyền phụ thuộc vào quy trình và cần video, demo, thao tác đúng chuẩn trước khi submit.</t>
  </si>
  <si>
    <t>Phần Linking hiện tại không có API của chế độ cá nhân để lấy dữ liệu, nên muốn lấy dữ liệu phải đổi sang cách triển khai khác.</t>
  </si>
  <si>
    <t>Phần Shifting chưa rõ ràng về hướng xử lý ngay, cần research thêm trước khi làm tiếp.</t>
  </si>
  <si>
    <t>Hoàn tất Flashball Youtube, phân quyền và Quản lý đội nhóm đúng deadline thứ sáu tuần này.</t>
  </si>
  <si>
    <t>Deb cập nhật tình trạng dashboard Facebook/Instagram cho team trong hôm nay.</t>
  </si>
  <si>
    <t>Tiếp tục xử lý re-verify Tiktok và thống nhất quy trình xin quyền với Thương, Dad.</t>
  </si>
  <si>
    <t>Research thêm Shifting trước khi quay lại triển khai.</t>
  </si>
  <si>
    <t>Dồn nguồn lực hoàn thiện Dashboard và làm rõ hướng API/Linking để lấy dữ liệu.</t>
  </si>
  <si>
    <t>Theo dõi các vấn đề phát sinh từ nhóm marketing trên dashboard và xử lý qua kênh đã thống nhất.</t>
  </si>
  <si>
    <t>1. Cuộc họp tập trung vào việc trao đổi về yêu cầu crawl dữ liệu, tổ chức/lưu trữ dữ liệu, và tùy biến một công cụ/quy trình quản lý công việc (PM) để bổ sung các trường như KPI, task, priority, estimate, status và các thông tin liên quan.  
2. Mục đích chính là thống nhất phạm vi công việc cần làm trước mắt, đặc biệt là chỉ yêu cầu crawl, đồng thời bàn về cách mở rộng cấu trúc dữ liệu và cách theo dõi công việc hiệu quả hơn.</t>
  </si>
  <si>
    <t>Crawl được dữ liệu từ cả nguồn hiện tại và nguồn VN</t>
  </si>
  <si>
    <t>Tự tạo group để test, tránh spam group thật</t>
  </si>
  <si>
    <t>Thêm 3 trường KPI vào PM trước, sau đó báo lại kết quả</t>
  </si>
  <si>
    <t>Customize lại PM hiện tại theo bản của anh Hiệp, tận dụng các trường có sẵn và bổ sung trường mới khi cần</t>
  </si>
  <si>
    <t>Bổ sung logic lấy công ty từ trường dữ liệu hiện có sau khi thêm các trường mới</t>
  </si>
  <si>
    <t>Bổ sung tracking hàng ngày để ghi nhận bạn nào làm xong việc nào và ngày hôm sau làm gì</t>
  </si>
  <si>
    <t>Nếu cần, thêm tracking cho các thông tin quản lý chi phí/dự án như “bao nhiêu tiền” của một dự án</t>
  </si>
  <si>
    <t>Chuẩn hóa cách lưu trữ dữ liệu thành một cách tổ chức dữ liệu phù hợp để lưu trữ thông tin</t>
  </si>
  <si>
    <t>Xem xét và tiếp tục phát triển phần tính KPI/độ khó công việc theo dạng chuẩn chung như T-Shirt hoặc Kimura-shi</t>
  </si>
  <si>
    <t>Chỉ yêu cầu crawl dữ liệu, không yêu cầu làm bot.</t>
  </si>
  <si>
    <t>Cần crawl được cả dữ liệu hiện tại và dữ liệu VN.</t>
  </si>
  <si>
    <t>Không dùng group thật để test; sẽ tự tạo group để test.</t>
  </si>
  <si>
    <t>Trước mắt chỉ cần thêm 3 trường KPI, chưa làm các trường khác.</t>
  </si>
  <si>
    <t>Sẽ lấy PM hiện có của anh Hiệp để customize lại thay vì làm lại từ đầu.</t>
  </si>
  <si>
    <t>Việc thêm trường và logic có thể thực hiện trực tiếp trên bản hiện có, không nhất thiết phải chia nhỏ hoặc rebuild phức tạp.</t>
  </si>
  <si>
    <t>Có thể thêm bất kỳ trường nào vào PM nếu cần về sau.</t>
  </si>
  <si>
    <t>Estimate được xem là đã có sẵn trong bản hiện tại.</t>
  </si>
  <si>
    <t>Priority của task và độ khó công việc được nhắc tới như các yếu tố cần chuẩn hóa trong hệ thống.</t>
  </si>
  <si>
    <t>PM hiện tại đang thiếu các trường phía sau như KPI và task, dẫn đến chưa tính được KPI đầy đủ.</t>
  </si>
  <si>
    <t>Cần bổ sung logic tính KPI, nếu không sẽ không phản ánh đúng hiệu quả công việc.</t>
  </si>
  <si>
    <t>Có rủi ro dữ liệu/group test bị spam nếu không tự tạo môi trường test riêng.</t>
  </si>
  <si>
    <t>Việc tùy biến từ bản hiện có có thể phức tạp nếu thêm quá nhiều trường hoặc logic cùng lúc.</t>
  </si>
  <si>
    <t>Cách tổ chức lưu trữ dữ liệu hiện chưa rõ ràng, cần được suy nghĩ lại để phù hợp hơn.</t>
  </si>
  <si>
    <t>Tiến hành crawl dữ liệu theo phạm vi đã thống nhất, bao gồm cả nguồn hiện tại và nguồn VN.</t>
  </si>
  <si>
    <t>Tạo group test riêng để kiểm tra quy trình crawl, tránh dùng group thật.</t>
  </si>
  <si>
    <t>Thêm trước 3 trường KPI vào PM, sau đó kiểm tra kết quả và báo lại.</t>
  </si>
  <si>
    <t>Customize PM hiện tại theo bản của anh Hiệp, đồng thời bổ sung logic lấy company từ trường dữ liệu tương ứng.</t>
  </si>
  <si>
    <t>Tiếp tục hoàn thiện các trường và logic bổ sung sau khi phần KPI cơ bản đã ổn định.</t>
  </si>
  <si>
    <t>Triển khai tracking hàng ngày để theo dõi tiến độ và nội dung công việc của từng ngày.</t>
  </si>
  <si>
    <t>Rà soát lại cách tổ chức dữ liệu/lưu trữ thông tin để chuẩn hóa cho các bước phát triển tiếp theo.</t>
  </si>
  <si>
    <t>Cuộc họp tập trung vào việc rà soát tiến độ website/dự án Go Đà Nẵng, đặc biệt là các vấn đề về domain, bản tiếng Hàn, giao diện UI/UX và trạng thái các phần chức năng như combo, cào data, Naver/KakaoTalk. Mục đích chính là chốt lại các hạng mục cần làm, timeline và những phần cần chỉnh sửa để tiếp tục triển khai.</t>
  </si>
  <si>
    <t>Kiểm tra lại domain của Go Nắng/Go Đà Nẵng và xác nhận domain đúng theo yêu cầu, tránh dùng nhầm Go Việt Nam Tour</t>
  </si>
  <si>
    <t>Rà soát lại danh sách domain trong file của Huấn và tìm đúng domain đã mua</t>
  </si>
  <si>
    <t>Fix lại phần domain trên hệ thống theo đúng domain Go Đà Nẵng đã thống nhất</t>
  </si>
  <si>
    <t>Ngày mai</t>
  </si>
  <si>
    <t>Hoàn thiện bản tiếng Hàn cho website</t>
  </si>
  <si>
    <t>Ngày 23</t>
  </si>
  <si>
    <t>Public bản tiếng Hàn lên domain tương ứng</t>
  </si>
  <si>
    <t>Tạo và hoàn thiện link/kênh Naver và KakaoTalk cho thị trường Hàn</t>
  </si>
  <si>
    <t>Tìm và xử lý phần crawl data trên Naver nếu cần</t>
  </si>
  <si>
    <t>Chỉnh lại UI/UX để phần chọn lựa nổi bật, dễ nhìn và dễ phân biệt giữa câu hỏi của bot với lựa chọn của người dùng</t>
  </si>
  <si>
    <t>Cải thiện phần MacCord/MakiChat để thể hiện khác biệt rõ hơn giữa các dòng tương tác</t>
  </si>
  <si>
    <t>Bổ sung/translate sang tiếng Hàn các nội dung còn thiếu trong hệ thống</t>
  </si>
  <si>
    <t>Tiếp tục đẩy/cập nhật phần combo, xem chi tiết và các nội dung liên quan để hoàn thiện giao diện</t>
  </si>
  <si>
    <t>Gửi summary meeting kèm deadline sau cuộc họp</t>
  </si>
  <si>
    <t>Làm việc tiếp với MakiChat vào khoảng 30 phút sau cuộc họp hiện tại</t>
  </si>
  <si>
    <t>Trong ngày, sau khoảng 30 phút</t>
  </si>
  <si>
    <t>Chuyển sang triển khai dự án MakiChat vào tuần sau</t>
  </si>
  <si>
    <t>Tuần sau</t>
  </si>
  <si>
    <t>Hoàn thiện phần layout/hình ảnh cho các trang cần “đẹp như thực”, trong khi phần data sẽ để đội khác xử lý</t>
  </si>
  <si>
    <t>Chốt dùng domain Go Đà Nẵng, không dùng Go Việt Nam Tour hoặc các domain sai khác.</t>
  </si>
  <si>
    <t>Chốt ngày 23 là deadline cho bản tiếng Hàn, public lên domain, và hoàn thiện Naver/KakaoTalk.</t>
  </si>
  <si>
    <t>Chốt tiếp tục chạy Facebook và Tiktok cho thị trường Việt Nam, chưa chạy các kênh Hàn.</t>
  </si>
  <si>
    <t>Chốt để bên khác làm phần data/crawl, còn phần layout và hình ảnh do phía được giao phụ trách.</t>
  </si>
  <si>
    <t>Chốt tạm thời phần trang chủ và trang tour là đẹp nhất, các trang khác sẽ fix thêm khi cần.</t>
  </si>
  <si>
    <t>Chốt không làm riêng Omnichannel và Keychats; Keychats bao gồm cả hai phần kia.</t>
  </si>
  <si>
    <t>Chốt sẽ chuyển ưu tiên sang MakiChat vào tuần sau.</t>
  </si>
  <si>
    <t>Domain đang bị dùng nhầm/sai so với domain đã mua và đã chốt trước đó.</t>
  </si>
  <si>
    <t>Bản tiếng Hàn chưa thấy hoàn thiện, trong khi thị trường Hàn đang có khách nhiều.</t>
  </si>
  <si>
    <t>Kênh Naver và KakaoTalk đã tạo tài khoản nhưng chưa hoàn chỉnh phần cần số điện thoại/thiết lập liên quan.</t>
  </si>
  <si>
    <t>Phần combo và chi tiết vẫn chưa hiển thị/hoạt động như mong đợi.</t>
  </si>
  <si>
    <t>Giao diện một số chỗ còn khó nhìn, lựa chọn chưa nổi bật, dễ gây nhầm lẫn.</t>
  </si>
  <si>
    <t>Có tình trạng nội dung tiếng Việt, tiếng Anh lẫn lộn ở một số phần.</t>
  </si>
  <si>
    <t>Việc cào data/hạng mục từ phía cung cấp chưa rõ ràng, thông tin gửi về còn chưa đầy đủ.</t>
  </si>
  <si>
    <t>Tiến độ một số hạng mục bị trễ so với kỳ vọng “gần xong”.</t>
  </si>
  <si>
    <t>Rà soát lại file domain của Huấn, xác định đúng domain cần dùng và chỉnh lại hệ thống theo domain Go Đà Nẵng.</t>
  </si>
  <si>
    <t>Hoàn thiện bản tiếng Hàn và public lên domain trước hoặc đúng ngày 23.</t>
  </si>
  <si>
    <t>Thiết lập xong Naver và KakaoTalk, đồng thời bổ sung phần cần thiết để dùng cho thị trường Hàn.</t>
  </si>
  <si>
    <t>Tiếp tục chỉnh UI/UX, đặc biệt là phần lựa chọn và phân biệt giao diện bot/người dùng.</t>
  </si>
  <si>
    <t>Hoàn tất các phần còn dang dở của combo, xem chi tiết và các trang liên quan, đồng thời record/gửi trước nếu cần review.</t>
  </si>
  <si>
    <t>Gửi summary meeting kèm các deadline đã chốt.</t>
  </si>
  <si>
    <t>Sau cuộc họp hiện tại, tiếp tục trao đổi riêng về MakiChat trong khoảng 30 phút.</t>
  </si>
  <si>
    <t>Tuần sau chuyển trọng tâm sang triển khai MakiChat và hoàn thiện các nội dung/layout còn thiếu.</t>
  </si>
  <si>
    <t>Gửi quy trình làm việc và video hướng dẫn cách làm việc của công ty cho ứng viên</t>
  </si>
  <si>
    <t>Ứng viên đọc quy trình và video trong 2 ngày cuối tuần</t>
  </si>
  <si>
    <t>2 ngày cuối tuần</t>
  </si>
  <si>
    <t>Bắt đầu làm việc sau khi đã đọc và hiểu tài liệu hướng dẫn</t>
  </si>
  <si>
    <t>Leader giao task cho ứng viên để đánh giá KPI và theo dõi mức độ hoàn thành</t>
  </si>
  <si>
    <t>Hàng tháng</t>
  </si>
  <si>
    <t>Ứng viên tiếp tục chuẩn bị để có thể làm việc với khách hàng và team DEV</t>
  </si>
  <si>
    <t>Ứng viên cố gắng cải thiện khả năng tiếng Anh, tiếng Trung để có thể giao tiếp hằng ngày và hướng tới team global</t>
  </si>
  <si>
    <t>Ứng viên sẽ được gửi quy trình và video hướng dẫn trước, sau đó đọc trong 2 ngày cuối tuần rồi mới bắt đầu làm việc.</t>
  </si>
  <si>
    <t>KPI sẽ được dùng để đánh giá lên level và tính lương.</t>
  </si>
  <si>
    <t>Ứng viên sẽ báo cáo KPI qua leader hiện tại là anh Thương.</t>
  </si>
  <si>
    <t>Công ty sẽ cho ứng viên làm thử trước; nếu phù hợp và ổn thì có thể hướng tới team global.</t>
  </si>
  <si>
    <t>Ứng viên nghe mic hơi nhỏ trong phần giới thiệu, có thể ảnh hưởng đến trao đổi ban đầu.</t>
  </si>
  <si>
    <t>Chưa có nhiều thông tin về kinh nghiệm làm việc thực tế của ứng viên, nên cần thử việc và giao task để đánh giá thêm.</t>
  </si>
  <si>
    <t>Chưa xác nhận rõ khả năng tiếng Anh và tiếng Trung ở mức làm việc chuyên sâu; hiện mới cho biết có thể giao tiếp hằng ngày.</t>
  </si>
  <si>
    <t>Thương gửi cho ứng viên quy trình làm việc và video hướng dẫn công ty.</t>
  </si>
  <si>
    <t>Ứng viên đọc kỹ tài liệu trong 2 ngày cuối tuần để nắm cách làm việc.</t>
  </si>
  <si>
    <t>Sau khi hoàn tất phần đọc, ứng viên bắt đầu làm việc và nhận task từ leader.</t>
  </si>
  <si>
    <t>Leader theo dõi tiến độ, giao việc và chấm KPI hàng tháng cho ứng viên.</t>
  </si>
  <si>
    <t>Nếu ứng viên làm tốt, công ty sẽ cân nhắc hướng tới team global.</t>
  </si>
  <si>
    <t>Cuộc họp tập trung vào việc rà soát, chỉnh sửa và hoàn thiện các tính năng liên quan đến KPI/chỉ số theo chiến dịch, theo nền tảng và theo thành viên trong hệ thống. Bên cạnh đó, cuộc họp cũng trao đổi về quy trình đo lường theo tuần, hiển thị tiến độ trên dashboard, tích hợp UTM/lead flow, và yêu cầu bổ sung tài liệu hướng dẫn sử dụng, video/screen record cho các tính năng mới.</t>
  </si>
  <si>
    <t>Chỉnh lại tên chiến dịch và phần mô tả theo format mặc định theo tháng, đồng thời vẫn cho phép người dùng custom tên chiến dịch</t>
  </si>
  <si>
    <t>Không có</t>
  </si>
  <si>
    <t>Bổ sung đầy đủ các nền tảng social còn thiếu như Facebook, Instagram, TikTok, Youtube, Yalo, Threads vào phần chọn nền tảng</t>
  </si>
  <si>
    <t>Thêm cấu trúc KPI theo từng nền tảng thay vì chỉ KPI tổng cho chiến dịch</t>
  </si>
  <si>
    <t>Thiết kế KPI thành viên theo từng nền tảng để tính riêng cho từng người trong chiến dịch</t>
  </si>
  <si>
    <t>Hiển thị tiến độ KPI dưới dạng phần trăm trên dashboard theo công thức số đã đạt trên tổng KPI, cho cả từng bài đăng và từng nền tảng</t>
  </si>
  <si>
    <t>Bổ sung thêm tab KPI và các tiến trình liên quan trong dashboard/quản trị nhân sự</t>
  </si>
  <si>
    <t>Cập nhật UI mới của phần quản trị nhân sự; phần này dự kiến tự code và review vào thứ 2</t>
  </si>
  <si>
    <t>Thứ 2</t>
  </si>
  <si>
    <t>Update phần description và các trường liên quan trong UI</t>
  </si>
  <si>
    <t>Sớm, không nêu cụ thể</t>
  </si>
  <si>
    <t>Thêm cơ chế xét KPI theo tuần trong chiến dịch, mặc định là 7 ngày và cho phép user thay đổi khoảng thời gian</t>
  </si>
  <si>
    <t>Thêm lựa chọn thời điểm bắt đầu xét tuần/KPI khi tạo chiến dịch KPI</t>
  </si>
  <si>
    <t>Bổ sung panel riêng để quản lý một user tham gia nhiều project/chiến dịch, đặt ngoài phần quản lý nhóm</t>
  </si>
  <si>
    <t>Sau khi làm xong phần phân quyền</t>
  </si>
  <si>
    <t>Đẩy tính năng đã xong qua dev, không cần anh Thương test trước</t>
  </si>
  <si>
    <t>Ngay khi xong</t>
  </si>
  <si>
    <t>Research quy trình người dùng tương tác để đặt hàng trên từng platform, đặc biệt với bài post/video và các hành vi như comment, inbox, click link</t>
  </si>
  <si>
    <t>Rà soát và tích hợp phần UTM/lead flow, ưu tiên triển khai phần liên quan đến phân bổ/điều hướng list</t>
  </si>
  <si>
    <t>Cung cấp file Excel để team check thêm</t>
  </si>
  <si>
    <t>Sẽ gửi sau cuộc họp</t>
  </si>
  <si>
    <t>Cập nhật toàn bộ tài liệu hướng dẫn sử dụng (doc) cho các tính năng đã lên</t>
  </si>
  <si>
    <t>Tuần tới, dự kiến thứ 2 hoặc thứ 3</t>
  </si>
  <si>
    <t>Cập nhật screen record/video cho các tính năng trong main marquee, gồm cả các tính năng mới như phân quyền</t>
  </si>
  <si>
    <t>Gửi một file tổng hợp đầy đủ tài liệu truyền thông cho chị Tiên</t>
  </si>
  <si>
    <t>Điền lại thông tin cổ điển cho phần CL và cập nhật thông tin mới vào các khách hàng đang làm</t>
  </si>
  <si>
    <t>Xem lại file chính sách bonus KPI đã gửi trong group</t>
  </si>
  <si>
    <t>Cấp quyền truy cập theo request đã gửi</t>
  </si>
  <si>
    <t>Tên chiến dịch sẽ hiển thị theo format tháng, còn người dùng vẫn có quyền chỉnh sửa tên.</t>
  </si>
  <si>
    <t>KPI cần được tách theo từng nền tảng, sau đó cộng dồn ra KPI tổng.</t>
  </si>
  <si>
    <t>KPI thành viên cũng phải tính theo từng nền tảng và từng người.</t>
  </si>
  <si>
    <t>Dashboard cần hiển thị tiến độ KPI dạng 1 trên tổng KPI để người quản lý nhìn nhanh được mức độ hoàn thành.</t>
  </si>
  <si>
    <t>Mặc định chu kỳ xét KPI theo tuần là 7 ngày, nhưng phải cho phép người dùng chỉnh được.</t>
  </si>
  <si>
    <t>Phần UI mới của quản trị nhân sự sẽ làm vào thứ 2; hôm nay không kịp triển khai.</t>
  </si>
  <si>
    <t>Tính năng sau khi hoàn thành sẽ đẩy thẳng qua dev, không cần anh Thương test trước.</t>
  </si>
  <si>
    <t>Vấn đề UTM/lead flow sẽ ưu tiên nghiên cứu và triển khai ở giai đoạn sau, không làm ngay theo hướng phức tạp khi chưa rõ quy trình.</t>
  </si>
  <si>
    <t>Tài liệu hướng dẫn sử dụng và screen record cần được cập nhật đầy đủ để phục vụ truyền thông.</t>
  </si>
  <si>
    <t>Hiện phần chọn nền tảng còn thiếu một số social và chưa được cập nhật đầy đủ.</t>
  </si>
  <si>
    <t>KPI hiện tại mới đang ở mức tổng, chưa tách chi tiết theo nền tảng nên chưa phản ánh đúng thực tế.</t>
  </si>
  <si>
    <t>Chưa có cơ chế hiển thị tiến độ KPI trực quan trên dashboard để biết ngay mức độ hoàn thành.</t>
  </si>
  <si>
    <t>Chưa có panel riêng để quản lý một user tham gia nhiều project/chiến dịch, gây khó theo dõi tiến độ theo từng project.</t>
  </si>
  <si>
    <t>Phần UI mới hôm nay không thể triển khai kịp do thời gian không đủ.</t>
  </si>
  <si>
    <t>Quy trình người dùng tương tác để đặt hàng trên từng platform còn khá trừu tượng, cần research thêm dữ liệu trước khi chốt giải pháp.</t>
  </si>
  <si>
    <t>Cách xử lý comment, inbox, click link và mapping về list/lead còn chưa rõ, chưa đủ thông tin để triển khai chính xác.</t>
  </si>
  <si>
    <t>Một số tính năng mới như phân quyền chưa có screen record, nên tài liệu truyền thông chưa hoàn chỉnh.</t>
  </si>
  <si>
    <t>Anh em đang bị áp lực/stress vì nhiều dự án cùng lúc.</t>
  </si>
  <si>
    <t>Hoàn thiện các chỉnh sửa UI/KPI theo từng nền tảng và theo từng thành viên, gồm cả hiển thị progress trên dashboard.</t>
  </si>
  <si>
    <t>Làm phần UI mới của quản trị nhân sự vào thứ 2 và review sau khi team tự code xong.</t>
  </si>
  <si>
    <t>Triển khai cơ chế xét KPI theo tuần với mặc định 7 ngày, đồng thời cho phép chỉnh chu kỳ theo nhu cầu.</t>
  </si>
  <si>
    <t>Nghiên cứu sâu hơn về UTM và hành vi tương tác để đặt hàng trên từng platform, sau đó xác định cách map list/lead chính xác.</t>
  </si>
  <si>
    <t>Xây dựng panel quản lý user đa project sau khi xong phần phân quyền.</t>
  </si>
  <si>
    <t>Cập nhật tài liệu hướng dẫn sử dụng, screen record và file tổng hợp truyền thông trong tuần tới, dự kiến thứ 2 hoặc thứ 3.</t>
  </si>
  <si>
    <t>Gửi file Excel và các tài liệu liên quan để team kiểm tra, đối chiếu thêm.</t>
  </si>
  <si>
    <t>Cập nhật thông tin CL, file chính sách bonus KPI và các thông tin mới của khách hàng đang làm.</t>
  </si>
  <si>
    <t>Cuộc họp tập trung hướng dẫn cách cập nhật và chuẩn hóa dữ liệu khách hàng trong hệ thống, đặc biệt là các trường thông tin liên quan đến company, location, list/customer, ngày tạo, người liên hệ, dịch vụ, giá trị hợp đồng, trạng thái và các mốc pipeline. Mục đích chính là để đảm bảo dữ liệu được nhập đúng, không trùng lặp và có thể theo dõi tiến độ khách hàng/hợp đồng rõ ràng.</t>
  </si>
  <si>
    <t>Xóa dữ liệu cũ và nhập lại thông tin company, location, hình ảnh, list/customer theo đúng cấu trúc được hướng dẫn</t>
  </si>
  <si>
    <t>Bổ sung thông tin tên công ty đầy đủ và đúng chính tả trong hệ thống</t>
  </si>
  <si>
    <t>Điền location là Sài Gòn theo hướng dẫn</t>
  </si>
  <si>
    <t>Nhập list theo nhóm mối quan hệ khách hàng, không để nhầm sang marketing</t>
  </si>
  <si>
    <t>Ghi ngày tạo theo mốc đã trao đổi, tạm thời điền tháng 2 hoặc tháng 3 nếu chưa chính xác tuyệt đối</t>
  </si>
  <si>
    <t>Nhập người liên hệ là chị Hạ</t>
  </si>
  <si>
    <t>Bổ sung số điện thoại và các thông tin liên hệ của chị Hạ để tiện theo dõi sau này</t>
  </si>
  <si>
    <t>Cập nhật khách hàng của Tiên vào hệ thống</t>
  </si>
  <si>
    <t>Chỉ giữ một dòng thông tin khách hàng trong sheet kiểm soát khách hàng, xóa các dòng thừa</t>
  </si>
  <si>
    <t>Cập nhật dịch vụ, bao gồm Azure và bổ sung Agency Marketing hoặc Agency Marketing web nếu phù hợp</t>
  </si>
  <si>
    <t>Điền giá trị hợp đồng, ước lượng gần 200 triệu nếu chưa nhớ chính xác</t>
  </si>
  <si>
    <t>Cập nhật trạng thái sang chuyển khai</t>
  </si>
  <si>
    <t>Nhập hoặc điều chỉnh mốc số 7 theo thông tin ký hợp đồng</t>
  </si>
  <si>
    <t>Nhập ngày tương tác cho các lần trao đổi hoặc meeting với chị Hạ</t>
  </si>
  <si>
    <t>Cập nhật PM là Litter theo hướng dẫn</t>
  </si>
  <si>
    <t>Tiếp tục update thông tin khách hàng để phục vụ theo dõi pipeline</t>
  </si>
  <si>
    <t>Gửi báo giá cho bên event thông qua Thương và theo dõi phản hồi từ HiLac</t>
  </si>
  <si>
    <t>Sớm.</t>
  </si>
  <si>
    <t>Cập nhật tên khách hàng để tránh trùng lặp trên hệ thống HiLac</t>
  </si>
  <si>
    <t>Theo dõi các khách hàng đang bị trễ và chủ động nhắc/đôn đốc</t>
  </si>
  <si>
    <t>Chỉ giữ một dòng khách hàng trong sheet kiểm soát, không để nhiều dòng trùng lặp.</t>
  </si>
  <si>
    <t>Tạm thời chỉ cần làm 3 mốc đầu của pipeline, các mốc sau sẽ bổ sung sau.</t>
  </si>
  <si>
    <t>Phần ký hợp đồng ở mốc số 4 sẽ do bộ phận kế toán hoặc sale xử lý, không cần người nhập ban đầu thực hiện.</t>
  </si>
  <si>
    <t>Trạng thái được thống nhất là chuyển khai.</t>
  </si>
  <si>
    <t>Tên khách hàng cần được cập nhật đồng nhất để tránh trùng trên hệ thống HiLac.</t>
  </si>
  <si>
    <t>Báo giá bên event sẽ để Thương gửi qua bên liên quan xử lý.</t>
  </si>
  <si>
    <t>Có nguy cơ nhập sai hoặc thiếu dữ liệu do nhiều trường thông tin chưa nhớ chính xác, đặc biệt là giá trị hợp đồng.</t>
  </si>
  <si>
    <t>Một số khách hàng đang bị trễ, cần theo dõi và đôn đốc.</t>
  </si>
  <si>
    <t>Có khả năng trùng tên khách hàng nếu không cập nhật thống nhất.</t>
  </si>
  <si>
    <t>Phần báo giá cho bên event đang cần xử lý sớm vì khách đang hối.</t>
  </si>
  <si>
    <t>Một số thông tin pipeline và hợp đồng chưa hoàn chỉnh, cần tiếp tục bổ sung sau.</t>
  </si>
  <si>
    <t>Hoàn tất việc nhập lại và chuẩn hóa dữ liệu khách hàng theo đúng cấu trúc đã hướng dẫn.</t>
  </si>
  <si>
    <t>Cập nhật đầy đủ thông tin liên hệ, ngày tương tác, dịch vụ, trạng thái và PM cho từng khách hàng.</t>
  </si>
  <si>
    <t>Tiếp tục bổ sung 3 mốc đầu của pipeline trước, các mốc sau cập nhật sau.</t>
  </si>
  <si>
    <t>Chuyển phần ký hợp đồng sang bộ phận kế toán hoặc sale để nhập link hợp đồng và thông tin thu tiền.</t>
  </si>
  <si>
    <t>Thương gửi báo giá cho bên event, sau đó theo dõi phản hồi từ HiLac.</t>
  </si>
  <si>
    <t>Rà soát tên khách hàng để tránh trùng lặp và cập nhật tiến độ các khách hàng đang bị trễ.</t>
  </si>
  <si>
    <t>Nếu có vướng mắc, xem lại ghi nhớ/record cuộc họp để tiếp tục cập nhật thông tin chính xác.</t>
  </si>
  <si>
    <t>HR gửi đầy đủ thông tin về lộ trình thăng tiến của vị trí thực tập sang các level tiếp theo.</t>
  </si>
  <si>
    <t>Gửi bảng thăng tiến và bảng mức thù lao/đãi ngộ trả theo KPI.</t>
  </si>
  <si>
    <t>Gửi file/tài liệu liên quan đến vị trí và thông tin công việc cho ứng viên.</t>
  </si>
  <si>
    <t>Add ứng viên vào team để thử làm một số bài/content trong team.</t>
  </si>
  <si>
    <t>Ứng viên đọc các thông tin được gửi, nếu chưa hiểu thì nhắn tin hỏi lại.</t>
  </si>
  <si>
    <t>Ứng viên tìm hiểu và thử tương tác thêm trên LinkedIn, đặc biệt với thị trường nước ngoài, nếu có khả năng tiếng Anh.</t>
  </si>
  <si>
    <t>Leader/mentor hỗ trợ hướng dẫn cách viết content, cách research và cách làm việc với KPI trong quá trình thực tập.</t>
  </si>
  <si>
    <t>Vị trí ứng viên đang apply là Content.</t>
  </si>
  <si>
    <t>Team sẽ đánh giá theo KPI thay vì tập trung vào giờ lên/xuống văn phòng.</t>
  </si>
  <si>
    <t>Khi trở thành nhân sự chính thức, bắt buộc lên công ty 3 ngày/tuần, trong đó thứ Hai là ngày bắt buộc; 2 ngày đi khách hàng vẫn được tính trong 3 ngày/tuần.</t>
  </si>
  <si>
    <t>Ứng viên sẽ được tham gia thử việc/thử làm trong team content để đánh giá mức độ phù hợp.</t>
  </si>
  <si>
    <t>Nếu ứng viên có tiếng Anh tốt, sẽ được giao thêm phần tương tác social, đặc biệt trên LinkedIn và thị trường nước ngoài.</t>
  </si>
  <si>
    <t>Ứng viên cần chủ động tự học, research trước khi hỏi leader/mentor.</t>
  </si>
  <si>
    <t>Việc review sẽ được thực hiện theo tháng, khoảng 4 đến 6 tuần một lần, dựa trên KPI và report.</t>
  </si>
  <si>
    <t>Có thể đổi leader nếu cảm thấy không phù hợp; đánh giá không chỉ do leader mà còn có survey tự đánh giá và đánh giá leader.</t>
  </si>
  <si>
    <t>Ứng viên chưa có kinh nghiệm làm Content.</t>
  </si>
  <si>
    <t>Ứng viên chưa từng làm marketing trước đây.</t>
  </si>
  <si>
    <t>Ứng viên chưa sử dụng thử app/tool được giới thiệu, mới chỉ tìm hiểu sơ bộ.</t>
  </si>
  <si>
    <t>Ứng viên chưa mở quyền xem đầy đủ cho Google Drive/CV nên ban đầu chưa xem được file.</t>
  </si>
  <si>
    <t>Yêu cầu tự research trước khi hỏi có thể là thách thức nếu ứng viên chưa quen với cách làm việc chủ động.</t>
  </si>
  <si>
    <t>Công việc và review phụ thuộc nhiều vào KPI, nên kết quả thực tập sẽ được đánh giá sát theo hiệu suất.</t>
  </si>
  <si>
    <t>Gửi đầy đủ tài liệu về lộ trình thăng tiến, KPI và thông tin công việc cho ứng viên.</t>
  </si>
  <si>
    <t>Add ứng viên vào team và giao thử một số task/content mẫu để bắt đầu đánh giá.</t>
  </si>
  <si>
    <t>Ứng viên đọc kỹ tài liệu, nghiên cứu thêm về Content, KPI, công cụ Marquee/Maki và quy trình làm việc của team.</t>
  </si>
  <si>
    <t>Ứng viên phản hồi lại các câu hỏi/chỗ chưa hiểu sau khi đọc tài liệu.</t>
  </si>
  <si>
    <t>Mentor/leader theo sát giai đoạn đầu để hướng dẫn cách làm content, cách research và cách tạo kết quả theo KPI.</t>
  </si>
  <si>
    <t>Nếu ứng viên có thế mạnh tiếng Anh, triển khai thêm nội dung tương tác với team Global và LinkedIn cho thị trường nước ngoài.</t>
  </si>
  <si>
    <t>Chuyển hóa hệ thống quản lý thông tin khách hàng từ dạng view sheet sang database dạng web, dễ dàng nhập và xem thông tin</t>
  </si>
  <si>
    <t>Nghiên cứu các hệ thống CRM open source hiện có để tham khảo, bổ sung vào tab Resource</t>
  </si>
  <si>
    <t>Xây dựng tính năng AI tự động soạn hợp đồng và check hợp đồng: nhập thông tin qua form, AI gen hợp đồng ra file PDF hoặc Word</t>
  </si>
  <si>
    <t>Chuyển hóa tính năng gen hợp đồng (hiện đang dùng Claude cho một người) thành dạng web, lưu lại thông tin hợp đồng</t>
  </si>
  <si>
    <t>Xem phần Deal Handoff trong hệ thống CRM, có vướng mắc thì nhắn lên nhóm</t>
  </si>
  <si>
    <t>Trao đổi toàn bộ công việc trên Telegram, tích hợp bot summary tự động tổng hợp nội dung lên Google Sheets</t>
  </si>
  <si>
    <t>Nghiên cứu cách lấy tag/tách rễ từ phần member view hoặc project manager để bắn lên Telegram</t>
  </si>
  <si>
    <t>Thêm tab liên quan đến phần sale/lưu sắm, thêm Pháp Hân vào hỗ trợ tab này</t>
  </si>
  <si>
    <t>Crawl data trên group Facebook để xem bài viết có lực tương tác, cảnh báo lên Telegram. Hỏi My để được support, bổ sung 2-3 bạn vào làm</t>
  </si>
  <si>
    <t>Crawl data trên LinkedIn</t>
  </si>
  <si>
    <t>Chia tab theo cấu trúc: một tab n8n, một tab code</t>
  </si>
  <si>
    <t>Auto Shifting: theo dõi đối thủ, tích sắc từ khóa (mỗi mục 2 người)</t>
  </si>
  <si>
    <t>Các mục liên quan đến Maki thì hỏi team Mai</t>
  </si>
  <si>
    <t>Tải video Facebook về, download subtitle rồi đẩy lại (CDB), tự động summary</t>
  </si>
  <si>
    <t>Phần draw data từ các trang web: hỏi lại Lê Hoàng Thiện vì đã làm trước đó, có doc đầy đủ</t>
  </si>
  <si>
    <t>Cần một bạn làm phần Cromen</t>
  </si>
  <si>
    <t>Anh Thái check lại phần text</t>
  </si>
  <si>
    <t>Phần SOC: Minh Phi và anh Kinh tự xử, cần làm đánh vết</t>
  </si>
  <si>
    <t>Xây dựng hệ thống tuyển dụng tự động (HR), lên test lại</t>
  </si>
  <si>
    <t>Sớm nhất có thể</t>
  </si>
  <si>
    <t>Khi có CME mới vào, tự động gửi thông tin qua Zalo/Gallo cho bạn đó, bao gồm: email giới thiệu công ty, hướng dẫn sử dụng PM, KPI, link các group</t>
  </si>
  <si>
    <t>Khi thanh toán hóa đơn, chụp hình ném lên Telegram, tự động import vào phần expand trong profile, chuyển thành format chuẩn rồi đẩy ra DB hoặc Google Sheets. Triển khai trong nhóm intern</t>
  </si>
  <si>
    <t>Tất cả dữ liệu lưu trên server nhà (ShareHot), không lưu trên cloud ngoài</t>
  </si>
  <si>
    <t>Add Telegram, tạo topic: Topic HR, Topic Sale</t>
  </si>
  <si>
    <t>Tạo 3 webhook: một cho Sekiro (liên quan Security), một cho Mikey (liên quan Mikey AI), một cho CloudGamer</t>
  </si>
  <si>
    <t>Follow các GitHub repo nổi tiếng, theo dõi repo tăng sao nhiều nhất, lấy ý tưởng hay ứng dụng vào thực tế, bổ sung tab liên quan đến Github trong phần product</t>
  </si>
  <si>
    <t>Nghiên cứu ứng dụng FireVoice (Microsoft, open source, clone giọng nói/transcribe) vào việc summary tạo giọng nói cho video nội bộ</t>
  </si>
  <si>
    <t>Lấy thông tin từ các website, dùng AI tổng hợp, gửi báo cáo qua Telegram và email cho khách hàng (phần anh Hiệp đang làm, có thể lên web thay vì chạy local)</t>
  </si>
  <si>
    <t>Xem CV ứng viên, phân chia: bạn nào phù hợp front-end thì thiết kế trước, trình lên để chọn</t>
  </si>
  <si>
    <t>Hỏi chị Hân xem triển khai bên nào tốt hơn để test (SellHot vào cổng lab, không phải VC)</t>
  </si>
  <si>
    <t>Họp lại thứ 4 một lần và thứ 6 một lần để review tiến độ</t>
  </si>
  <si>
    <t>Hàng tuần</t>
  </si>
  <si>
    <t>Toàn bộ trao đổi công việc chuyển sang Telegram, tích hợp bot summary lên Google Sheets.</t>
  </si>
  <si>
    <t>Hệ thống quản lý khách hàng chuyển từ Google Sheets sang dạng database/web.</t>
  </si>
  <si>
    <t>Tính năng gen hợp đồng bằng AI (hiện dùng Claude) sẽ được chuyển thành web để nhiều người dùng được.</t>
  </si>
  <si>
    <t>Tất cả dữ liệu lưu trên server nội bộ (ShareHot), không dùng cloud ngoài.</t>
  </si>
  <si>
    <t>Triển khai trên cổng lab, không phải VC.</t>
  </si>
  <si>
    <t>Lịch họp định kỳ: thứ 4 và thứ 6 hàng tuần.</t>
  </si>
  <si>
    <t>Các mục liên quan đến Maki thì hỏi team Mai.</t>
  </si>
  <si>
    <t>Cấu trúc tab chia theo: n8n và code riêng biệt.</t>
  </si>
  <si>
    <t>Tạo 3 webhook riêng: Sekiro (Security), Mikey (Mikey AI), CloudGamer.</t>
  </si>
  <si>
    <t>Tính năng gen hợp đồng bằng Claude hiện chỉ dùng được cho một người, cần chuyển hóa thành web mới dùng được cho nhiều người.</t>
  </si>
  <si>
    <t>Một số đầu việc chưa rõ người phụ trách cụ thể, cần phân công lại sau cuộc họp.</t>
  </si>
  <si>
    <t>Phần Cromen cần tìm thêm người phù hợp.</t>
  </si>
  <si>
    <t>Crawl data Facebook/LinkedIn cần bổ sung thêm 2-3 người mới đủ nhân lực.</t>
  </si>
  <si>
    <t>Cần tìm thêm ứng viên, xem CV và phân chia phù hợp trước khi triển khai.</t>
  </si>
  <si>
    <t>Phân công cụ thể từng đầu việc cho các thành viên, ưu tiên các task critical trước.</t>
  </si>
  <si>
    <t>Triển khai hệ thống database/web quản lý khách hàng và tính năng gen hợp đồng AI sớm nhất có thể.</t>
  </si>
  <si>
    <t>Tích hợp Telegram bot summary và tạo các topic HR, Sale trong nhóm.</t>
  </si>
  <si>
    <t>Tạo 3 webhook (Sekiro, Mikey, CloudGamer) và bổ sung tab Github vào phần product.</t>
  </si>
  <si>
    <t>Hỏi chị Hân về môi trường triển khai (cổng lab/ShareHot) để bắt đầu test.</t>
  </si>
  <si>
    <t>Xem lại CV ứng viên, phân chia và trình lên để chọn.</t>
  </si>
  <si>
    <t>Họp lại thứ 4 và thứ 6 hàng tuần để review tiến độ.</t>
  </si>
  <si>
    <t>Anh Vinh chỉnh sửa dock, bao gồm thêm tài khoản admin và lấy các tài khoản shipping</t>
  </si>
  <si>
    <t>5 giờ chiều ngày 15/04/2026.</t>
  </si>
  <si>
    <t>Anh Thuận lên UI, dựa trên dock đã chỉnh sửa, bổ sung phần admin và phân biệt rõ Facebook Group và Fanpage trong giao diện</t>
  </si>
  <si>
    <t>10 giờ sáng ngày 16/04/2026.</t>
  </si>
  <si>
    <t>Người tham gia sẽ test tính năng list sách cuối thủ và các tính năng nổi bật</t>
  </si>
  <si>
    <t>không đề cập rõ.</t>
  </si>
  <si>
    <t>Hoàn thành danh sách giám sát đối thủ và tính năng đối thủ để gửi lại trước khi báo cáo</t>
  </si>
  <si>
    <t>ngày 16/04/2026 (thứ 6).</t>
  </si>
  <si>
    <t>Dock và UI sẽ được tách riêng để người dùng dễ dàng phân biệt giữa Facebook Fanpage và Facebook Group, không gộp chung gây rối.</t>
  </si>
  <si>
    <t>Tài khoản admin chỉ dùng để quản lý, không cần quyền bài đăng.</t>
  </si>
  <si>
    <t>Giao diện UI sau khi chỉnh dock phải dựa trên dock và đảm bảo tính trực quan cho người dùng.</t>
  </si>
  <si>
    <t>Deadline các công việc được thống nhất cụ thể: chỉnh dock đến 5 giờ chiều ngày 15/04/2026, UI hoàn thành trước 10 giờ sáng 16/04/2026, danh sách giám sát đối thủ xong trước thứ 6 ngày 16/04/2026.</t>
  </si>
  <si>
    <t>Việc xác nhận tiến độ và cập nhật deadline sẽ được thông báo sớm để xử lý kịp thời nếu cần delay.</t>
  </si>
  <si>
    <t>Vấn đề phân biệt rõ ràng Facebook Group và Fanpage trên UI để tránh gây rối người dùng.</t>
  </si>
  <si>
    <t>Nếu deadline không đảm bảo tiến độ, phải báo cáo sớm để điều chỉnh.</t>
  </si>
  <si>
    <t>Yêu cầu UI phải đơn giản, trực quan, tránh chuyển qua lại giữa hai tab gây khó chịu cho người dùng.</t>
  </si>
  <si>
    <t>Anh Vinh thực hiện chỉnh sửa dock theo yêu cầu đã thống nhất, hoàn thành đúng hạn 5 giờ chiều ngày 15/04/2026.</t>
  </si>
  <si>
    <t>Anh Thuận dựa trên dock đã chỉnh sửa để thiết kế và hoàn thiện UI, bao gồm phần thêm tài khoản admin, rõ ràng phân biệt Facebook Group và Fanpage, hoàn thành trước 10 giờ sáng ngày 16/04/2026.</t>
  </si>
  <si>
    <t>Các bên liên quan hoàn thiện danh sách giám sát đối thủ, tính năng nổi bật để gửi lại trước hạn chót ngày 16/04/2026.</t>
  </si>
  <si>
    <t>Theo dõi tiến độ và kịp thời cập nhật nếu có bất kỳ chậm trễ hoặc vấn đề phát sinh, đảm bảo công bố tiến độ để điều chỉnh kế hoạch.</t>
  </si>
  <si>
    <t>Kết thúc công việc hiện tại sau khi hoàn thành các action items, sẵn sàng cho các bước báo cáo tiếp theo.</t>
  </si>
  <si>
    <t>Bổ sung 3-4 thành viên để đẩy nhanh tiến độ dự án Deloitte PM | Cập nhật tiến độ báo cáo vào thứ Tư và thứ Sáu hàng tuần</t>
  </si>
  <si>
    <t>Ưu tiên triển khai các task internal đã phân công và tập trung chạy task tuần này</t>
  </si>
  <si>
    <t>Đưa ra các ý tưởng và thực hiện automation các quy trình phù hợp, hoàn thiện để được hưởng thưởng một triệu đồng cho mỗi automation | Không đề cập deadline cụ thể</t>
  </si>
  <si>
    <t>Chuyển đổi landing page cho dự án Mighty sang nền tảng Google Sheets, nhờ Tiên hoặc các bạn khác tùy chỉnh lại</t>
  </si>
  <si>
    <t>Nối tiếp dự án Maki: hoàn thiện UI phần băng bài nhóm shipping và phần set KPI cho toàn team</t>
  </si>
  <si>
    <t>Hoàn thiện Plan và Research cho dự án Cao Sơn, tập trung làm phần website trước, dự kiến chạy SEO và content muộn hơn</t>
  </si>
  <si>
    <t>Chuẩn bị và gửi slide trình bày demo cho Trung Nguyên trước 4 giờ chiều ngày họp (20/04/2026) để chốt lịch demo</t>
  </si>
  <si>
    <t>Quay video demo tính năng cùng video AI Agent cho Trung Nguyên trong hôm nay để kịp demo ngày mai hoặc tuần sau</t>
  </si>
  <si>
    <t>Test và rà soát video demo trước khi gửi cho anh Hiệp và anh Sơn để hỗ trợ chỉnh sửa, thêm video cần thiết</t>
  </si>
  <si>
    <t>Theo dõi và xử lý phần Linking và Raw Data trên LinkedIn, trao đổi với Dev và các thành viên liên quan để phân quyền và tiến độ</t>
  </si>
  <si>
    <t>Chuyển database project xuống hosting riêng, không để trên GameBase Online</t>
  </si>
  <si>
    <t>Tăng cường bổ sung nhân sự nếu cần, liên hệ với anh Thương để hỗ trợ</t>
  </si>
  <si>
    <t>Báo cáo tiến độ dự án được thống nhất họp vào thứ Tư để cập nhật sơ bộ, báo cáo chi tiết hơn vào thứ Sáu</t>
  </si>
  <si>
    <t>Triển khai thưởng một triệu đồng cho mỗi automation được thực hiện thành công trong dự án</t>
  </si>
  <si>
    <t>Ưu tiên hoàn tất slide và video demo cho Trung Nguyên để kịp lịch demo, ưu tiên gửi slide trước 4 giờ chiều hôm nay</t>
  </si>
  <si>
    <t>Phân công 3-4 người phụ trách đẩy nhanh tiến độ dự án Deloitte PM, có sự theo dõi và báo cáo tiến độ thường xuyên</t>
  </si>
  <si>
    <t>Nguồn lực hiện tại đang quá tải với nhiều task dồn dập, gây áp lực lớn cho các thành viên</t>
  </si>
  <si>
    <t>Dự án Cao Sơn bị ảnh hưởng do deadline cố định, đi kèm việc phân bổ lực lượng phải ưu tiên ở mức cao</t>
  </si>
  <si>
    <t>Liên quan đến demo Trung Nguyên, nội dung slide chưa gửi, lịch demo chưa chốt gây khó khăn trong tổ chức</t>
  </si>
  <si>
    <t>Một số video demo hiện tại chưa đạt yêu cầu do giọng đọc kém và lỗi kỹ thuật, cần làm lại kịch bản và quay mới</t>
  </si>
  <si>
    <t>Phân quyền và tiến độ phần Linking chưa rõ, cần kiểm tra lại với Dev và các bộ phận liên quan để tránh vướng mắc</t>
  </si>
  <si>
    <t>Cần chuyển hạ tầng database xuống hosting riêng để dễ quản lý, hiện đang gây khó khăn khi để trên nền tảng chung</t>
  </si>
  <si>
    <t>Họp nhóm cập nhật tiến độ vào thứ Tư để rà soát các vướng mắc và đưa ra điều chỉnh kịp thời</t>
  </si>
  <si>
    <t>Hoàn thiện slide trình bày demo Trung Nguyên và gửi trước 4 giờ chiều ngày 20/04/2026, chuẩn bị sẵn sàng cho buổi demo ngay sau đó</t>
  </si>
  <si>
    <t>Quay và chỉnh sửa video demo tính năng, phối hợp các bên liên quan để có sản phẩm chất lượng, hỗ trợ cho việc demo thực tế</t>
  </si>
  <si>
    <t>Đẩy nhanh tiến độ dự án Deloitte PM bằng cách bổ sung người và theo dõi sát sao qua các báo cáo giữa tuần</t>
  </si>
  <si>
    <t>Tiếp tục làm rõ và hoàn thiện phần Linking trên LinkedIn, xử lý các tồn đọng với bộ phận Dev</t>
  </si>
  <si>
    <t>Điều phối nguồn lực cân đối giữa các dự án để giảm áp lực cho nhân sự, ưu tiên các công việc trọng điểm, đặc biệt là Trung Nguyên và Cao Sơn</t>
  </si>
  <si>
    <t>Chuẩn bị kỹ các tài liệu, video demo trước khi buổi họp và demo với khách hàng diễn ra để đảm bảo hiệu quả</t>
  </si>
  <si>
    <t>Thực hiện chuyển database về hosting riêng để quản lý dữ liệu tốt hơn, liên hệ kỹ thuật để hoàn tất quy trình này.</t>
  </si>
  <si>
    <t>Cuộc họp thảo luận về chương trình thực tập kéo dài 3 tháng, thông tin về cách điền danh sách, phân cấp level và KPI, cũng như kế hoạch giao việc và bắt đầu làm việc online. Mục đích chính là hướng dẫn các thực tập sinh quy trình thực hiện, tiêu chí đánh giá và thời gian dự kiến từng level để tiến tới làm chính thức.</t>
  </si>
  <si>
    <t>Gửi link thông tin để các bạn điền danh sách thực tập thủ công.</t>
  </si>
  <si>
    <t>Các bạn thực tập điền danh sách một cách chi tiết, từng người một.</t>
  </si>
  <si>
    <t>Giao task và bắt đầu làm việc từ ngày mai, công việc làm online.</t>
  </si>
  <si>
    <t>Điền thông tin về thời gian thực tập và level vào file do công ty cung cấp.</t>
  </si>
  <si>
    <t>Theo dõi KPI theo các tab normal, critical, interrupt để đánh giá tiến độ và xét tăng level.</t>
  </si>
  <si>
    <t>Các bạn liên tục cập nhật danh sách để kiểm soát tiến độ thực tập.</t>
  </si>
  <si>
    <t>Chương trình thực tập kéo dài 3 tháng, thực tập sinh có thể xin cấp giáo mọc tùy theo năng lực.</t>
  </si>
  <si>
    <t>Các bạn thực tập ở mức top sẽ có khả năng được tiếp nhận làm chính thức.</t>
  </si>
  <si>
    <t>Làm việc chủ yếu theo hình thức online trong suốt thời gian thực tập.</t>
  </si>
  <si>
    <t>Việc đánh giá KPI và xét level dựa trên hoàn thành task theo deadline và chất lượng công việc.</t>
  </si>
  <si>
    <t>Công ty hỗ trợ thực tập sinh trong quá trình làm đề tài, dự án liên quan.</t>
  </si>
  <si>
    <t>Thời gian xét level cụ thể: Level 1 từ 2-4 tuần, Level 2 kéo dài đến 12 tuần, thực tập từ 2-6 tháng để xét làm chính thức.</t>
  </si>
  <si>
    <t>Có một số khó khăn trong việc thao tác điền thông tin trên file (không thể thao tác vùng cục B).</t>
  </si>
  <si>
    <t>Chưa có vấn đề đặc biệt lớn được nêu rõ trong cuộc họp.</t>
  </si>
  <si>
    <t>Các thực tập sinh điền đầy đủ danh sách thông tin cá nhân và trình trạng thực tập vào file công ty gửi.</t>
  </si>
  <si>
    <t>Bộ phận quản lý giao task cho thực tập sinh theo kế hoạch bắt đầu từ ngày mai.</t>
  </si>
  <si>
    <t>Thực tập sinh làm việc online và theo dõi tiến độ KPI để được xét tăng level và cơ hội làm chính thức.</t>
  </si>
  <si>
    <t>Công ty tiếp tục hỗ trợ thực tập sinh trong quá trình thực hiện đề tài hoặc dự án AI nếu có.</t>
  </si>
  <si>
    <t>Tiếp tục cập nhật, theo dõi và điều chỉnh kế hoạch thực tập dựa trên kết quả KPI và tiến độ công việc từng thực tập sinh.</t>
  </si>
  <si>
    <t>Kết thúc cuộc họp và chuẩn bị cho việc triển khai công việc từ ngày kế tiếp.</t>
  </si>
  <si>
    <t>Cuộc họp tập trung thảo luận về tiến độ và kế hoạch sản xuất nội dung liên quan đến dự án Maki/MakiChat, bao gồm việc đăng bài trên các kênh TikTok, YouTube, Facebook, nhóm liên quan đến du lịch và phát triển tài liệu hướng dẫn sử dụng công cụ Marquee. Mục đích chính là phân công công việc cụ thể, thống nhất quy trình tạo video, quản lý tài liệu và lên kế hoạch mua lại nhóm Facebook hợp lý để thúc đẩy marketing nội dung hiệu quả.</t>
  </si>
  <si>
    <t>Record lại toàn bộ tính năng sử dụng Marquee dưới dạng video raw trong 1 ngày.</t>
  </si>
  <si>
    <t>Chỉnh sửa, cắt ghép video từng tính năng Marquee, tạo video ngắn phù hợp chạy trên TikTok, Facebook trong tuần này.</t>
  </si>
  <si>
    <t>trong tuần</t>
  </si>
  <si>
    <t>Gom toàn bộ video raw và video đã edit về một folder tài liệu hướng dẫn sử dụng Marquee.</t>
  </si>
  <si>
    <t>Điều chỉnh, hoàn thiện tracking nội dung cho 3 nền tảng của dự án Gâu Đà Nẵng, sửa các chỗ chưa phù hợp (riêng phần villa không làm).</t>
  </si>
  <si>
    <t>Ưu tiên tập trung nội dung Facebook và nhóm Facebook dự án Cao Sơn, chuẩn bị cho việc gửi tiếp nội dung video TikTok.</t>
  </si>
  <si>
    <t>Đẩy nhanh tiến độ chạy content Facebook, group, TikTok cho các kênh hiện tại, nhắc nhở quản lý duyệt nội dung sớm tránh trễ tiến độ.</t>
  </si>
  <si>
    <t>Phát triển thêm tag “con mắc cót” cho dự án Gâu Đà Nẵng với nhiều trạng thái chuyển động animation từ trái sang phải.</t>
  </si>
  <si>
    <t>ngày thứ Sáu (2026-04-25)</t>
  </si>
  <si>
    <t>Tìm và đề xuất các group Facebook có sẵn thành viên, tương tác tốt để mua lại phục vụ chiến dịch marketing.</t>
  </si>
  <si>
    <t>Tạo thêm 2 tài khoản tài khoản Never và KakaTalk cho dự án Gâu Đà Nẵng.</t>
  </si>
  <si>
    <t>Hàng ngày hoặc 2 ngày một lần cập nhật tiến độ làm video, chạy content cho quản lý tiện tracking.</t>
  </si>
  <si>
    <t>Mọi người điền tag, gửi các bản record video lên group chung.</t>
  </si>
  <si>
    <t>Quy trình làm video hướng dẫn Marquee chia làm 2 bước: ngày đầu lấy raw video toàn bộ tính năng, các ngày sau cắt ghép chỉnh sửa từng video nhỏ.</t>
  </si>
  <si>
    <t>Ưu tiên chạy content Facebook, group cho dự án Cao Sơn trước, sau đó mới phát triển TikTok theo kế hoạch.</t>
  </si>
  <si>
    <t>Mua lại các group Facebook có thành viên, tương tác tốt thay vì xây dựng nhóm mới để tiết kiệm thời gian và tăng hiệu quả.</t>
  </si>
  <si>
    <t>Y Bình sẽ ghi lại toàn bộ các tính năng Marquee và gửi video raw cũng như video đã chỉnh sửa cho quản lý.</t>
  </si>
  <si>
    <t>Các nội dung, tag có deadline sẽ được triển khai theo đúng hạn, quản lý sẽ theo dõi tiến độ hàng ngày hoặc hai ngày một lần.</t>
  </si>
  <si>
    <t>Việc chia lại công việc sau khi Tấn nghỉ làm khiến quá trình đăng bài giữa Maki và MakiChat đang bị hụt và chưa thống nhất rõ ràng.</t>
  </si>
  <si>
    <t>Khó khăn sản xuất video TikTok đòi hỏi nhiều thời gian và nhân lực, hiện chưa có người phụ trách edit và content đầy đủ.</t>
  </si>
  <si>
    <t>Chưa có linkin về phần Marquee, đang bị trễ do nhiều lần nhắc nhở vẫn chưa hoàn thành.</t>
  </si>
  <si>
    <t>Cần theo dõi kỹ tương tác các group Facebook dự kiến mua lại để tránh mua phải nhóm ít hiệu quả, tương tác thấp.</t>
  </si>
  <si>
    <t>Khó khăn trong việc phân bổ và duyệt nội dung, gây nguy cơ trễ tiến độ nếu không nhắc nhở thường xuyên.</t>
  </si>
  <si>
    <t>Y Bình bắt đầu ngay việc ghi hình và xử lý video hướng dẫn sử dụng Marquee, gửi video raw lên folder chia sẻ.</t>
  </si>
  <si>
    <t>Hoàn thiện việc cắt dựng từng video tính năng Marquee, cập nhật tiến độ thường xuyên cho quản lý.</t>
  </si>
  <si>
    <t>Các thành viên tiếp tục đăng bài, xây dựng content Facebook, nhóm, TikTok cho các dự án hiện tại, đặc biệt ưu tiên dự án Cao Sơn và Gâu Đà Nẵng.</t>
  </si>
  <si>
    <t>Cập nhật sớm tag “con mắc cót” dạng animation hoàn chỉnh để đưa lên web, hạn cuối thứ Sáu.</t>
  </si>
  <si>
    <t>Tìm kiếm, đánh giá, và đề xuất các group Facebook thích hợp để mua lại nhằm tăng tương tác cho các dự án.</t>
  </si>
  <si>
    <t>Tạo và đăng nhập hai tài khoản Never và KakaTalk cho dự án Gâu Đà Nẵng, liên hệ lấy số điện thoại công ty để đăng ký.</t>
  </si>
  <si>
    <t>Mọi người chủ động liên lạc quản lý riêng để duyệt nội dung nhanh, tránh chờ đợi quá lâu.</t>
  </si>
  <si>
    <t>Gửi toàn bộ file record, tag hoàn thành lên group chung để quản lý tổng hợp.</t>
  </si>
  <si>
    <t>Cuộc họp kế tiếp không đề cập cụ thể, các bước tiếp theo sẽ dựa trên tiến độ và kết quả các action items đã nêu.</t>
  </si>
  <si>
    <t>Cuộc họp tập trung thảo luận về các dự án liên quan đến Gold Đà Nẵng, MagiChat, Marquee và MakiChat, với mục đích phân công nhiệm vụ cập nhật nội dung, thiết kế form tương tác người dùng, phát triển trang web và xây dựng hệ thống module phục vụ tư vấn khách hàng theo từng ngành. Cuộc họp cũng nhằm xác định tiến độ, quyền quản trị blog và hoàn thiện tài liệu hướng dẫn.</t>
  </si>
  <si>
    <t>Tiên xử lý thiết kế form đăng ký tư vấn cho tất cả dự án (Gold, Marquee, MakiChat...), làm sao tạo tương tác người dùng với chatbot hoặc chuyển động trên form.</t>
  </si>
  <si>
    <t>Thảo Nhi nghiên cứu, làm thử phần video demo tích hợp trên trang MakiChat, báo lại sau 3 ngày. Làm trước phần form và cập nhật video sau khi nhận được.</t>
  </si>
  <si>
    <t>Cập nhật lại toàn bộ nội dung trên kênh Maki, đổi target từ B2C sang B2B, dựa trên file tài liệu chị đã gửi.</t>
  </si>
  <si>
    <t>Thuật phụ trách xử lý video demo và phối hợp hỗ trợ Tiên, Huỳnh để cấp quyền admin blog, cập nhật blog liên quan các dự án.</t>
  </si>
  <si>
    <t>Cập nhật toàn bộ tài liệu hướng dẫn chức năng vào trang tài liệu của Marquee.</t>
  </si>
  <si>
    <t>Tiên và Ngọc Thảo phối hợp chỉnh sửa trang home website Monkey Chat, dự kiến hoàn thành trong vòng 4-5 ngày, báo cáo kết quả vào thứ 7.</t>
  </si>
  <si>
    <t>Huyền (BA) nghiên cứu xây dựng luồng module nghiệp vụ theo từng ngành (giáo dục, thương mại điện tử, dịch vụ) để phục vụ tư vấn khách hàng, hoàn thành báo cáo sau 4 ngày.</t>
  </si>
  <si>
    <t>Tiên lấy và đồng bộ mã màu từ Maki sang MakiChat để tránh lệch màu trong thiết kế.</t>
  </si>
  <si>
    <t>Cấp lại quyền admin blog cho nhóm để có thể tự cập nhật nội dung.</t>
  </si>
  <si>
    <t>Thuật, Huấn và Tiên phối hợp xử lý layout MakiChat theo sườn của Marquee, bổ sung hình ảnh, nội dung đặc trưng cho từng ngành.</t>
  </si>
  <si>
    <t>Thiết kế và phát triển sử dụng chung form đăng ký tư vấn cho các dự án Gold, Marquee và MakiChat, tạo sự tương tác với người dùng.</t>
  </si>
  <si>
    <t>Cập nhật nội dung Maki chuyển từ B2C sang hướng B2B với file tài liệu do chị cung cấp.</t>
  </si>
  <si>
    <t>Phân chia website Monkey Chat thành trang chủ tổng hợp và landing page riêng cho từng ngành.</t>
  </si>
  <si>
    <t>Tiên là người chịu trách nhiệm chính xử lý phần form tương tác trên các trang.</t>
  </si>
  <si>
    <t>Quyền admin blog sẽ được cấp lại cho nhóm để tự cập nhật bài viết và tài liệu.</t>
  </si>
  <si>
    <t>Tiến độ cụ thể: trang home Monkey Chat hoàn thành trong 4-5 ngày, BA Huyền nghiên cứu nghiệp vụ và báo cáo trong 4 ngày.</t>
  </si>
  <si>
    <t>Hiện tại chờ video demo để hoàn thiện phần video trên trang MakiChat, đang tạm thời làm phần form trước.</t>
  </si>
  <si>
    <t>Chưa có quyền admin blog để cập nhật nội dung.</t>
  </si>
  <si>
    <t>Phân công điều phối màu sắc thiết kế cần đồng bộ, tránh lệch màu giữa các sản phẩm con.</t>
  </si>
  <si>
    <t>Cần làm rõ và đồng bộ layout, hình ảnh trên từng landing page của các ngành chưa rõ ràng.</t>
  </si>
  <si>
    <t>Đối với module nghiệp vụ tư vấn khách hàng, hiện chưa có yêu cầu chi tiết, cần BA nghiên cứu bổ sung.</t>
  </si>
  <si>
    <t>Một số thành viên chưa nắm rõ luồng tích hợp và tính năng chung của MakiChat, HiChat, gây khó khăn trong thiết kế.</t>
  </si>
  <si>
    <t>Tiên tiếp tục làm phần form tương tác đăng ký tư vấn cho các dự án, phối hợp lấy mã màu chuẩn từ Maki.</t>
  </si>
  <si>
    <t>Thảo Nhi hoàn thành phần nghiên cứu và thử nghiệm video demo trong 3 ngày, làm xong trước phần form và cập nhật video sau khi có.</t>
  </si>
  <si>
    <t>Thuật và Huấn phối hợp với Tiên hoàn thiện layout, hình ảnh và đồng bộ nội dung cho MakiChat theo sườn của Marquee.</t>
  </si>
  <si>
    <t>Cấp lại quyền admin blog để nhóm tự cập nhật bài viết và tài liệu.</t>
  </si>
  <si>
    <t>Huyền (BA) nghiên cứu và xây dựng luồng module nghiệp vụ phục vụ tư vấn khách hàng theo từng ngành, báo cáo trong vòng 4 ngày.</t>
  </si>
  <si>
    <t>Tiên và Ngọc Thảo phối hợp cập nhật trang home website Monkey Chat, báo cáo tiến độ hoàn thành vào cuối tuần (thứ 7).</t>
  </si>
  <si>
    <t>Theo dõi và xử lý các vấn đề về tài liệu, thiết kế, nội dung để kịp tiến độ đề ra.</t>
  </si>
  <si>
    <t>Lên kế hoạch cuộc họp hoặc check-in tiếp theo sau khi hoàn thành các action items chính để đánh giá tiến độ.</t>
  </si>
  <si>
    <t>Thực hiện xây dựng bảng web với giao diện cho phép người dùng bấm chọn các tùy chọn câu hỏi để hiển thị thông tin tương tự mô hình Go Đà Nẵng.</t>
  </si>
  <si>
    <t>Tạo 2 phiên bản: một bản web hiện trường quan trọng, bản kia đẩy dữ liệu sang Google Sheets để dễ quản lý và xem xét.</t>
  </si>
  <si>
    <t>Hoàn thiện giao diện cho phép xem thông tin qua web và Sheets, tập trung trường quan trọng như tay nghề, kinh nghiệm thực tập, CV, địa điểm.</t>
  </si>
  <si>
    <t>Xác nhận quyền admin và mật khẩu admin cho hệ thống (user: admin, pass: 123).</t>
  </si>
  <si>
    <t>Giải quyết lỗi liên quan đến việc gửi và nhận code git, đảm bảo quyền truy cập đầy đủ để deploy.</t>
  </si>
  <si>
    <t>Thực hiện deploy hệ thống lên môi trường sau khi hoàn thiện code local.</t>
  </si>
  <si>
    <t>Bảo đảm không chỉnh sửa sai sót trong phần code hiện tại, giữ nguyên câu hỏi và chức năng trả lời từng câu hỏi.</t>
  </si>
  <si>
    <t>Chọn làm bảng web riêng với chức năng hiển thị câu hỏi từng phần, không cần tích hợp AI mà chỉ làm giao diện chọn và trả lời câu hỏi đơn giản.</t>
  </si>
  <si>
    <t>Sử dụng giao diện và cách lưu trữ dữ liệu tương tự như dự án Go Đà Nẵng.</t>
  </si>
  <si>
    <t>Quyền admin được thiết lập sẵn với tài khoản và mật khẩu cố định để làm việc nội bộ.</t>
  </si>
  <si>
    <t>Dữ liệu quan trọng sẽ được hiển thị ngay trên web, chi tiết hơn được chuyển vào Google Sheets phục vụ cho marketing.</t>
  </si>
  <si>
    <t>Việc deploy sẽ được thực hiện sau khi xử lý xong vấn đề code và quyền truy cập git.</t>
  </si>
  <si>
    <t>Lỗi khi gửi code git trước đó khiến việc add thành viên và truy cập bị gián đoạn.</t>
  </si>
  <si>
    <t>Lo ngại giao diện web sẽ bị quá dài, nhiều trường gây khó khăn cho người dùng khi xem trên web.</t>
  </si>
  <si>
    <t>Cần kiểm soát tránh các thay đổi không phù hợp trên phần mềm đã phát triển.</t>
  </si>
  <si>
    <t>Chưa rõ deadline cụ thể cho các phần việc, tiềm ẩn rủi ro về tiến độ nếu không được theo dõi sát sao.</t>
  </si>
  <si>
    <t>Tiếp tục hoàn chỉnh giao diện web với các trường quan trọng, đảm bảo tính tiện lợi khi xem thông tin.</t>
  </si>
  <si>
    <t>Làm song song hai phiên bản view: trên web và trên Google Sheets để dễ dàng quản lý và theo dõi.</t>
  </si>
  <si>
    <t>Xử lý các lỗi liên quan đến quyền truy cập git, đồng thời chuyển code lên môi trường deploy chính thức.</t>
  </si>
  <si>
    <t>Theo dõi và kiểm tra việc sử dụng tài khoản admin, bảo mật quyền truy cập.</t>
  </si>
  <si>
    <t>Lên kế hoạch dự họp hoặc trao đổi tiếp theo vào thứ 3 tuần sau để cập nhật tiến độ và giải quyết các vấn đề phát sinh.</t>
  </si>
  <si>
    <t>Cần đảm bảo không chỉnh sửa sai sót trong bộ câu hỏi hiện có và lưu kết quả do admin nhập.</t>
  </si>
  <si>
    <t>Người phụ trách sẽ điện thoại trao đổi thêm với các bên liên quan để kịp thời giải quyết vướng mắc.</t>
  </si>
  <si>
    <t>Cuộc họp tập trung thảo luận về tiến độ phát triển hệ thống tự động cào dữ liệu, xử lý transcript video Youtube và nhóm Facebook nhằm chọn lọc bài viết có tương tác cao, tích hợp cảnh báo qua Telegram. Mục đích chính là hoàn thiện workflow, xử lý vấn đề kỹ thuật về IP, session, cơ chế chạy tự động và thống nhất cách thức cảnh báo cũng như lưu trữ dữ liệu.</t>
  </si>
  <si>
    <t>Hoàn thiện phần gửi cảnh báo qua Telegram, thay thế hoặc bổ sung email alert.</t>
  </si>
  <si>
    <t>Thiết lập trigger chạy theo lịch cố định trong ngày để tự động cào dữ liệu bài viết trong group Facebook.</t>
  </si>
  <si>
    <t>Tìm hướng xử lý giới hạn API và IP, nghiên cứu phương pháp khác thay thế ipify để tránh bị chặn khi crawl dữ liệu liên tục.</t>
  </si>
  <si>
    <t>Cập nhật thêm cơ chế delay, random thời gian giữa các request để tránh bị block máy chủ.</t>
  </si>
  <si>
    <t>Kiểm tra, đánh giá lại API của LinkedIn và Alifine về khả năng lấy dữ liệu bài viết trong group cũng như cá nhân.</t>
  </si>
  <si>
    <t>Xây dựng bot Telegram để cảnh báo các bài viết có tương tác cao nhất trong ngày.</t>
  </si>
  <si>
    <t>Viết báo cáo hoặc làm video ngắn demo tiến độ gửi đến quản lý (trong trường hợp thành viên không thể lên văn phòng).</t>
  </si>
  <si>
    <t>Điều chỉnh hệ thống đăng nhập session thật và xử lý IP máy tính, điện thoại khi cào dữ liệu để tránh bị chặn.</t>
  </si>
  <si>
    <t>Lưu dữ liệu bài viết nhóm Facebook vào Google Sheets hoặc hệ thống lưu trữ tương tự để phân tích sau.</t>
  </si>
  <si>
    <t>Tạo file tổng hợp bài viết có tương tác cao nhất trong 24h theo từng group, đảm bảo lấy dữ liệu đầy đủ từ 00h tới 00h hôm sau.</t>
  </si>
  <si>
    <t>Chuyển cảnh báo lỗi và các bài viết nổi bật sang kênh Telegram thay vì email để tiện theo dõi.</t>
  </si>
  <si>
    <t>Giới hạn cào tối đa 3 link một lần để tránh vượt mức cho phép hoặc bị block.</t>
  </si>
  <si>
    <t>Sử dụng session thật, không dùng session giả do dễ bị xóa khi bị chặn IP.</t>
  </si>
  <si>
    <t>Chạy hệ thống cào trên máy local kết hợp renderer cloud để tránh bị block VPS.</t>
  </si>
  <si>
    <t>Không cần gửi thêm cảnh báo qua email, tập trung qua Telegram.</t>
  </si>
  <si>
    <t>Mỗi task công việc có chỉ số KPI và điểm số, 80 điểm tiêu chí critical, đánh giá 4 tuần/lần.</t>
  </si>
  <si>
    <t>Bộ phận có thể lựa chọn phương án báo cáo online thông qua video demo hoặc tới văn phòng trực tiếp.</t>
  </si>
  <si>
    <t>Giới hạn API ipify chỉ dùng miễn phí tối đa 5 đô la nên có nguy cơ bị block khi sử dụng nhiều request.</t>
  </si>
  <si>
    <t>Việc cào dữ liệu liên tục dễ bị block do anti-bot, phải xử lý IP, session cẩn thận.</t>
  </si>
  <si>
    <t>Các group Facebook riêng tư yêu cầu phải tham gia mới có thể lấy dữ liệu, gây khó khăn trong việc thu thập.</t>
  </si>
  <si>
    <t>LinkedIn API hiện không hỗ trợ lấy bài viết trong group, chỉ lấy profile cá nhân được.</t>
  </si>
  <si>
    <t>Chưa có giải pháp hiệu quả cho việc chạy liên tục, chạy replay do giới hạn IP và router reset không ổn định.</t>
  </si>
  <si>
    <t>Cải thiện hệ thống cảnh báo: hoàn thiện bot Telegram, loại bỏ hoặc giảm phụ thuộc email, đảm bảo nhận cảnh báo đầy đủ khi có bài viết tương tác cao.</t>
  </si>
  <si>
    <t>Thiết lập tiến trình tự động chạy cào theo lịch cố định hàng ngày, kết hợp delay và random giữa các request để giảm nguy cơ bị chặn.</t>
  </si>
  <si>
    <t>Nghiên cứu thêm phương án sử dụng IP, session thật và các công cụ chuyển đổi IP động (điện thoại, 3G) để tránh chặn cuộc gọi API.</t>
  </si>
  <si>
    <t>Cập nhật, test lại API từ các nguồn LinkedIn, Facebook, Alifine để định hướng cách lấy dữ liệu chính xác hơn.</t>
  </si>
  <si>
    <t>Hoàn thiện báo cáo tiến độ bằng các video demo hoặc báo cáo trực tiếp cho quản lý trong tuần tới.</t>
  </si>
  <si>
    <t>Tiếp tục thu thập dữ liệu bài viết từ các group công khai và riêng tư, tối ưu quy trình lưu trữ dữ liệu theo nhóm.</t>
  </si>
  <si>
    <t>Triển khai đánh giá KPI công việc theo chu kỳ 4 tuần để đảm bảo tiến độ và chất lượng sản phẩm.</t>
  </si>
  <si>
    <t>Lập kế hoạch họp tiếp theo hoặc báo cáo tiến độ khi có kết quả đáng chú ý về việc xử lý IP, session và mở rộng phạm vi cào dữ liệu.</t>
  </si>
  <si>
    <t>Nếu cần, tôi có thể hỗ trợ bạn tổng hợp thêm hoặc lên mẫu báo cáo chi tiết hơn theo yêu cầu!</t>
  </si>
  <si>
    <t>Xin lại file/bảng báo giá từ anh Di để gửi cho khách, trong đó rút bớt nội dung và chỉ giữ phần tổng thể các tính năng/yêu cầu khách đang báo giá</t>
  </si>
  <si>
    <t>Kiểm tra lại năng lực của bên mình để xác định hiện tại đáp ứng được bao nhiêu yêu cầu của khách</t>
  </si>
  <si>
    <t>Hỏi và chốt lại với bên liên quan để có bảng báo giá sớm, ưu tiên lấy được trong ngày mai nếu có thể</t>
  </si>
  <si>
    <t>Gửi bảng báo giá cho khách để xem phản hồi và đánh giá mức độ chấp nhận</t>
  </si>
  <si>
    <t>Sau khi khách phản hồi, xem xét phần nào bên mình có thể làm được thì tự thực hiện, phần nào khó thì đẩy tiếp cho bên phù hợp</t>
  </si>
  <si>
    <t>Cần một bảng báo giá rút gọn để gửi cho khách xem, không cần thêm nội dung ngoài phần tổng thể tính năng/yêu cầu.</t>
  </si>
  <si>
    <t>Chưa triển khai theo hướng tự làm toàn bộ vì dự án lớn, dài và bên mình được đánh giá là chưa đủ năng lực để đảm nhận hết.</t>
  </si>
  <si>
    <t>Sẽ ưu tiên lấy bảng báo giá sớm, cố gắng hoàn thành vào ngày mai.</t>
  </si>
  <si>
    <t>Chỉ sau khi có phản hồi từ khách mới tiếp tục tính bước đi tiếp theo và phân bổ phần việc phù hợp.</t>
  </si>
  <si>
    <t>Bảng báo giá hiện tại chưa bao gồm hết tính năng.</t>
  </si>
  <si>
    <t>Dự án được đánh giá là lớn, lâu và chi phí cao, có khả năng vượt khả năng xử lý của bên mình.</t>
  </si>
  <si>
    <t>Bên mình chủ yếu có intern, chưa có đội ngũ chuyên làm chính thức, nên năng lực triển khai bị hạn chế.</t>
  </si>
  <si>
    <t>Có lo ngại intern nghỉ học/nghỉ việc giữa chừng, ảnh hưởng tiến độ và khả năng hoàn thành.</t>
  </si>
  <si>
    <t>Có nhận định rằng app quản lý này hơi lớn, nên bên mình khó làm hết.</t>
  </si>
  <si>
    <t>Chi phí hiện tại đã được nhắc đến là rất cao, có đoạn đề cập đã lên tới khoảng 800 mấy triệu.</t>
  </si>
  <si>
    <t>Liên hệ anh Di để xin lại bản báo giá rút gọn dùng cho khách.</t>
  </si>
  <si>
    <t>Cố gắng hoàn tất bảng báo giá trong ngày mai để gửi khách sớm nhất có thể.</t>
  </si>
  <si>
    <t>Sau khi gửi báo giá, chờ phản hồi từ khách để đánh giá mức độ phù hợp.</t>
  </si>
  <si>
    <t>Dựa trên phản hồi của khách, xác định phần nào bên mình làm được và phần nào cần đẩy đi nơi khác.</t>
  </si>
  <si>
    <t>Nếu khách đồng ý xem xét tiếp, tiếp tục lên kế hoạch gặp khách và rà soát phạm vi thực hiện thực tế của bên mình.</t>
  </si>
  <si>
    <t>Cuộc họp tập trung vào việc trình bày và rà soát workflow cào dữ liệu từ các group, chủ yếu liên quan đến LinkedIn/Facebook group, sau đó lưu kết quả vào Google Sheets và gửi thông báo qua Telegram. Mục đích chính là thống nhất cách nhập dữ liệu, điều kiện crawl, giới hạn số bài viết, chi phí sử dụng IP5 và hướng triển khai lên môi trường chạy thực tế/production.</t>
  </si>
  <si>
    <t>Cung cấp Google Sheets để nhập link group và nhận kết quả</t>
  </si>
  <si>
    <t>Gửi các link group/các group cần crawl vào Google Sheets để hệ thống chạy</t>
  </si>
  <si>
    <t>Tìm khoảng 20 group lớn nhất về công nghệ để thử nghiệm crawl</t>
  </si>
  <si>
    <t>Đẩy workflow/code lên nền tảng phù hợp để tích hợp và chạy nhanh hơn</t>
  </si>
  <si>
    <t>Nghiên cứu phương án không cần tốn token/chi phí IP5 nếu có thể</t>
  </si>
  <si>
    <t>Kiểm tra và chọn cách triển khai phù hợp cho Maki để tích hợp code lên kênh/nền tảng tương thích</t>
  </si>
  <si>
    <t>Tạo giao diện web/form để người dùng nhập thông tin và chạy scan kết quả trên web</t>
  </si>
  <si>
    <t>Cung cấp feedback/kiểm tra thực tế trên VM phòng lab trước khi đưa vào dùng thật</t>
  </si>
  <si>
    <t>Đẩy workflow lên production để chạy thử khi đã sẵn sàng</t>
  </si>
  <si>
    <t>Làm document hướng dẫn setup/cài đặt và video hướng dẫn sử dụng</t>
  </si>
  <si>
    <t>Làm video demo và upload lên hệ thống/YouTube theo quy trình nội bộ</t>
  </si>
  <si>
    <t>Cung cấp tài khoản cho nhóm thử nghiệm và đưa các bạn liên quan vào nhóm Telegram</t>
  </si>
  <si>
    <t>Gửi số điện thoại/làm đầu mối liên hệ để nhận nhóm và hỗ trợ trao đổi</t>
  </si>
  <si>
    <t>Người dùng sẽ input 2 thông tin chính: tên/account và link các group.</t>
  </si>
  <si>
    <t>Hệ thống sẽ tự động đăng nhập, lưu cookie và không yêu cầu bấm tham gia group nếu group là public.</t>
  </si>
  <si>
    <t>Job sẽ chạy tự động theo lịch, được nhắc đến là buổi sáng lúc 8h.</t>
  </si>
  <si>
    <t>Hệ thống sẽ crawl dữ liệu trong phạm vi 24h gần nhất.</t>
  </si>
  <si>
    <t>Giới hạn mặc định được nhắc tới là 500 bài viết mới nhất; nếu vượt ngưỡng này thì sẽ tự dừng.</t>
  </si>
  <si>
    <t>Nếu gặp quá 5 bài viết cũ hơn 24h thì hệ thống cũng tự dừng.</t>
  </si>
  <si>
    <t>Dữ liệu đầu ra sẽ gồm content, like, comment, share, link bài viết, hình ảnh và video nếu có.</t>
  </si>
  <si>
    <t>Kết quả sẽ được lưu vào Google Sheets và gửi thông báo qua Telegram.</t>
  </si>
  <si>
    <t>Cần ưu tiên phương án ít tốn chi phí, không dùng IP5 nếu có thể; nếu lỗi mới chuyển sang phương án dự phòng dùng IP5.</t>
  </si>
  <si>
    <t>Sẽ cấp VM để test thay vì đẩy thẳng lên môi trường khác ngay lập tức.</t>
  </si>
  <si>
    <t>Video/tài liệu sẽ được upload theo hệ thống quản lý nội bộ, không cần tự kết nối YouTube riêng lẻ.</t>
  </si>
  <si>
    <t>Chi phí IP5 được nêu là cao, có nhắc mức 25 USD/tháng.</t>
  </si>
  <si>
    <t>Một số cách triển khai trên VPS/render có nguy cơ bị chặn hoặc trắng IP khi crawl LinkedIn.</t>
  </si>
  <si>
    <t>Crawl group private gặp khó khăn vì cần đăng nhập và xác thực token/session.</t>
  </si>
  <si>
    <t>Session/token có thể thay đổi, gây khó duy trì liên tục.</t>
  </si>
  <si>
    <t>Có nhắc tới việc xoay IP hoặc dùng VPS cũng có thể bị chặn nếu môi trường bị phát hiện là server.</t>
  </si>
  <si>
    <t>Cần kiểm tra thực tế trên VM/phòng lab trước khi xác nhận phương án chạy ổn định.</t>
  </si>
  <si>
    <t>Có đề cập việc một số tài khoản/free trial IP5 chỉ dùng được ngắn ngày, cần xử lý chuyện account nếu tiếp tục thử nghiệm.</t>
  </si>
  <si>
    <t>Tạo và cung cấp Google Sheets để nhập link group, account và nhận output.</t>
  </si>
  <si>
    <t>Chọn khoảng 20 group công nghệ lớn để chạy thử workflow crawl.</t>
  </si>
  <si>
    <t>Test thực tế trên VM phòng lab để kiểm tra khả năng bị chặn và độ ổn định.</t>
  </si>
  <si>
    <t>So sánh hai phương án triển khai: không dùng IP5 và dùng IP5 làm phương án dự phòng.</t>
  </si>
  <si>
    <t>Đẩy workflow/code lên production khi đã kiểm tra xong trên môi trường test.</t>
  </si>
  <si>
    <t>Chuẩn bị đầy đủ document setup và video hướng dẫn sử dụng để người dùng nội bộ có thể dùng ngay.</t>
  </si>
  <si>
    <t>Hoàn thiện giao diện/web form nếu cần để các bạn marketing/người dùng nhập dữ liệu dễ hơn.</t>
  </si>
  <si>
    <t>Gửi Google Sheets và nhóm Telegram để tiếp tục trao đổi, nhận kết quả và phân công thử nghiệm.</t>
  </si>
  <si>
    <t>Cuộc họp tập trung vào việc trình bày và rà soát các workflow crawl dữ liệu từ các group, chủ yếu xoay quanh việc lấy dữ liệu bài viết, tương tác và link bài viết từ Facebook/LinkedIn, sau đó lưu kết quả về Google Sheets và thông báo qua Telegram. Đồng thời, nhóm cũng bàn về chi phí hạ tầng/API, các giới hạn khi crawl group public/private, và hướng triển khai lên production với giao diện dùng chung cho team marketing.</t>
  </si>
  <si>
    <t>Cung cấp Google Sheets để input danh sách group và nhận kết quả output</t>
  </si>
  <si>
    <t>Cung cấp link các group cần crawl để chạy thử trên hệ thống</t>
  </si>
  <si>
    <t>Chạy thử với khoảng 20 group lớn nhất về công nghệ để kiểm tra workflow và dữ liệu trả về</t>
  </si>
  <si>
    <t>Tích hợp code lên nền tảng/giao diện dùng chung để team marketing dễ sử dụng</t>
  </si>
  <si>
    <t>Xây dựng giao diện web/form để người dùng nhập thông tin và bấm chạy, thay vì phải thao tác bằng code</t>
  </si>
  <si>
    <t>Tạo VM/phòng lab để test LinkedIn crawling và kiểm tra việc bị chặn IP</t>
  </si>
  <si>
    <t>Test phương án crawl bằng IP5 trên VM và đánh giá khả năng hoạt động trên production</t>
  </si>
  <si>
    <t>Làm video hướng dẫn setup/cài đặt hệ thống</t>
  </si>
  <si>
    <t>Làm video hướng dẫn sử dụng cho người dùng</t>
  </si>
  <si>
    <t>Đưa document/hướng dẫn lên website của anh</t>
  </si>
  <si>
    <t>Tạo và gửi các Google Sheets, group Telegram để liên lạc và phân phối kết quả</t>
  </si>
  <si>
    <t>Chuyển các link group LinkedIn/Facebook vào tab được cung cấp để anh theo dõi và assign tiếp</t>
  </si>
  <si>
    <t>Input đầu vào sẽ gồm 2 phần chính: Google Sheets và danh sách link group.</t>
  </si>
  <si>
    <t>Hệ thống sẽ chạy tự động theo lịch vào buổi sáng, có đề cập mốc 8h sáng.</t>
  </si>
  <si>
    <t>Khi crawl group, hệ thống sẽ lấy dữ liệu trong vòng 24h gần nhất.</t>
  </si>
  <si>
    <t>Hệ thống sẽ dừng nếu gặp mốc 500 bài viết mới nhất hoặc nếu phát hiện quá 5 bài viết cũ vượt ngưỡng thời gian.</t>
  </si>
  <si>
    <t>Kết quả trả về sẽ gồm content, link bài viết, image/video, like, comment, share; sau đó lưu vào Google Sheets và gửi thông báo qua Telegram.</t>
  </si>
  <si>
    <t>Ưu tiên phương án không dùng AI5/IP5 nếu có thể; nếu không chạy được thì dùng phương án backup có AI5/IP5.</t>
  </si>
  <si>
    <t>Sẽ làm một giao diện duy nhất để chạy được các nền tảng/luồng khác nhau, ưu tiên chi phí thấp nhất.</t>
  </si>
  <si>
    <t>Trước mắt cho triển khai thử trên production và cho team dùng chung workflow.</t>
  </si>
  <si>
    <t>Anh sẽ cấp một VM để các bạn test thay vì cấp VPS trực tiếp.</t>
  </si>
  <si>
    <t>Các bạn dùng IP5 được xác định là Việt và Sang.</t>
  </si>
  <si>
    <t>Chưa cần giao diện ngay ở bước đầu nếu chưa sẵn sàng, có thể đẩy thử luồng trước.</t>
  </si>
  <si>
    <t>Chi phí IP5/API đang cao, có nhắc mức 25 đô một tháng.</t>
  </si>
  <si>
    <t>Chưa có cách crawl tốt cho group private nếu không có session/login phù hợp.</t>
  </si>
  <si>
    <t>LinkedIn/nguồn tương tự có cơ chế chặn mạnh, đặc biệt khi dùng VPS, render hoặc môi trường bị nhận diện là server.</t>
  </si>
  <si>
    <t>IP của VPS, render, hoặc môi trường cloud có thể bị chặn ngay khi truy cập.</t>
  </si>
  <si>
    <t>Cần session thật hoặc IP thực; nếu không, khả năng crawl bị fail.</t>
  </si>
  <si>
    <t>Có rủi ro liên quan đến việc IP5 chỉ free trong thời gian ngắn, phải thay/đổi cách dùng khi hết trial.</t>
  </si>
  <si>
    <t>Hiện chưa rõ toàn bộ gói chi phí của AI5/IP5 áp dụng cho từng tính năng hay toàn bộ hệ thống.</t>
  </si>
  <si>
    <t>Với LinkedIn, chưa lấy được Grapher Barrier, mới làm được Boutique.</t>
  </si>
  <si>
    <t>Chưa rõ cấu trúc đầy đủ của LinkedIn group/community nên còn cần nghiên cứu thêm.</t>
  </si>
  <si>
    <t>Điền Google Sheets và group Telegram để bắt đầu phối hợp, sau đó gửi link group để team test.</t>
  </si>
  <si>
    <t>Cấp VM cho các bạn test thực tế luồng crawl LinkedIn/IP5 trên môi trường phòng lab.</t>
  </si>
  <si>
    <t>Test trước với Boutique/luồng đang chạy được, sau đó mới mở rộng sang phần còn lại như Grapher Barrier.</t>
  </si>
  <si>
    <t>Đưa workflow lên production để team dùng chung và feedback kết quả thực tế.</t>
  </si>
  <si>
    <t>Hoàn thiện giao diện dùng chung, ưu tiên phương án không dùng AI5; nếu lỗi thì chuyển sang phương án backup có AI5/IP5.</t>
  </si>
  <si>
    <t>Làm đầy đủ 2 video: video hướng dẫn sử dụng và video setup hệ thống, đồng thời đăng lên hệ thống quản lý nội dung đã được cấp.</t>
  </si>
  <si>
    <t>Hoàn thiện document trên website để phục vụ team và đo KPI.</t>
  </si>
  <si>
    <t>Sau khi có VM và dữ liệu test, phản hồi lại kết quả để quyết định hướng triển khai tiếp theo.</t>
  </si>
  <si>
    <t>Cuộc họp tập trung trao đổi về tiến độ và giải pháp triển khai các tính năng liên quan đến signaling, crawl thông tin, UTM link, setting comment tự động và tích hợp với hệ thống Maki. Mục đích chính là rà soát các phần đang vướng, thống nhất phương án xử lý, phân công thực hiện và kế hoạch hoàn thành trong thời gian tới.</t>
  </si>
  <si>
    <t>Trao đổi với Linh Nga vào 11h để cập nhật tiến độ và các vấn đề tồn đọng.</t>
  </si>
  <si>
    <t>Gửi tài liệu, video hướng dẫn sử dụng UTM link và builder cho mọi người.</t>
  </si>
  <si>
    <t>Xin quyền TikTok đã hoàn thành, xin lại quyền Google để khắc phục lỗi Advanced cho link an toàn.</t>
  </si>
  <si>
    <t>Tạo game để hỗ trợ đào tạo đội ngũ, chị Hằng phụ trách nhưng chưa phát hành, cần thúc đẩy nhanh.</t>
  </si>
  <si>
    <t>Kiểm tra và tích hợp code phần setting comment tự động, phối hợp với đội kỹ thuật bên ngoài để đảm bảo chạy được trên nền tảng cần thiết.</t>
  </si>
  <si>
    <t>PM phải chốt deadline và theo dõi tiến độ tuần này, đảm bảo mọi người nắm rõ trách nhiệm.</t>
  </si>
  <si>
    <t>Tạm thời vẫn sử dụng crawl thông tin nhưng loại trừ phần bình luận do chính sách hạn chế.</t>
  </si>
  <si>
    <t>Chạy tự comment bằng setting nội bộ, không can thiệp sâu vào setting ngoài do hạn chế về chính sách nghiêm ngặt.</t>
  </si>
  <si>
    <t>Ưu tiên hoàn thiện builder UTM link để mọi người có thể tự động tạo link nhanh, đơn giản.</t>
  </si>
  <si>
    <t>Liên hệ lại với Gimbal để rà soát phần Shifting, hiện đánh giá là ổn.</t>
  </si>
  <si>
    <t>Deadline chốt phiên bản, tính năng phải hoàn thành trong tuần này, mặc dù một số phần có thể chưa kịp.</t>
  </si>
  <si>
    <t>Phần comment bị hạn chế do chính sách nghiêm ngặt, không thể lấy toàn bộ thông tin bình luận.</t>
  </si>
  <si>
    <t>Chưa có giao diện hoàn chỉnh và game đào tạo cho đội, gây ảnh hưởng tiến độ làm video và hướng dẫn.</t>
  </si>
  <si>
    <t>Lỗi “Advanced” trên link Google gây mất an toàn, đang trong quá trình xin lại quyền.</t>
  </si>
  <si>
    <t>Tiến độ không chắc chắn có thể không hoàn thành xong trong tuần này do phụ thuộc vào nhiều bên.</t>
  </si>
  <si>
    <t>Thực hiện trao đổi chi tiết với Linh Nga về các vấn đề còn tồn đọng và phần UTM link.</t>
  </si>
  <si>
    <t>Đẩy nhanh việc xin quyền Google để xử lý lỗi link, phối hợp với đội liên quan để giải quyết.</t>
  </si>
  <si>
    <t>Thúc đẩy chị Hằng phát hành game hỗ trợ đào tạo nhằm đẩy nhanh tiến độ video hướng dẫn.</t>
  </si>
  <si>
    <t>PM theo dõi tiến độ chặt chẽ, chốt deadline trong tuần, có kế hoạch họp đánh giá kết quả thực hiện.</t>
  </si>
  <si>
    <t>Tiếp tục phối hợp với Gimbal kiểm tra phần Shifting và điều chỉnh nếu cần thiết.</t>
  </si>
  <si>
    <t>Đảm bảo các hướng dẫn sử dụng builder UTM link được phát tới toàn bộ nhóm để tăng hiệu quả công việc.</t>
  </si>
  <si>
    <t>Sửa lại tình huống trên Google Cloud và đẩy lên kênh gia đình web thích hợp của Marki</t>
  </si>
  <si>
    <t>Làm giao diện trên 3 ký (app riêng), sau đó chuyển code cho bên đích để tích hợp vào app Marki chung</t>
  </si>
  <si>
    <t>Tiếp tục làm tính năng quản trị chính sách và nhóm cho admin (dự án Marki)</t>
  </si>
  <si>
    <t>Tuần này</t>
  </si>
  <si>
    <t>Làm báo giá shopping cho chị Hạ</t>
  </si>
  <si>
    <t>Ngày mai meeting</t>
  </si>
  <si>
    <t>Report tiến độ website và plan Cao Sơn</t>
  </si>
  <si>
    <t>Fit lại Mobile cho Marki Chat</t>
  </si>
  <si>
    <t>Triển khai tính năng đăng ký form cho Marki Chat</t>
  </si>
  <si>
    <t>Triển khai Marki tổng của công ty</t>
  </si>
  <si>
    <t>Chuyển đẹp các tính năng và update status trên Summoner Meeting</t>
  </si>
  <si>
    <t>Trao đổi với PA về tiến độ các tính năng đang triển khai</t>
  </si>
  <si>
    <t>List ra các trang Facebook để mua lại</t>
  </si>
  <si>
    <t>Kiếm account của các OTA để mua</t>
  </si>
  <si>
    <t>Đưa các home của đối tác vào trang Go Đà Nẵng (tập trung bắt gánh)</t>
  </si>
  <si>
    <t>Tìm danh sách các group sale (du lịch, tour, homestay Đà Nẵng) để shipping</t>
  </si>
  <si>
    <t>Update tài khoản Naver và KakaoTalk lên website</t>
  </si>
  <si>
    <t>Fix phần trả lời câu hỏi (search) do bị delay</t>
  </si>
  <si>
    <t>Báo tin driver Cacodrop cho các cạo đen</t>
  </si>
  <si>
    <t>Fix UI UX Marki Chat</t>
  </si>
  <si>
    <t>1-2 ngày nữa</t>
  </si>
  <si>
    <t>Trao đổi với Hiền về các vấn đề liên quan</t>
  </si>
  <si>
    <t>Kiếm tòa để thuê lại cho dự án Go Đà Nẵng</t>
  </si>
  <si>
    <t>Giao diện sẽ được làm trên 3 ký (app riêng) trước, sau đó chuyển code cho bên đích để tích hợp vào app Marki chung</t>
  </si>
  <si>
    <t>Marki Chat đã hoàn thành và fit lại với Marki, Go Đà Nẵng, và Mobile</t>
  </si>
  <si>
    <t>Tập trung chạy sản phẩm sau khi fix xong (dự kiến cuối tháng này - 3-4 tuần)</t>
  </si>
  <si>
    <t>Đưa các home của đối tác vào trang Go Đà Nẵng để test với các OTA</t>
  </si>
  <si>
    <t>Test thử việc bán qua các group sale trên Facebook</t>
  </si>
  <si>
    <t>Dự án Cao Sơn đang bị trễ so với plan, chủ yếu ở phần design (trang home, trang về chúng tôi, trang liên hệ)</t>
  </si>
  <si>
    <t>Phần trả lời câu hỏi (search) bị delay, cần fix</t>
  </si>
  <si>
    <t>Một số tính năng chưa được update status trên Summoner Meeting</t>
  </si>
  <si>
    <t>Chưa rõ hiệu quả của việc bán qua group sale trên Facebook (phương thức cũ, có thể không còn hiệu quả)</t>
  </si>
  <si>
    <t>Hoàn thành fix UI UX Marki Chat trong 1-2 ngày và triển khai</t>
  </si>
  <si>
    <t>Họp báo cáo tiến độ website Cao Sơn và plan với chị Hạ vào ngày mai</t>
  </si>
  <si>
    <t>Hoàn thành các tính năng còn lại trong tuần này (quản trị admin cho Marki, đăng ký form Marki Chat, Marki tổng công ty)</t>
  </si>
  <si>
    <t>Bắt đầu chạy marketing và bán hàng sau khi fix xong các vấn đề kỹ thuật (dự kiến cuối tháng)</t>
  </si>
  <si>
    <t>Test thử các kênh bán hàng mới: group sale Facebook, OTA, và tích hợp với Go Đà Nẵng</t>
  </si>
  <si>
    <t>Tiếp tục tìm kiếm tòa để thuê và mở rộng dự án Go Đà Nẵng</t>
  </si>
  <si>
    <t>Cuộc họp tập trung cập nhật tiến độ phát triển các tính năng của dự án, đặc biệt là các tính năng liên quan đến báo cáo user và tích hợp Cloud với JSPT. Mục đích chính là xác định deadline hoàn thành, thống nhất công nghệ sử dụng frontend và đồng bộ công việc giữa các thành viên để triển khai nhanh chóng.</t>
  </si>
  <si>
    <t>Đội Dev estimate lại và cung cấp ngày bắt đầu cũng như ngày hoàn thành các tính năng critical.</t>
  </si>
  <si>
    <t>5-6/5</t>
  </si>
  <si>
    <t>Chuyển các tính năng critical hoàn thành sang bên Krem đúng deadline đã thống nhất.</t>
  </si>
  <si>
    <t>Thông báo và thống nhất với team frontend về công nghệ code sẽ sử dụng trong phần AppMarket, chuyển đổi từ công nghệ cũ sang mới theo kế hoạch.</t>
  </si>
  <si>
    <t>Thống nhất quy trình làm việc và giao diện giữa team Marquee và App để đảm bảo phối hợp tốt, đặc biệt là việc nhanh chóng chuyển giao giữa Dev và Production trong cùng một ngày.</t>
  </si>
  <si>
    <t>Các thành viên tiếp tục theo dõi và thực hiện các task critical đã phân công, không để vướng mắc cản trở tiến độ.</t>
  </si>
  <si>
    <t>Deadline hoàn thành hai tính năng critical là ngày 5 và 6 tháng 5.</t>
  </si>
  <si>
    <t>Cách thức quản lý và theo dõi task sử dụng Summary Meeting kết hợp Gitash vẫn được duy trì.</t>
  </si>
  <si>
    <t>Frontend của AppMarket sẽ được chuyển đổi nền tảng và công nghệ theo nhóm đã thống nhất (cụ thể là chuyển sang công nghệ do Bách phụ trách).</t>
  </si>
  <si>
    <t>Quy trình làm việc và phối hợp về giao diện đã được thống nhất, đảm bảo team Marquee và App phối hợp nhịp nhàng.</t>
  </si>
  <si>
    <t>Thiếu cột ngày bắt đầu để tính toán ngày hoàn thành chính xác hơn trong kế hoạch hiện tại.</t>
  </si>
  <si>
    <t>Cần làm rõ thêm việc chuyển giao giao diện giữa các bên để tránh chồng chéo, chưa có thông tin cụ thể về ai chịu trách nhiệm cuối cùng.</t>
  </si>
  <si>
    <t>Một số chi tiết về công nghệ (frontend) cần chốt sớm để không làm chậm tiến độ.</t>
  </si>
  <si>
    <t>Các Dev tiếp tục estimate ngày bắt đầu và ngày kết thúc để hoàn thiện kế hoạch deadline của những tính năng critical.</t>
  </si>
  <si>
    <t>Team frontend gấp rút thực hiện chuyển đổi công nghệ và chuẩn bị để chạy code theo quy trình mới.</t>
  </si>
  <si>
    <t>Các bên liên quan phối hợp chặt chẽ, thông báo nhanh về việc giao diện, đảm bảo việc chuyển giao giữa Dev và Production thực hiện trong 1 ngày.</t>
  </si>
  <si>
    <t>Tiếp tục theo dõi và cập nhật tiến độ trong các cuộc họp tiếp theo nhằm đảm bảo không bị trễ deadline đã đề ra.</t>
  </si>
  <si>
    <t>Chủ động trao đổi chi tiết các điểm còn vướng để kịp thời xử lý, tránh ảnh hưởng tới tổng tiến độ dự án.</t>
  </si>
  <si>
    <t>Cuộc họp thảo luận về tiến độ và chi tiết kỹ thuật dự án liên quan đến phần mềm tích hợp Google Sheets, giao diện người dùng (UI), và xử lý dữ liệu qua các công cụ như RAT. Mục đích chính là rà soát các lỗi giao diện, đồng bộ dữ liệu, và lên kế hoạch hoàn thiện các tính năng liên quan đến việc gửi tin nhắn tự động, test hạn mức gửi tin trên WhatsApp, cũng như bàn về các vấn đề bảo mật key dự án.</t>
  </si>
  <si>
    <t>Sửa lỗi font chữ bị lệch hoặc nhỏ ở phần giao diện admin.</t>
  </si>
  <si>
    <t>Bổ sung tính năng xin like/follow các trang sau khi hoàn thành form nhập liệu.</t>
  </si>
  <si>
    <t>Cập nhật phần code liên kết Google Sheets theo đúng link được gửi.</t>
  </si>
  <si>
    <t>Kiểm tra và xử lý xung đột code với bạn cùng team trước khi đẩy lên repository chung.</t>
  </si>
  <si>
    <t>Liên hệ với quản lý để lấy lại file env và key bảo mật cho dự án Go Đà Nẵng, tránh để lộ key trong mã nguồn công khai.</t>
  </si>
  <si>
    <t>Test tính năng gửi tin nhắn tự động qua WhatsApp với các cơ chế giới hạn gửi nhằm tránh spam.</t>
  </si>
  <si>
    <t>Hoàn thiện phần file đọc dữ liệu (file đọc) sử dụng công cụ RAT.</t>
  </si>
  <si>
    <t>Hỏi khách hàng thêm các yêu cầu về thông tin cần thiết trong dự án, bao gồm tin nhắn và các dữ liệu khách sạn.</t>
  </si>
  <si>
    <t>Hoàn thiện chức năng người dùng tự thiết lập dạng tin nhắn gửi đi trong phần chat, có hướng dẫn sử dụng.</t>
  </si>
  <si>
    <t>Tiến hành test toàn bộ tính năng mới trên môi trường đã setup sẵn.</t>
  </si>
  <si>
    <t>Giao diện UI hiện tại cơ bản được đồng ý nhưng yêu cầu sửa font chữ bị lệch.</t>
  </si>
  <si>
    <t>Tính năng xin like và follow các trang được bổ sung vào phần giao diện sau khi người dùng hoàn thành form.</t>
  </si>
  <si>
    <t>Không cho phép chỉnh sửa trực tiếp nội dung trên giao diện mobile để đảm bảo tính ổn định sau khi hoàn thành.</t>
  </si>
  <si>
    <t>Các test gửi tin nhắn qua WhatsApp sẽ thực hiện với giới hạn thời gian giữa các lần gửi để tránh bị khóa số.</t>
  </si>
  <si>
    <t>Quy định đẩy code lên repository sẽ làm tuần tự, tránh xung đột với bạn cùng team.</t>
  </si>
  <si>
    <t>Lỗi font chữ lệch ở một số vị trí trong giao diện.</t>
  </si>
  <si>
    <t>Vấn đề đồng bộ key và file env gây rủi ro bảo mật khi dự án được đẩy lên public repository.</t>
  </si>
  <si>
    <t>Giới hạn gửi tin nhắn qua WhatsApp có thể dẫn đến số điện thoại bị khóa nếu vượt quá quota.</t>
  </si>
  <si>
    <t>Chưa rõ mức độ khóa số điện thoại khi người dùng gửi nhiều lần gần nhau.</t>
  </si>
  <si>
    <t>Thiếu thông tin chính xác về phân loại và định dạng tin nhắn từ khách hàng.</t>
  </si>
  <si>
    <t>Code hiện có xung đột nhẹ với bạn cùng team chưa được xử lý hoàn toàn.</t>
  </si>
  <si>
    <t>Sửa lỗi font chữ và cập nhật UI theo yêu cầu, đồng thời thêm phần xin like/follow.</t>
  </si>
  <si>
    <t>Hoàn thiện liên kết Google Sheets và kiểm soát việc cập nhật dữ liệu tự động.</t>
  </si>
  <si>
    <t>Hoàn tất test tính năng gửi tin nhắn qua WhatsApp với các giới hạn thời gian và số lượng gửi.</t>
  </si>
  <si>
    <t>Yêu cầu file env, key riêng từ người quản lý dự án Go Đà Nẵng để đảm bảo bảo mật và tránh đẩy key công khai.</t>
  </si>
  <si>
    <t>Tiếp tục liên hệ với khách hàng để bổ sung yêu cầu chi tiết về tin nhắn và dữ liệu khách sạn.</t>
  </si>
  <si>
    <t>Đồng bộ và giải quyết xung đột code trước khi đẩy lên repository chung.</t>
  </si>
  <si>
    <t>Hoàn thiện phần đọc dữ liệu bằng RAT và triển khai thử nghiệm trên môi trường test.</t>
  </si>
  <si>
    <t>Tiến hành cuộc họp hoặc trao đổi tiếp theo sau khi hoàn thành các đầu việc trên, dự kiến sau khi hoàn tất test và sửa lỗi hiện tại.</t>
  </si>
  <si>
    <t>Cuộc họp nhằm giới thiệu các bạn thực tập sinh đến công ty, thảo luận về lĩnh vực thế mạnh, thời gian thực tập, quy trình làm việc, hệ thống KPI, thành phần đội nhóm và các dự án thực tế để thực tập sinh hiểu rõ về vị trí Business Analytics (BA). Mục đích chính là cung cấp thông tin, giải đáp thắc mắc và sắp xếp kế hoạch thực tập phù hợp.</t>
  </si>
  <si>
    <t>Gửi video giải thích chi tiết về các team và cơ cấu công ty do anh Thương phụ trách làm.</t>
  </si>
  <si>
    <t>Các bạn thực tập xem kỹ file hướng dẫn và video liên quan KPI và quy trình làm việc, hỏi thêm khi cần.</t>
  </si>
  <si>
    <t>Thực tập sinh chuẩn bị xác định rõ nhóm làm việc (team) muốn tham gia (ví dụ Marketing, BA, IT, Infra, DEF...).</t>
  </si>
  <si>
    <t>Thực tập sinh bắt đầu thực tập tùy theo lựa chọn cá nhân, dựa trên ngày bấm start trên Project Play.</t>
  </si>
  <si>
    <t>Người mới sẽ được hỗ trợ bởi nhân viên cũ để hướng dẫn và đào tạo trong quá trình thực tập.</t>
  </si>
  <si>
    <t>Sắp xếp cuộc họp tiếp theo dự kiến vào thứ 2 tuần sau (có thể dời thêm 1 tuần tùy lịch thi học của thực tập sinh).</t>
  </si>
  <si>
    <t>Leader tạm thời của nhóm BA là anh Thương.</t>
  </si>
  <si>
    <t>Quy trình làm việc linh hoạt về hình thức online hoặc offline đều được chấp nhận.</t>
  </si>
  <si>
    <t>Thời gian thực tập tối thiểu là 1 buổi/tuần đối với intern, và 3 buổi/tuần với nhân viên chính thức; đồng thời phải đăng ký trước khi lên văn phòng để nhận thẻ ra vào.</t>
  </si>
  <si>
    <t>Một project thường có 1 đến 2 BA, nhỏ hơn 6 người/team dự án.</t>
  </si>
  <si>
    <t>KPI được tính theo từng loại task (critical, task 2, normal) với số điểm KPI khác nhau, tổng KPI tháng quyết định mức trả lương.</t>
  </si>
  <si>
    <t>Có sự nhầm lẫn, lộn xộn thông tin cấu trúc công ty do có nhiều nhóm, nhiều công ty con và các tên gọi như Marquee, Security Zone, POPTECH, DEF, Infra khiến người mới khó nắm bắt.</t>
  </si>
  <si>
    <t>Một số thực tập sinh chưa xác định rõ team và lĩnh vực chính muốn theo đuổi gây mất thời gian trao đổi.</t>
  </si>
  <si>
    <t>Cần có sự chuẩn bị kỹ càng trước khi hỏi để không làm mất thời gian của nhân sự cũ hỗ trợ, tránh việc hỏi không có nghiên cứu trước.</t>
  </si>
  <si>
    <t>Một số thực tập sinh gặp khó khăn về việc bắt đầu thực tập, cần xác định rõ ngày start để tính KPI chính xác.</t>
  </si>
  <si>
    <t>Anh Thương sẽ chuẩn bị và gửi video giải thích chi tiết về cấu trúc tổ chức công ty và các team để giúp thực tập sinh nắm rõ hơn.</t>
  </si>
  <si>
    <t>Thực tập sinh xem lại và nghiên cứu kỹ tài liệu hướng dẫn, video về KPI, quy trình làm việc; chuẩn bị các câu hỏi kỹ lưỡng cho buổi làm việc tiếp theo.</t>
  </si>
  <si>
    <t>Thực tập sinh xác định rõ lĩnh vực và nhóm muốn tham gia để phân công công việc hiệu quả, tránh mất thời gian trao đổi không cần thiết.</t>
  </si>
  <si>
    <t>Bắt đầu thực tập linh hoạt theo ngày mong muốn, cập nhật trên hệ thống Project Play để tính KPI và theo dõi tiến độ.</t>
  </si>
  <si>
    <t>Tổ chức cuộc họp tiếp theo vào thứ 2 tuần sau (có thể điều chỉnh thêm 1 tuần nếu cần) để tiếp tục trao đổi và phân công công việc cụ thể.</t>
  </si>
  <si>
    <t>Thực tập sinh liên hệ và làm việc trực tiếp với anh Thương để nhận hỗ trợ, sắp xếp công việc và giải đáp thắc mắc trong quá trình thực tập.</t>
  </si>
  <si>
    <t>Cuộc họp thảo luận về việc hoàn thiện và chỉnh sửa giao diện, tính năng các website sản phẩm Maki AI, Maki Chat, Go Đà Nẵng và xây dựng một website tổng hợp cho công ty. Mục đích chính là rà soát các vấn đề tồn đọng, sửa lỗi layout, màu sắc, font chữ, tính năng chatbot, đăng ký tư vấn, cũng như lên kế hoạch triển khai nội dung, timeline hoàn thiện các trang web liên quan.</t>
  </si>
  <si>
    <t>Sử dụng subdomain chat.makiai.co cho việc demo, chờ admin chốt domain chính thức.</t>
  </si>
  <si>
    <t>Sửa lại phần giao diện trang web:</t>
  </si>
  <si>
    <t>- Sắp xếp lại thứ tự các phần doanh nghiệp đang dùng, tính năng nổi bật, màn hình quản lý duy nhất.</t>
  </si>
  <si>
    <t>- Thêm thanh chọn câu hỏi, bổ sung tất cả trang social (Facebook, LinkedIn, Instagram) lên đầu trang.</t>
  </si>
  <si>
    <t>- Thay đổi màu sắc theo chuẩn Bemaki (màu đỏ), sửa font chữ theo font chính thức của Maki.</t>
  </si>
  <si>
    <t>Cải thiện giao diện form đăng ký tư vấn:</t>
  </si>
  <si>
    <t>- Tối ưu phần tương tác để trông smart hơn, có animation MacCode cho chatbot.</t>
  </si>
  <si>
    <t>- Giảm thời gian tải, làm cho chatbot hiển thị nhanh, không delay kéo dài.</t>
  </si>
  <si>
    <t>Fix lỗi layout bị cắt chữ, lệch font, và vứt bỏ hiệu ứng không cần thiết ở phần tính năng nổi bật.</t>
  </si>
  <si>
    <t>Đồng bộ cách viết chữ (cáp lock) cho tất cả tiêu đề và phần text trong trang web.</t>
  </si>
  <si>
    <t>Xóa bỏ nội dung "Toàn bộ quy trình marketing trong một nền tảng" cũ, thay bằng nội dung mới liên quan Marquee AI.</t>
  </si>
  <si>
    <t>Tích hợp trang nhận ưu đãi 1 tháng sử dụng miễn phí và trang đăng ký sử dụng demo thành một trang duy nhất, rút gọn bố cục trang, tối giản các section dài.</t>
  </si>
  <si>
    <t>Sửa nội dung chuẩn cho các phần quảng bá về app Maki.ai, AI Agent Marketing, đối tượng B2B, ANC.</t>
  </si>
  <si>
    <t>Nghiên cứu tạo template form đăng ký để dùng thống nhất cho tất cả website (Maki Chat, Maki AI, Go Đà Nẵng).</t>
  </si>
  <si>
    <t>Xây dựng website tổng hợp công ty (không phải landing page) với khoảng 19 trang, gồm trang chủ, dịch vụ, sản phẩm, về chúng tôi, liên hệ, các trang con khác.</t>
  </si>
  <si>
    <t>Hoàn thành sửa lỗi layout, nội dung, thiết kế trên tất cả website liên quan (Gou, Maki, Maki Chat) trong tuần này (trước ngày 30/4).</t>
  </si>
  <si>
    <t>Hoàn thiện nội dung cho website tổng hợp trước thứ 2 tuần sau (ngày 4/5).</t>
  </si>
  <si>
    <t>Các thành viên note rõ các đầu việc từng dự án đã nhận, sau đó gửi meeting note cá nhân lên group chung với deadline rõ ràng.</t>
  </si>
  <si>
    <t>Thêm 2 BA và 4 DEV cho các dự án theo yêu cầu của admin trong tuần tới.</t>
  </si>
  <si>
    <t>Tạm thời sử dụng subdomain chat.makiai.co cho phiên bản demo, việc mua domain chính thức sẽ do admin quyết định.</t>
  </si>
  <si>
    <t>Sửa toàn bộ giao diện website theo chuẩn màu, font của Maki, loại bỏ các hiệu ứng không cần thiết để chuẩn hóa.</t>
  </si>
  <si>
    <t>Tích hợp các trang ưu đãi và đăng ký thành một trang duy nhất để tối giản trải nghiệm người dùng.</t>
  </si>
  <si>
    <t>Website tổng hợp công ty phải xây dựng với thiết kế rõ ràng, đầy đủ và chuyên nghiệp, không sử dụng landing page đơn giản.</t>
  </si>
  <si>
    <t>Timeline hoàn thành fixes tất cả website từ giờ đến hết tuần này, nội dung website tổng hợp hoàn thành trước ngày 4/5.</t>
  </si>
  <si>
    <t>Lỗi layout giao diện nhiều chỗ bị cắt chữ, lệch font, màu sắc sai chuẩn.</t>
  </si>
  <si>
    <t>Tốc độ hiển thị chatbot và form đăng ký còn bị trì hoãn, thiếu sự tương tác mượt mà.</t>
  </si>
  <si>
    <t>Nội dung cũ đang dùng cho các trang không khớp với nội dung marketing hiện tại, cần thay thế gấp.</t>
  </si>
  <si>
    <t>Việc quản lý nhiều dự án với thành viên hạn chế gây áp lực tiến độ.</t>
  </si>
  <si>
    <t>Cần nghiên cứu kỹ về tính năng form đăng ký để có thể tái sử dụng trên nhiều website.</t>
  </si>
  <si>
    <t>Các thành viên cần hoàn thành toàn bộ sửa lỗi về giao diện, màu sắc, font chữ, hiệu ứng cũng như tối ưu tốc độ chatbot và form trong tuần này.</t>
  </si>
  <si>
    <t>Triển khai nội dung mới chuẩn chỉnh theo brief cho từng website, đặc biệt là trang đăng ký, ưu đãi, và các phần giới thiệu sản phẩm, dịch vụ.</t>
  </si>
  <si>
    <t>Nghiên cứu xây dựng template chung cho form đăng ký dùng cho tất cả website.</t>
  </si>
  <si>
    <t>Tiến hành phát triển và hoàn thiện website tổng hợp công ty với đủ các mục trang, hoàn thành layout và nội dung trước ngày 4/5.</t>
  </si>
  <si>
    <t>Mỗi thành viên cập nhật và gửi meeting note cá nhân kèm deadline cụ thể lên group chung để tiện theo dõi tiến độ dự án.</t>
  </si>
  <si>
    <t>Admin sẽ chốt vấn đề domain chính thức cho website demo trong tuần tới.</t>
  </si>
  <si>
    <t>Theo dõi sát tiến độ triển khai để đảm bảo các deadline trên được đáp ứng đúng hạn.</t>
  </si>
  <si>
    <t>Chuẩn bị tổ chức cuộc họp đánh giá tiến độ lần kế tiếp sau khi kết thúc giai đoạn sửa chữa trong tuần này.</t>
  </si>
  <si>
    <t>Huấn liên hệ với các bạn DEV, Marketing, Sales lấy số điện thoại và kênh liên lạc, gửi link Yellow để họ gặp.</t>
  </si>
  <si>
    <t>Huấn phối hợp với anh Tư tạo và trao đổi để bật đúng 3 link rút cho các nhóm Sell, Marketing, Infra.</t>
  </si>
  <si>
    <t>Gửi email tự động kèm video hướng dẫn quy trình cho các bạn viewphone.</t>
  </si>
  <si>
    <t>Xây dựng công cụ để tự động remove quyền truy cập khi nhân sự nghỉ việc hoặc bị inactive, nếu chưa làm được thì dùng Google Sheet tạm thời.</t>
  </si>
  <si>
    <t>Hân xử lý nhóm Infra và Marketing, Sales; giao tiếp với nhóm NET do người khác đảm nhận.</t>
  </si>
  <si>
    <t>Đẩy dữ liệu danh sách group, box bài để tập trung quản lý bài đăng, tạm thời lock bài thủ công trước khi có công cụ tự động.</t>
  </si>
  <si>
    <t>Quản lý và phân quyền các group trên Telegram, gửi dữ liệu qua email khi không truy cập được.</t>
  </si>
  <si>
    <t>Tập trung tuyển dụng nhân sự tại Đà Nẵng, hạn chế tuyển tại Sài Gòn do đủ người rồi.</t>
  </si>
  <si>
    <t>Tạo user profile trên hệ thống, làm video training hướng dẫn sử dụng.</t>
  </si>
  <si>
    <t>Theo dõi số lượng bài mỗi tuần, thống kê bài boss trong từng group để điều chỉnh số lượng bài đăng.</t>
  </si>
  <si>
    <t>Hỗ trợ triển khai UTM link cho tracking tương tác bài viết, hoàn thiện phần setting tự động.</t>
  </si>
  <si>
    <t>Giao Thương xử lý việc đăng tuyển cho Sales, Marketing và Dev, hỗ trợ phần View Game Link để biết bài nào tương tác nhiều.</t>
  </si>
  <si>
    <t>Trao đổi, xử lý CV ứng viên chưa rõ team, hỏi rõ để phân bổ đúng đội nhóm.</t>
  </si>
  <si>
    <t>Huấn quản lý liên hệ DEV, Marketing, Sales; Hân xử lý nhóm Infra và Marketing - Sales; Người khác đảm nhận nhóm NET.</t>
  </si>
  <si>
    <t>Dữ liệu box bài sẽ được lock thủ công để quản lý trước khi công cụ tự động hoàn thiện.</t>
  </si>
  <si>
    <t>Quy trình quyền truy cập sẽ tự động remove khi nhân sự nghỉ, nếu chưa xong thì sử dụng giải pháp Google Sheet tạm thời.</t>
  </si>
  <si>
    <t>Tập trung tuyển dụng chủ yếu ở Đà Nẵng, không ưu tiên Sài Gòn nữa.</t>
  </si>
  <si>
    <t>Mỗi tuần sẽ thống kê số bài đăng, ưu tiên tập trung bài có tương tác cao nhất.</t>
  </si>
  <si>
    <t>Thương sẽ hỗ trợ đăng tuyển cho các nhóm Sales, Marketing, Dev và quản lý View Game Link.</t>
  </si>
  <si>
    <t>Một số thành viên chưa có quyền truy cập đầy đủ vào group hoặc tool liên quan.</t>
  </si>
  <si>
    <t>Vấn đề phân quyền, xóa quyền chưa tự động hoàn toàn, cần giải pháp tạm thời bằng Google Sheet.</t>
  </si>
  <si>
    <t>Chưa có cách thức chính thức để track user bóp bài ở các group cụ thể cũng như tương tác với website.</t>
  </si>
  <si>
    <t>Một số CV không rõ ứng viên thuộc nhóm nào, gây khó khăn trong phân bổ đội nhóm.</t>
  </si>
  <si>
    <t>Việc xử lý CV ứng viên gặp trở ngại do ứng viên muốn chuyển nhóm nhưng chưa có bên nhận.</t>
  </si>
  <si>
    <t>Một số nhóm DEV và Infra chưa rõ vai trò xử lý công việc cụ thể, một số công việc còn phụ thuộc trao đổi nội bộ.</t>
  </si>
  <si>
    <t>Hoàn thiện công cụ quản lý quyền truy cập và tự động remove khi nhân sự nghỉ việc; nếu chưa kịp hoàn thiện thì dùng Google Sheet tạm thời.</t>
  </si>
  <si>
    <t>Huấn tiếp tục liên hệ, cập nhật thông tin nhóm DEV, Marketing, Sales và gửi link Yellow cho các thành viên.</t>
  </si>
  <si>
    <t>Hỗ trợ tuyển dụng tập trung tại Đà Nẵng, hạn chế tuyển tại Sài Gòn.</t>
  </si>
  <si>
    <t>Tạo video training hướng dẫn sử dụng user profile cho các thành viên quản lý.</t>
  </si>
  <si>
    <t>Các nhóm tiếp tục thống kê và phân tích bài boss, điều chỉnh số lượng bài đăng dựa trên tương tác thực tế.</t>
  </si>
  <si>
    <t>Thương phối hợp với các nhóm để hoàn thiện phân quyền và hỗ trợ đăng tuyển, đồng thời quản lý và báo cáo View Game Link.</t>
  </si>
  <si>
    <t>Đào tạo, hướng dẫn các bộ phận sử dụng các công cụ UTM link tracking để theo dõi hiệu quả bài viết.</t>
  </si>
  <si>
    <t>Thảo luận rõ và phân bổ lại CV ứng viên chưa xác định thuộc nhóm nào, giải quyết các vướng mắc trong việc nhận người mới.</t>
  </si>
  <si>
    <t>Tiếp tục trao đổi nội bộ, cập nhật thông tin về vai trò và nhiệm vụ cụ thể của từng nhóm liên quan DEV, Infra, Marketing, Sales.</t>
  </si>
  <si>
    <t>Lên kế hoạch họp hoặc trao đổi tiếp theo khi hoàn thiện các bước trên để rà soát tiến độ và hiệu quả quy trình.</t>
  </si>
  <si>
    <t>Cuộc họp tập trung thảo luận việc chỉnh sửa hoàn thiện các website liên quan đến dự án Maki AI, MakiChat và Go Đà Nẵng. Mục đích chính là rà soát, fix lỗi giao diện, nội dung, tính năng tương tác chatbot, đồng thời lập kế hoạch xây dựng website tổng công ty và thống nhất deadline hoàn thành công việc.</t>
  </si>
  <si>
    <r>
      <rPr/>
      <t xml:space="preserve">Chốt dùng subdomain </t>
    </r>
    <r>
      <rPr>
        <color rgb="FF1155CC"/>
        <u/>
      </rPr>
      <t>markeeai.com/chat</t>
    </r>
    <r>
      <rPr/>
      <t xml:space="preserve"> tạm thời, tiếp tục xem xét phương án mua domain mới.</t>
    </r>
  </si>
  <si>
    <t>Sửa giao diện web:</t>
  </si>
  <si>
    <t>2.1. Điều chỉnh màu sắc chuẩn cho đúng màu Bemaki (màu đỏ, không dùng màu hồng cam).</t>
  </si>
  <si>
    <t>2.2. Sửa font chữ đúng theo font Maki, tránh lệch font.</t>
  </si>
  <si>
    <t>2.3. Fix layout các phần: "tình trạng doanh nghiệp đang gặp phải", hiệu ứng, cắt chữ, sắp xếp 4 thanh cho gọn trong phạm vi.</t>
  </si>
  <si>
    <t>2.4. Xóa nội dung "toàn bộ quy trình marketing trong một nền tảng" (trang này sẽ bị loại bỏ).</t>
  </si>
  <si>
    <t>2.5. Đồng bộ font, màu sắc, khoá chữ (cắp lock) từ đầu đến cuối cho các title, text.</t>
  </si>
  <si>
    <t>Cải thiện tính năng chatbot:</t>
  </si>
  <si>
    <t>3.1. Giảm thời gian loading tin nhắn chatbot, đảm bảo phản hồi nhanh không bị delay.</t>
  </si>
  <si>
    <t>3.2. Tăng tính tương tác UI/UX cho form đăng ký tư vấn, làm cho form tư vấn thông minh hơn, đẹp và chuyên nghiệp hơn.</t>
  </si>
  <si>
    <t>Gộp 2 trang "Nhận ưu đãi" và "Đăng ký sử dụng miễn phí" thành 1 trang, có form đăng ký liên kết trực tiếp để tối ưu trải nghiệm người dùng.</t>
  </si>
  <si>
    <t>Sửa lại nội dung phần "sẵn sàng bùng nổ duyên số với Maki.ai" thành "Maki.ai app, AI Agent Marketing platform, B2B, ANC" theo bản brief mới.</t>
  </si>
  <si>
    <t>Thêm đầy đủ các trang social media (Facebook, LinkedIn, Instagram) và chatbot tư vấn lên web.</t>
  </si>
  <si>
    <t>Nghiên cứu tạo 1 template platform dùng chung cho tất cả website để dễ quản lý và triển khai cho nhiều dự án.</t>
  </si>
  <si>
    <t>Lập kế hoạch xây dựng website tổng công ty gồm khoảng 19-20 trang, tổng hợp các sản phẩm, dịch vụ của công ty.</t>
  </si>
  <si>
    <t>Deadline chuẩn bị nội dung và layout: trước thứ 2 ngày 4/5/2026.</t>
  </si>
  <si>
    <t>Triển khai hoàn thiện các website Maki, MakiChat, Go Đà Nẵng trong tuần này (trước cuối ngày 30/4/2026).</t>
  </si>
  <si>
    <t>Các cá nhân đang phụ trách các dự án cần ghi lại các lỗi cần fix hoặc việc được giao vào meeting notes cá nhân và upload lên group chung.</t>
  </si>
  <si>
    <t>Update và deploy bản fix mobile cho trang web Intel sớm nhất.</t>
  </si>
  <si>
    <t>Huỳnh được giao feed lại nội dung mới cho các phần nội dung giáo dục, du lịch trên website.</t>
  </si>
  <si>
    <t>Thêm các video animation từ MakiChat sang Maki nếu có thể, sử dụng video tạo AI qua công cụ Gemini và Canva để làm video.</t>
  </si>
  <si>
    <t>Tạm thời sử dụng subdomain chat.makiai.co cho dự án chatbot, domain chính sẽ để admin chốt phương án sau.</t>
  </si>
  <si>
    <t>Xóa bỏ toàn bộ phần "toàn bộ quy trình marketing trong một nền tảng" trên web.</t>
  </si>
  <si>
    <t>Các trang "Nhận ưu đãi" và "Đăng ký sử dụng miễn phí" sẽ được gộp lại thành 1 trang duy nhất nhằm rút gọn và tối ưu nội dung.</t>
  </si>
  <si>
    <t>Website tổng công ty sẽ được xây dựng riêng, không phải landing page, bao gồm khoảng 19-20 trang nội dung.</t>
  </si>
  <si>
    <t>Cam kết hoàn thành việc fix toàn bộ các website trong tuần này (trước 30/4/2026).</t>
  </si>
  <si>
    <t>Hiện tượng layout bị đè chồng, mất chữ, cắt chữ gây khó chịu, đặc biệt ở phần "tình trạng doanh nghiệp".</t>
  </si>
  <si>
    <t>Màu sắc và font chữ không đồng bộ, chưa chính xác theo chuẩn Bemaki.</t>
  </si>
  <si>
    <t>Tính năng chatbot phản hồi tin nhắn bị delay, khiến trải nghiệm người dùng không tốt.</t>
  </si>
  <si>
    <t>Form đăng ký tư vấn còn thiếu tính tương tác thông minh, chưa đạt chuẩn công ty công nghệ.</t>
  </si>
  <si>
    <t>Chưa có nền tảng template chung cho tất cả các website dẫn đến việc phát triển và bảo trì phức tạp.</t>
  </si>
  <si>
    <t>Một số video animation cần được tạo và tích hợp cho đồng bộ nhưng chưa rõ quy trình cụ thể.</t>
  </si>
  <si>
    <t>Thực hiện fix toàn bộ lỗi về màu sắc, font chữ, layout đã được chỉ ra trong phần action items trong tuần này, ưu tiên hoàn thành nhanh trước 30/4/2026.</t>
  </si>
  <si>
    <t>Cải thiện và deploy tính năng chatbot, tăng tốc độ load, nâng cấp UI/UX form đăng ký tư vấn.</t>
  </si>
  <si>
    <t>Gộp 2 trang ưu đãi và đăng ký dùng miễn phí thành 1 trang hiệu quả, tối ưu trải nghiệm người dùng.</t>
  </si>
  <si>
    <t>Hoàn thiện nội dung cho website tổng công ty, chuẩn bị layout và nội dung chi tiết trước 4/5/2026 để bắt đầu triển khai.</t>
  </si>
  <si>
    <t>Nghiên cứu và xây dựng template platform dùng chung cho quản lý tất cả website dự án.</t>
  </si>
  <si>
    <t>Các cá nhân phụ trách dự án ghi chép và update meeting notes chi tiết những việc đã làm, việc cần fix và deadline vào group chung.</t>
  </si>
  <si>
    <t>Triển khai bổ sung các trang social, chatbot tư vấn, video animation phù hợp lên website.</t>
  </si>
  <si>
    <t>Theo dõi tiến độ deploy bản cập nhật mobile để đảm bảo trải nghiệm đa nền tảng.</t>
  </si>
  <si>
    <t>Chuẩn bị họp, tổng hợp feedback lần cuối sau khi hoàn thiện toàn bộ các yêu cầu trên để đánh giá và quyết định bước phát triển tiếp theo.</t>
  </si>
  <si>
    <t>Nếu cần tôi có thể hỗ trợ làm bản tóm tắt chi tiết hơn theo từng phần cụ thể hoặc hỗ trợ chuẩn bị nội dung meeting note cá nhân theo dự án.</t>
  </si>
  <si>
    <t>Cuộc họp thảo luận về tiến độ phát triển các tính năng trong dự án Marquee, tập trung vào việc hoàn thành các tính năng critical, ước lượng thời gian và đồng bộ công việc giữa các nhóm Dev, AppMarket và UI/UX. Mục đích chính là xác định deadline, thống nhất công nghệ sử dụng, và giải quyết các vấn đề liên quan đến giao diện, đồng thời đốc thúc tiến độ để kịp bàn giao.</t>
  </si>
  <si>
    <t>Bên Dev cần estimate lại ngày bắt đầu và ngày hoàn thành các tính năng critical, cụ thể deadline tập trung vào ngày 5/5 và 6/5.</t>
  </si>
  <si>
    <t>Bàn giao các tính năng critical hoàn thiện cho bên Krem đúng deadline.</t>
  </si>
  <si>
    <t>Bên AppMarket chuyển đổi code sang bài thần theo thống nhất, để mọi người dễ follow.</t>
  </si>
  <si>
    <t>Thống nhất và cập nhật các thông tin liên quan đến giao diện nhanh chóng với bên app Marquee, ưu tiên làm nhanh nhằm không làm chậm tiến độ chung.</t>
  </si>
  <si>
    <t>Theo dõi task Dark Critical, các thành viên trong nhóm cần follow sát để đảm bảo tiến độ chung.</t>
  </si>
  <si>
    <t>Trao đổi, chốt chi tiết về giao diện frontend và công nghệ sử dụng trong hôm nay để các bạn có thể bắt đầu code ngay.</t>
  </si>
  <si>
    <t>Deadline chính cho các tính năng critical là ngày 5/5 và 6/5, bám theo các mốc này để bàn giao.</t>
  </si>
  <si>
    <t>Thống nhất chuyển đổi code bên AppMarket sang bài thần để đồng bộ công nghệ.</t>
  </si>
  <si>
    <t>Không có vướng mắc trong các task liên quan đến Dark Critical, tiếp tục follow task này.</t>
  </si>
  <si>
    <t>Công việc giao diện bên app Marquee cần được thống nhất nhanh chóng, chuẩn bị để lên Dev và Production trong cùng một ngày.</t>
  </si>
  <si>
    <t>Chưa có cột ngày bắt đầu chính thức trên file estimate khiến việc tính toán ngày hoàn thành còn thiếu chính xác.</t>
  </si>
  <si>
    <t>Công đoạn thống nhất chi tiết về giao diện và công nghệ frontend còn chưa chốt rõ, gây lúng túng trong việc tiến hành coding.</t>
  </si>
  <si>
    <t>Tiến độ phát triển có nguy cơ chậm nếu không kịp đồng bộ và loại bỏ các vướng mắc về giao diện và quy trình làm việc.</t>
  </si>
  <si>
    <t>Một số thông tin về tính năng nhóm đã làm vẫn đang chờ estimate lại ngày hoàn thành từ bên Dev.</t>
  </si>
  <si>
    <t>Các bên liên quan (Dev, AppMarket, UI/UX) cần phối hợp hoàn thiện estimate ngày bắt đầu, ngày hoàn thành các task critical để cập nhật timeline chính xác.</t>
  </si>
  <si>
    <t>Hoàn thành chuyển đổi công nghệ code sang bài thần cho AppMarket để tạo đồng bộ và dễ quản lý dự án.</t>
  </si>
  <si>
    <t>Tiếp tục kiểm tra, làm rõ và chốt giao diện frontend để kịp tiến độ chuyển code lên Dev và Production trong cùng một ngày.</t>
  </si>
  <si>
    <t>Tập trung hoàn thành các task trong nhóm Dark Critical, đảm bảo không có vướng mắc và kịp deadline ngày 5-6/5.</t>
  </si>
  <si>
    <t>Các thành viên trao đổi trực tiếp chi tiết kỹ thuật, đặc biệt về giao diện và backend để xử lý các vấn đề còn tồn đọng.</t>
  </si>
  <si>
    <t>Triển khai họp nhóm tiếp theo hoặc trao đổi riêng (nếu cần) để cập nhật tiến độ sau khi các action item trên được thực hiện.</t>
  </si>
  <si>
    <t>Ứng viên xem lại video hướng dẫn quy trình làm việc do công ty cung cấp.</t>
  </si>
  <si>
    <t>Ứng viên liên hệ với anh Huấn để được hỗ trợ xem và hiểu video hướng dẫn.</t>
  </si>
  <si>
    <t>Anh Huấn gửi file tài liệu, video hướng dẫn để ứng viên nghiên cứu.</t>
  </si>
  <si>
    <t>Đầu tuần, anh Huấn sẽ bố trí ứng viên vào các team marketing, ưu tiên team của chị Tiên để thử việc và đánh giá kết quả.</t>
  </si>
  <si>
    <t>Ứng viên thực hiện công việc theo KPI để được đánh giá năng lực, có cơ hội lên level nhanh hoặc bị cảnh báo, loại ra khỏi team nếu không đạt.</t>
  </si>
  <si>
    <t>Ứng viên chủ động liên hệ hỏi ý kiến, thắc mắc với anh Huấn trong quá trình làm việc.</t>
  </si>
  <si>
    <t>Ứng viên sẽ tham gia thực tập tại team marketing, ưu tiên team của chị Tiên.</t>
  </si>
  <si>
    <t>Hình thức làm việc chủ yếu online, tối thiểu lên công ty 1 lần/tuần để trao đổi.</t>
  </si>
  <si>
    <t>Giờ giấc làm việc linh hoạt theo lựa chọn của ứng viên, miễn sao đảm bảo KPI.</t>
  </si>
  <si>
    <t>Leader team của ứng viên sẽ là chị Tiên.</t>
  </si>
  <si>
    <t>Thời gian thực tập 1 đến 2 tháng tùy hiệu suất làm việc.</t>
  </si>
  <si>
    <t>Ứng viên có kinh nghiệm chính là điều phối công việc, chưa dày về content marketing.</t>
  </si>
  <si>
    <t>Ứng viên hiện đang ở Quảng Ngãi, nên chủ yếu làm việc online, hạn chế lên trực tiếp văn phòng Đà Nẵng hoặc Hồ Chí Minh.</t>
  </si>
  <si>
    <t>Ứng viên cần làm quen nhanh với quy trình và video hướng dẫn; sẽ được hỗ trợ bởi anh Huấn nhưng có thể gặp khó khăn nếu không chủ động hỏi.</t>
  </si>
  <si>
    <t>Việc đánh giá dựa trên KPI nghiêm ngặt, nếu không đạt sẽ có cảnh báo nhiều lần và có thể bị loại khỏi team.</t>
  </si>
  <si>
    <t>Ứng viên xem và nghiên cứu video, tài liệu hướng dẫn do công ty cung cấp.</t>
  </si>
  <si>
    <t>Ứng viên trao đổi, hỏi thêm anh Huấn về quy trình và công việc nếu có thắc mắc.</t>
  </si>
  <si>
    <t>Anh Huấn sắp xếp cho ứng viên vào team marketing của chị Tiên để bắt đầu thực tập làm việc.</t>
  </si>
  <si>
    <t>Ứng viên thực hiện công việc và theo dõi KPI đánh giá hiệu quả làm việc trong 1-2 tháng.</t>
  </si>
  <si>
    <t>Duy trì liên lạc thường xuyên với người quản lý để nhận hỗ trợ và điều chỉnh công việc kịp thời.</t>
  </si>
  <si>
    <t>Sau quá trình thử việc, đánh giá khả năng sẽ quyết định tiếp tục hoặc điều chỉnh vị trí phù hợp hơn.</t>
  </si>
  <si>
    <t>Sửa mô tả chi tiết hơn cho từng trường thông tin để hỗ trợ người dùng nhập liệu dễ dàng hơn.</t>
  </si>
  <si>
    <t>Thiết kế giao diện cho các mục bị giới hạn chiều dài, bổ sung biểu tượng và mô tả khi hover chuột vào.</t>
  </si>
  <si>
    <t>Giới hạn chọn một ô duy nhất trong các danh mục liên quan, không cho phép chọn nhiều ô.</t>
  </si>
  <si>
    <t>Chỉnh sửa form giao diện tổng hợp và bổ sung ví dụ cụ thể cho người dùng.</t>
  </si>
  <si>
    <t>Thêm tính năng upload CV vào đường link driver cụ thể.</t>
  </si>
  <si>
    <t>Cập nhật danh sách tên trường đại học, định dạng đúng theo yêu cầu (tên trường + gạch ngành).</t>
  </si>
  <si>
    <t>Tích hợp phần hiển thị avatar của các trang mạng xã hội và tùy chọn follow.</t>
  </si>
  <si>
    <t>Thiết lập hệ thống thông báo qua email với nội dung rõ ràng, kèm theo link tham gia nhóm Zalo tương ứng.</t>
  </si>
  <si>
    <t>Gửi mẫu thông báo ứng tuyển qua email với các link nhóm và yêu cầu thông tin bổ sung.</t>
  </si>
  <si>
    <t>Demo toàn bộ các hạng mục sau khi chỉnh sửa, gửi thông báo để xác nhận với quản lý.</t>
  </si>
  <si>
    <t>Giới hạn chỉ cho phép chọn một ô trong các danh mục cụ thể.</t>
  </si>
  <si>
    <t>Form nhập liệu sẽ được mở rộng nhẹ và bổ sung mô tả, ví dụ minh họa chi tiết ở từng trường.</t>
  </si>
  <si>
    <t>Quy trình thông báo qua email sẽ bao gồm link tham gia nhóm Zalo ứng với từng nhóm công việc.</t>
  </si>
  <si>
    <t>Giao diện sẽ có mô tả hover hoặc hiển thị trực tiếp tại những mục quan trọng để dễ hiểu hơn.</t>
  </si>
  <si>
    <t>Danh sách trường học cần đúng định dạng với ký tự gạch ngành.</t>
  </si>
  <si>
    <t>Hệ thống không cho phép nhập lại email đối với trạng thái "Đã xem" hoặc "Đúng việc". Điều này có thể gây khó khăn nếu người dùng muốn cập nhật thông tin.</t>
  </si>
  <si>
    <t>Một số lỗi font chữ trong giao diện cần kiểm tra và chỉnh sửa.</t>
  </si>
  <si>
    <t>Khả năng mất thông tin nhập liệu khi người dùng nhấn gửi hoặc thoát giữa chừng mà không lưu.</t>
  </si>
  <si>
    <t>Tính năng follow trực tiếp các trang mạng xã hội có thể yêu cầu đăng nhập, gây phức tạp cho trải nghiệm người dùng.</t>
  </si>
  <si>
    <t>Tiến hành sửa toàn bộ các mô tả và kiểm tra hiển thị hover trên form.</t>
  </si>
  <si>
    <t>Chỉnh sửa danh sách trường học theo định dạng thống nhất và cập nhật vào form.</t>
  </si>
  <si>
    <t>Kiểm tra và khắc phục lỗi font chữ để đảm bảo giao diện hiển thị đồng bộ.</t>
  </si>
  <si>
    <t>Triển khai hệ thống upload CV qua đường dẫn driver.</t>
  </si>
  <si>
    <t>Phát triển hệ thống thông báo ứng tuyển qua email, bao gồm việc thử nghiệm gửi email với mẫu nội dung kèm link tham gia nhóm Zalo.</t>
  </si>
  <si>
    <t>Demo và gửi báo cáo cập nhật toàn bộ các thay đổi để quản lý phê duyệt.</t>
  </si>
  <si>
    <t>Theo dõi và xử lý các vấn đề phát sinh trong quá trình kiểm tra.</t>
  </si>
  <si>
    <t>Chuẩn bị tài liệu hướng dẫn sử dụng, đào tạo, setup bot cho HiChat và Maki.</t>
  </si>
  <si>
    <t>Trước tháng 6/2026</t>
  </si>
  <si>
    <t>Tổ chức 5-7 buổi đào tạo cho đội ngũ triển khai và khách hàng, bao gồm cả việc ghi hình các buổi training để tái sử dụng.</t>
  </si>
  <si>
    <t>Sau khi hoàn thiện tài liệu</t>
  </si>
  <si>
    <t>Hoàn tất chạy thử nghiệm và chỉnh sửa vấn đề trong vòng 2-3 tuần.</t>
  </si>
  <si>
    <t>Cuối tháng 5/2026</t>
  </si>
  <si>
    <t>Thiết lập tích hợp cơ bản giữa hệ thống HiChat và Maki thông qua việc nhảy link đến hệ thống HiChat.</t>
  </si>
  <si>
    <t>Lập tài liệu tham khảo chi tiết từ các dự án trước.</t>
  </si>
  <si>
    <t>Đẩy mạnh chiến dịch marketing tập trung vào việc thu hút khách hàng và chuẩn bị cho công tác cài đặt và triển khai cho đối tác.</t>
  </si>
  <si>
    <t>Chuẩn bị giải pháp cho các yêu cầu tích hợp sâu hơn (liên quan đến API và thiết kế giao diện).</t>
  </si>
  <si>
    <t>Sau khi có đầy đủ thông tin từ đội Product</t>
  </si>
  <si>
    <t>HiChat và Maki sẽ chạy song song, với Maki có một tab dẫn link trực tiếp sang HiChat để tăng tính tiện lợi cho khách hàng.</t>
  </si>
  <si>
    <t>Chỉ yêu cầu tài liệu hướng dẫn sử dụng, không cần nội dung liên quan đến source code.</t>
  </si>
  <si>
    <t>Các vấn đề phức tạp về tích hợp sẽ bàn thảo sau khi đội Product cung cấp thông tin đầy đủ.</t>
  </si>
  <si>
    <t>Quy trình triển khai và đào tạo sẽ hoàn thiện trước tháng 6/2026.</t>
  </si>
  <si>
    <t>Chỉ tập trung bán sản phẩm và dịch vụ tùy chỉnh, không ưu tiên bán SaaS.</t>
  </si>
  <si>
    <t>Cần xử lý và đảm bảo quá trình tích hợp giữa HiChat và Maki đơn giản nhưng không làm giảm trải nghiệm khách hàng.</t>
  </si>
  <si>
    <t>Thời gian triển khai, đào tạo và thu thập phản hồi hơi gấp rút (chỉ khoảng 1 tháng).</t>
  </si>
  <si>
    <t>Tài liệu và sản phẩm cần được hoàn thành đúng hạn để kịp triển khai trước tháng 6/2026.</t>
  </si>
  <si>
    <t>Chưa rõ thiết kế chi tiết tích hợp API, có thể gây chậm trễ trong các bước sau.</t>
  </si>
  <si>
    <t>Gửi tài liệu hướng dẫn sử dụng cho đội ngũ và khách hàng.</t>
  </si>
  <si>
    <t>Hoàn thành kế hoạch đào tạo và bắt đầu tổ chức các buổi training trong thời gian sớm nhất (5-7 buổi).</t>
  </si>
  <si>
    <t>Đẩy mạnh marketing song song với việc chuẩn bị hệ thống cài đặt.</t>
  </si>
  <si>
    <t>Chạy thử nghiệm hệ thống, ghi nhận và xử lý các lỗi trong vòng 2-3 tuần.</t>
  </si>
  <si>
    <t>Tiếp tục phối hợp với đội Product để làm rõ các yêu cầu tích hợp API và chuẩn bị cho những bước tích hợp sâu hơn.</t>
  </si>
  <si>
    <t>Hoàn thiện quy trình setup sản phẩm cho khách hàng, đảm bảo tất cả được kiểm tra và vận hành trơn tru trước khi triển khai chính thức.</t>
  </si>
  <si>
    <t>Cuộc họp ngày 05/05/2026, tập trung vào tiến độ các dự án Go Đà Nẵng, Maki, và Maki Chat, cùng các nhiệm vụ liên quan đến nội dung trên mạng xã hội, blog, và việc mua nhóm (group) để đẩy mạnh tương tác. Mục tiêu chính là hoàn thiện việc research group, xây dựng KPI cụ thể, và tối ưu hóa hoạt động marketing.</t>
  </si>
  <si>
    <t>Hoàn thiện research và đề xuất mua group phù hợp với tiêu chí: số lượng thành viên lớn, tương tác tốt, giá trong khoảng 3-5 triệu VNĐ.</t>
  </si>
  <si>
    <t>Tạo tài khoản LinkedIn riêng cho dự án Marquee.</t>
  </si>
  <si>
    <t>Hoàn thiện nội dung thiếu và chuyển đổi video gốc thành hai tỷ lệ (dọc và ngang) cho các nền tảng Facebook, TikTok và YouTube.</t>
  </si>
  <si>
    <t>Thử nghiệm trước 12h ngày 06/05/2026</t>
  </si>
  <si>
    <t>Phân loại group theo chủ đề: Home, AI, Du lịch,... để hỗ trợ việc quản lý và nghiên cứu.</t>
  </si>
  <si>
    <t>Báo cáo lỗi từ marketing tools (ví dụ: lỗi khi kết nối Instagram và Facebook) để phía dev sửa lỗi.</t>
  </si>
  <si>
    <t>Đăng bài và viết blog đều đặn trên các website của Go Đà Nẵng, Maki, và Maki Chat.</t>
  </si>
  <si>
    <t>2 bài blog/tuần</t>
  </si>
  <si>
    <t>Hoàn thiện hệ thống group vệ tinh của dự án Maki Chat để đăng bài và setting.</t>
  </si>
  <si>
    <t>Training cho nhân viên mới về cách setting bài trong group.</t>
  </si>
  <si>
    <t>Fill thông tin tracking KPI hàng tuần bao gồm 25 bài post và 25 comment trên các group.</t>
  </si>
  <si>
    <t>Hằng tuần</t>
  </si>
  <si>
    <t>Báo cáo lại đầy đủ các công việc đã thực hiện trong tuần.</t>
  </si>
  <si>
    <t>Tối 05/05/2026</t>
  </si>
  <si>
    <t>KPI cho setting group được giữ nguyên: 25 bài post và 25 comment/tuần.</t>
  </si>
  <si>
    <t>Dự án Go Đà Nẵng, Maki, và Maki Chat tập trung vào LinkedIn, Facebook và blog làm các kênh chính.</t>
  </si>
  <si>
    <t>Thêm nhân sự mới (Uyên) vào hỗ trợ dự án Maki Chat.</t>
  </si>
  <si>
    <t>Research group chưa đạt yêu cầu, nhiều group được đề xuất không có tương tác hoặc thiếu thông tin chi tiết.</t>
  </si>
  <si>
    <t>Lỗi kết nối Instagram và Facebook làm chậm tiến độ marketing.</t>
  </si>
  <si>
    <t>Một số thành viên không nắm rõ quy trình setting group, làm việc thiếu hiệu quả.</t>
  </si>
  <si>
    <t>Tài khoản LinkedIn công ty chưa được thiết lập, chỉ đang dùng tài khoản cá nhân để triển khai.</t>
  </si>
  <si>
    <t>Miss task (công việc bị bỏ sót) trong việc đăng bài đa nền tảng, đặc biệt LinkedIn.</t>
  </si>
  <si>
    <t>Hoàn thiện việc research group và lập danh sách đầy đủ theo phân loại chủ đề: Home, AI, du lịch,...</t>
  </si>
  <si>
    <t>Thiết lập tài khoản LinkedIn riêng cho từng dự án (Maki, Maki Chat).</t>
  </si>
  <si>
    <t>Tập trung xử lý lỗi kết nối từ marketing tools và báo dev để sửa nhanh nhất.</t>
  </si>
  <si>
    <t>Xử lý toàn bộ backlog của các video gốc, triển khai thử nghiệm một định dạng video hoàn chỉnh trước hạn.</t>
  </si>
  <si>
    <t>Đẩy mạnh setting và đăng blog lên các website và group tương ứng, đảm bảo không miss KPI.</t>
  </si>
  <si>
    <t>Training các nhân sự mới hoặc lơ mơ về cách setting và flow công việc qua các group phù hợp.</t>
  </si>
  <si>
    <t>Theo dõi và cải thiện hiệu quả các kênh chính (LinkedIn, Facebook) để tăng được lượng theo dõi và liên hệ (list).</t>
  </si>
  <si>
    <t>Kiểm tra lại các token của từng chi nhánh để đảm bảo sự đồng nhất và hiệu quả xử lý thông tin trong hệ thống.</t>
  </si>
  <si>
    <t>Hoàn thiện tính năng quét thông tin, bao gồm xác nhận khuôn mặt và giọng nói để đảm bảo tính chính xác trong quá trình check-in.</t>
  </si>
  <si>
    <t>Khắc phục, thử nghiệm thêm và cải thiện hệ thống tự sinh mã Room ID đối với từng phòng.</t>
  </si>
  <si>
    <t>Theo dõi và xử lý khi gần hết Room ID, liên hệ các bộ phận liên quan để bổ sung kịp thời.</t>
  </si>
  <si>
    <t>Tiếp tục tích hợp tiện ích như order thêm đồ ăn hoặc các dịch vụ đi kèm khác trên hệ thống đặt phòng.</t>
  </si>
  <si>
    <t>Hệ thống tự sinh Room ID chưa được tối ưu, cần chỉnh sửa để đảm bảo không trùng lặp và hoạt động hiệu quả.</t>
  </si>
  <si>
    <t>Tài nguyên tablet chưa thực sự đồng bộ, cần bổ sung hoặc cải thiện sự tương thích với hệ thống đặt phòng.</t>
  </si>
  <si>
    <t>Việc xác nhận thông tin qua các bước quét (khuôn mặt, giọng nói) vẫn cần kiểm tra thêm để đạt độ chính xác cao.</t>
  </si>
  <si>
    <t>Một số khách hàng chưa quen với quy trình đặt phòng hiện tại, dẫn đến khả năng xảy ra lỗi hoặc cần hỗ trợ nhiều hơn.</t>
  </si>
  <si>
    <t>Kiểm tra và hoàn thiện các tính năng liên quan đến token, Room ID và xác nhận thông tin khách hàng.</t>
  </si>
  <si>
    <t>Thực hiện thử nghiệm nội bộ các quy trình như quét khuôn mặt, thanh toán qua QR code, và các bước liên quan để phát hiện lỗi và khắc phục.</t>
  </si>
  <si>
    <t>Tối ưu hóa giao diện đặt phòng để tăng tính trực quan, hỗ trợ khách hàng dễ dàng thao tác hơn.</t>
  </si>
  <si>
    <t>Tiến hành tích hợp các tiện ích bổ sung như dịch vụ order đồ ăn, đồng thời kiểm tra tính tương thích của các tablet đang sử dụng cho hệ thống.</t>
  </si>
  <si>
    <t>Xây dựng quy trình quản lý khi gần hết Room ID và tăng cường đào tạo nhân viên hỗ trợ khách hàng để giải quyết các vấn đề phát sinh.</t>
  </si>
  <si>
    <t>Thanh toán trước các giao dịch liên quan để hệ thống tự động thông báo trạng thái "đã thanh toán".</t>
  </si>
  <si>
    <t>Xử lý hai loại hoạt đơn: biên lai autotick và sức khỏe đơn giản trị gia tăng.</t>
  </si>
  <si>
    <t>Liên hệ thông tin qua lễ tân hoặc nhập thông tin trực tiếp.</t>
  </si>
  <si>
    <t>Autotick biên lai hoạt đơn.</t>
  </si>
  <si>
    <t>Hoạt đơn sức khỏe trị giá gia tăng sẽ có tùy chọn nhập thông tin trực tiếp hoặc thông qua lễ tân.</t>
  </si>
  <si>
    <t>Triển khai quy trình thanh toán trước để đảm bảo hệ thống nhận diện trạng thái "đã thanh toán".</t>
  </si>
  <si>
    <t>Chuẩn bị các bước xử lý song song hai loại hoạt đơn.</t>
  </si>
  <si>
    <t>Cập nhật hệ thống nhập liệu khi cần thông tin ngoại tuyến hoặc qua lễ tân.</t>
  </si>
  <si>
    <t>Xây dựng một hệ thống mới để lưu trữ file `.env` trên hosting (host) trực tiếp thay vì thông qua các thư mục dễ truy cập.</t>
  </si>
  <si>
    <t>Setup lại host để đảm bảo dữ liệu không bị xâm nhập trái phép bằng cách tối ưu cách lưu trữ key và đường dẫn.</t>
  </si>
  <si>
    <t>Phát triển tìm năng cho dự án "Maki" với phương án backup tối ưu trên hosting riêng (Superbay).</t>
  </si>
  <si>
    <t>Hoàn thiện việc gửi tin nhắn thông qua WhatsApp bằng cách nâng cấp tài khoản và liên kết số điện thoại thử nghiệm.</t>
  </si>
  <si>
    <t>Triển khai lại server backend liên quan đến việc xử lý dữ liệu từ Superbay thành hosting nội bộ.</t>
  </si>
  <si>
    <t>từ 5 ngày đến 1 tuần</t>
  </si>
  <si>
    <t>Thêm tính năng cho phép cài đặt phong cách và format tin nhắn trên hệ thống quản lý tin nhắn tự động.</t>
  </si>
  <si>
    <t>Phát hành bản demo sản phẩm dựa trên các cấu hình hiện tại của module liên quan.</t>
  </si>
  <si>
    <t>Gửi cấu hình cần thiết cho server để bắt đầu xây dựng hệ thống mới.</t>
  </si>
  <si>
    <t>Cải thiện hệ thống gửi, nhận thông báo qua Telegram và email.</t>
  </si>
  <si>
    <t>Hosting cho dự án Maki giao phó cho anh quản lý dự án xử lý.</t>
  </si>
  <si>
    <t>Sẽ tự quản lý hosting nội bộ thay vì thuê dịch vụ bên ngoài như Superbay, để tối ưu hóa chi phí và kiểm soát tài nguyên.</t>
  </si>
  <si>
    <t>Số điện thoại rác không được chấp nhận trong quá trình thử nghiệm WhatsApp: phải sử dụng số điện thoại thật, được "nuôi" ít nhất 1 tháng để tránh bị hạn chế.</t>
  </si>
  <si>
    <t>Sẽ hoàn thiện toàn bộ module tin nhắn trong vòng tối đa 10 ngày, bao gồm cả việc test hệ thống demo.</t>
  </si>
  <si>
    <t>Rủi ro rò rỉ file `.env` hoặc thông tin cấu hình khi lưu trữ trực tiếp trên host mà không có biện pháp bảo mật.</t>
  </si>
  <si>
    <t>Dữ liệu trên Google Sheets dễ bị truy cập trái phép nếu không tối ưu hóa bảo mật.</t>
  </si>
  <si>
    <t>Hệ thống WhatsApp có nguy cơ bị hạn chế do sử dụng số điện thoại không phù hợp.</t>
  </si>
  <si>
    <t>Việc xử lý backup quá thường xuyên có thể làm nặng hạ tầng hosting nội bộ.</t>
  </si>
  <si>
    <t>Thời gian xây dựng lại hosting và backend mới có thể kéo dài tới 1 tuần, làm trì hoãn các phần công việc khác.</t>
  </si>
  <si>
    <t>Chuyển giao toàn bộ file `.env` cho quản lý dự án xử lý.</t>
  </si>
  <si>
    <t>Tiến hành setup lại hosting bằng cách triển khai cấu hình server mới, cập nhật chính sách bảo vệ file ẩn.</t>
  </si>
  <si>
    <t>Gửi cấu hình cụ thể của server và hosting để tiến hành kiểm tra, thiết lập hạ tầng mới.</t>
  </si>
  <si>
    <t>Mua số điện thoại thật để test hệ thống tin nhắn và hoàn thiện tính năng demo liên quan.</t>
  </si>
  <si>
    <t>Xây dựng lại backend và optimizations database trong vòng tối đa 1 tuần.</t>
  </si>
  <si>
    <t>Triển khai và hoàn thiện bản demo để sẵn sàng trong vòng từ 5 đến 7 ngày.</t>
  </si>
  <si>
    <t>Tăng cường bảo mật cho các hệ thống đang sử dụng host và kết nối trực tiếp dữ liệu từ Superbay về nội bộ.</t>
  </si>
  <si>
    <t>Đẩy nhanh tiến độ cập nhật tính năng gửi thông báo qua Telegram và email để tích hợp đồng thời.</t>
  </si>
  <si>
    <t>Biên bản này tổng hợp toàn bộ thông tin được đề cập xuyên suốt cuộc họp.</t>
  </si>
  <si>
    <t>Cuộc họp ngày 2026-05-08 xoay quanh kế hoạch phát triển chiến lược tiếp thị và bán sản phẩm, tập trung vào việc tạo nhóm cộng đồng trên các nền tảng như Zalo, Telegram, WhatsApp, xây dựng website, và tối ưu hóa quy trình marketing-sell để tăng hiệu quả hoạt động, đặc biệt trong lĩnh vực cho thuê căn hộ và dịch vụ lưu trú.</t>
  </si>
  <si>
    <t>Hiền tạo nhóm Zalo, Telegram, WhatsApp để bắt đầu phát triển cộng đồng.</t>
  </si>
  <si>
    <t>Đã bắt đầu, tiếp tục update.</t>
  </si>
  <si>
    <t>Tiến add thành viên vào các nhóm cộng đồng sau khi nhóm được tạo.</t>
  </si>
  <si>
    <t>Mua một hoặc nhiều nhóm Facebook liên quan đến căn hộ để làm nền tảng kéo thành viên về nhóm mới.</t>
  </si>
  <si>
    <t>2026-05-15 (Thứ Tư tuần sau).</t>
  </si>
  <si>
    <t>Spam bài viết và comment vào các nhóm Facebook khác để kéo thành viên về nhóm mới.</t>
  </si>
  <si>
    <t>Không đề cập, đang thực hiện.</t>
  </si>
  <si>
    <t>Phân tích các lượng cung căn hộ trên Google Sheets, triển khai crawl data tự động và đẩy lên website.</t>
  </si>
  <si>
    <t>Cải tiến website hiện tại của Wooshik để hiển thị thông tin đầy đủ về cung cấp căn hộ và tương tác trực tiếp với khách hàng.</t>
  </si>
  <si>
    <t>Tạo checklist các công việc và kết quả để review và tối ưu hóa quy trình làm việc.</t>
  </si>
  <si>
    <t>Lên kế hoạch đăng tuyển người cho dự án "Mingle" để thay thế nhân viên hiện tại đã xin rút.</t>
  </si>
  <si>
    <t>Hoàn thiện chức năng MagicChat trên website để hỗ trợ tư vấn khách hàng.</t>
  </si>
  <si>
    <t>Việc xây nhóm Zalo, Telegram, WhatsApp là ưu tiên hàng đầu để thiết lập cộng đồng.</t>
  </si>
  <si>
    <t>Đẩy mạnh việc mua nhóm Facebook hiện có để khai thác lượng thành viên sẵn có.</t>
  </si>
  <si>
    <t>Nhân sự được phân công cụ thể: Hiền chịu trách nhiệm nhóm Yalo; Tiến add thành viên và làm các bài post mẫu.</t>
  </si>
  <si>
    <t>Quy trình sẽ bao gồm 2 mảng: spam bài viết và tự động hóa việc thu thập thông tin từ các nguồn.</t>
  </si>
  <si>
    <t>Quy định KPI cụ thể cho nhân viên liên quan đến số lượng bài post và comment.</t>
  </si>
  <si>
    <t>Đội ngũ hiện tại thiếu nhân sự cứng cáp, nhân viên chính của dự án xin rút dẫn đến nguy cơ thiếu người phụ trách.</t>
  </si>
  <si>
    <t>Quy trình chưa tối ưu, các công việc của từng cá nhân chưa được định hình rõ ràng.</t>
  </si>
  <si>
    <t>Khó khăn trong việc tăng thành viên cho các nhóm cộng đồng mới vì cần thêm thời gian và effort spam bài viết.</t>
  </si>
  <si>
    <t>Rủi ro khi phát triển cộng đồng quốc tế do chưa có cách tiếp cận hiệu quả với các cộng tác viên nước ngoài.</t>
  </si>
  <si>
    <t>Website hiện tại chưa được tối ưu hóa, chưa hỗ trợ tốt cho khách hàng trong việc tra cứu thông tin và booking tự động.</t>
  </si>
  <si>
    <t>Hoàn thiện việc tạo nhóm Zalo, WhatsApp, Telegram và bắt đầu kéo thành viên vào các nhóm.</t>
  </si>
  <si>
    <t>Tiến hành mua nhóm Facebook phù hợp để thúc đẩy lượng thành viên.</t>
  </si>
  <si>
    <t>Đẩy mạnh việc spam bài viết và comment để thu hút khách hàng và cộng tác viên mới.</t>
  </si>
  <si>
    <t>Xây dựng và hoàn thiện website Wooshik, tích hợp MagicChat và crawl dữ liệu từ các nguồn Google Sheets gửi về.</t>
  </si>
  <si>
    <t>Tiến hành tuyển dụng nhân sự mới để thay thế các cá nhân đã xin rút.</t>
  </si>
  <si>
    <t>Tổ chức các buổi meeting định kỳ (2 lần/tuần) để cập nhật tiến độ, review checklist, và optimize quy trình làm việc.</t>
  </si>
  <si>
    <t>Phân tích và xây dựng bài mẫu post marketing để Tiến gửi cho các nhân viên thực hiện theo.</t>
  </si>
  <si>
    <t>Theo dõi và đánh giá hiệu quả trong việc chạy spam marketing, từ đó điều chỉnh chiến lược triển khai phù hợp.</t>
  </si>
  <si>
    <t>Mọi thông tin chưa rõ sẽ được theo dõi, tiếp tục tối ưu trong các buổi họp sau.</t>
  </si>
  <si>
    <t>Cuộc họp ngày 2026-05-08 tập trung thảo luận về hệ thống crawl dữ liệu từ các group Facebook và LinkedIn. Mục tiêu chính là đảm bảo tính chính xác, tối ưu quy trình crawl dữ liệu, xây dựng hệ thống dashboard quản lý dữ liệu, và thiết lập cơ chế đánh giá hiệu suất làm việc (KPI) liên quan đến việc crawl và tương tác trên social media.</t>
  </si>
  <si>
    <t>Xây dựng tính năng crawl dữ liệu tự động từ Facebook Group và LinkedIn</t>
  </si>
  <si>
    <t>Thiết kế lại giao diện hệ thống crawl trên cơ sở tập trung vào một giao diện dùng chung</t>
  </si>
  <si>
    <t>Phát triển dashboard hiển thị:</t>
  </si>
  <si>
    <t>- Số lượng group LinkedIn/Facebook và các bài viết liên quan.</t>
  </si>
  <si>
    <t>- Số lượng follwers, lượt tương tác (like, comment).</t>
  </si>
  <si>
    <t>- Bảng xếp hạng KPI theo user (số lượng comment đạt được theo tuần).</t>
  </si>
  <si>
    <t>Tích hợp logic kiểm tra và cập nhật trạng thái nhóm (public, active/inactive).</t>
  </si>
  <si>
    <t>Tự động hóa quá trình kiểm tra tài khoản, cung cấp dữ liệu cookie mới cho hoạt động crawl để tránh bị chặn.</t>
  </si>
  <si>
    <t>Xây dựng hệ thống ghi nhận và hiển thị số lượng bài viết đã được comment, ghi nhận user thực hiện comment.</t>
  </si>
  <si>
    <t>Kiểm tra và cải thiện hiệu suất crawl dữ liệu, bao gồm tối ưu cơ chế để tránh bị Facebook đánh dấu là bot.</t>
  </si>
  <si>
    <t>Bổ sung khả năng lọc và hiển thị chi tiết dữ liệu crawl trên giao diện.</t>
  </si>
  <si>
    <t>Yêu cầu team Marketing cung cấp nội dung comment mẫu để sử dụng thử nghiệm nội bộ.</t>
  </si>
  <si>
    <t>Thực hiện chạy thử nghiệm trên thực tế, lấy dữ liệu từ các nhóm thực tế và ghi nhận kết quả.</t>
  </si>
  <si>
    <t>Chuẩn bị video hướng dẫn sử dụng và quy trình thao tác.</t>
  </si>
  <si>
    <t>Dùng chung một giao diện crawl dữ liệu, tất cả các tính năng được tập trung về cùng một hệ thống.</t>
  </si>
  <si>
    <t>KPI cho mỗi user: Mỗi tuần cần tối thiểu 100 bình luận trên các bài viết đã được crawl.</t>
  </si>
  <si>
    <t>Số liệu followers, tương tác, và comment sẽ được tự động cập nhật và hiển thị trên dashboard.</t>
  </si>
  <si>
    <t>Xây dựng hệ thống quản lý group tự động, ghi nhận trạng thái (public/private, hoạt động hay không).</t>
  </si>
  <si>
    <t>Test hệ thống và hoàn thiện trước khi chuyển giao cho người dùng cuối.</t>
  </si>
  <si>
    <t>Khả năng bị Facebook/LinkedIn chặn khi crawl quá nhiều dữ liệu tự động.</t>
  </si>
  <si>
    <t>Hiệu suất xử lý crawl chậm trong trường hợp khối lượng dữ liệu lớn.</t>
  </si>
  <si>
    <t>Rủi ro tài khoản bị đánh dấu hoặc khóa nếu thực hiện login nhiều lần liên tục bằng cùng một tài khoản.</t>
  </si>
  <si>
    <t>Phụ thuộc lớn vào API/actor của bên thứ ba, cần có kế hoạch backup nếu có lỗi xảy ra.</t>
  </si>
  <si>
    <t>Chưa có đánh giá rõ ràng về bảo mật khi trực tiếp login bằng tài khoản người dùng.</t>
  </si>
  <si>
    <t>Phân công các nhóm hoàn thành từng action item.</t>
  </si>
  <si>
    <t>Tạm thời thống nhất tập trung thử nghiệm crawl group Facebook và LinkedIn thực tế.</t>
  </si>
  <si>
    <t>Thống nhất với team Marketing về nội dung comment mẫu và KPI đánh giá hiệu quả sử dụng hệ thống.</t>
  </si>
  <si>
    <t>Chốt các lỗi phát sinh khi thử nghiệm crawl dữ liệu, ghi nhận tối ưu giao diện cuối cùng.</t>
  </si>
  <si>
    <t>Thực hiện thử nghiệm quản lý và cập nhật dashboard KPI sau 1-2 tuần chạy thử thực tế.</t>
  </si>
  <si>
    <t>Chuẩn bị tài liệu hướng dẫn sử dụng và video demo chi tiết quy trình.</t>
  </si>
  <si>
    <t>Sau khi hoàn thiện, chuyển giao hệ thống cho các nhóm dùng thử, tiếp nhận phản hồi hoàn thiện thêm.</t>
  </si>
  <si>
    <t>Cuộc họp ngày 04/05/2026 tập trung vào nhiều nội dung liên quan đến phát triển công nghệ AI, tối ưu hóa quy trình vận hành, và xây dựng các giải pháp cụ thể trên nền tảng GitHub, quản lý nhóm, và các công cụ truyền thông, marketing. Mục tiêu chính là phân tích, triển khai các công việc liên quan đến AI, video hướng dẫn, tối ưu hóa data từ các nhóm trực tuyến, và phát triển các tính năng mới thuộc dự án.</t>
  </si>
  <si>
    <t>Xây dựng hệ thống so sánh các tính năng từ các tool open source trên GitHub.</t>
  </si>
  <si>
    <t>Tìm và liệt kê các repository nổi bật từ GitHub, tối thiểu 3-5 repo để so sánh và tinh chỉnh.</t>
  </si>
  <si>
    <t>Phát triển tính năng liên quan đến "công ty một người vận hành" dựa trên AI, tập trung vào việc vận hành tự động và hiệu quả.</t>
  </si>
  <si>
    <t>Xây dựng 2 video hướng dẫn:</t>
  </si>
  <si>
    <t>- Video 1: Điểm mạnh, tính năng, công dụng của công cụ.</t>
  </si>
  <si>
    <t>- Video 2: Hướng dẫn setup và sử dụng cụ thể.</t>
  </si>
  <si>
    <t>Chuyển giao giao diện và code để đồng bộ với phía đối tác, tận dụng framework mà đối tác đang sử dụng.</t>
  </si>
  <si>
    <t>Crawl và phân tích dữ liệu từ ít nhất 10 nhóm (group) trên Facebook liên quan đến "Autoworkload Enterment."</t>
  </si>
  <si>
    <t>Lên danh sách các nhóm (group) Facebook và trang fanpage, bao gồm:</t>
  </si>
  <si>
    <t>- Tên group/trang fanpage.</t>
  </si>
  <si>
    <t>- Số lượng thành viên/followers.</t>
  </si>
  <si>
    <t>- Link truy cập.</t>
  </si>
  <si>
    <t>Theo dõi xu hướng trên các kênh Facebook, YouTube và LinkedIn:</t>
  </si>
  <si>
    <t>- Lên danh sách các kênh có nội dung liên quan đến công nghệ.</t>
  </si>
  <si>
    <t>- Liệt kê thông tin chi tiết như link và số lượng followers.</t>
  </si>
  <si>
    <t>Phát triển tính năng trích xuất dữ liệu từ đối thủ cạnh tranh và các kênh quảng cáo.</t>
  </si>
  <si>
    <t>Hoàn thiện tính năng "Trend Rift" và bổ sung các cột dữ liệu cần thiết (link video, trend và summary).</t>
  </si>
  <si>
    <t>Liệt kê các tính năng chính của giải pháp marketing CDP (Customer Data Platform), sau đó phân loại để triển khai theo mức độ ưu tiên.</t>
  </si>
  <si>
    <t>Tích hợp AI vào phần quản lý dự án và lập kế hoạch (project manager/planner).</t>
  </si>
  <si>
    <t>Chuyển giao code và giao diện cho đối tác, sử dụng code framework của đối tác để tối ưu thời gian chỉnh sửa.</t>
  </si>
  <si>
    <t>Phát triển 2 video hướng dẫn (giới thiệu và setup), đây là task quan trọng (critical task).</t>
  </si>
  <si>
    <t>Tăng tốc triển khai việc crawl và phân tích dữ liệu từ các nhóm Facebook trong tuần này, tối ưu dần các quy trình vào tuần kế tiếp.</t>
  </si>
  <si>
    <t>Hệ thống tự động comment trong các nhóm chưa khả thi, vẫn cần thực hiện thủ công.</t>
  </si>
  <si>
    <t>Việc đồng bộ giao diện/code với đối tác có thể bị trì hoãn nếu họ thay đổi framework.</t>
  </si>
  <si>
    <t>Một số tính năng CDP và AI tích hợp vẫn chưa có đủ thông tin cụ thể để triển khai.</t>
  </si>
  <si>
    <t>Hoàn thiện danh sách các repository từ GitHub và so sánh các tính năng để quyết định repo nào phù hợp nhất.</t>
  </si>
  <si>
    <t>Triển khai sản xuất và chỉnh sửa 2 video hướng dẫn đúng theo kịch bản đề ra.</t>
  </si>
  <si>
    <t>Crawl và lập bảng phân tích dữ liệu từ các nhóm Facebook, tiếp tục tối ưu quy trình và chi phí.</t>
  </si>
  <si>
    <t>Tập trung lên danh sách các kênh YouTube, Facebook, LinkedIn liên quan để theo dõi xu hướng và bổ sung vào quy trình marketing.</t>
  </si>
  <si>
    <t>Liệt kê và phân loại tính năng CDP, trình bày cho team để quyết định thứ tự triển khai.</t>
  </si>
  <si>
    <t>Ưu tiên xây dựng tính năng AI trong quản lý dự án và lập kế hoạch trên web.</t>
  </si>
  <si>
    <t>Kiểm tra và cập nhật tiến trình liên quan đến việc tích hợp giao diện với đối tác.</t>
  </si>
  <si>
    <t>Phân công Hoàng triển khai chính HTML | Không đề cập deadline.</t>
  </si>
  <si>
    <t>Xây dựng KPI theo tiến độ comment, số lượng nội dung và thiết kế luồng tích hợp dữ liệu | Không đề cập deadline.</t>
  </si>
  <si>
    <t>Thiết kế lại phần "Intent" để gắn nhãn rõ ràng theo từng nhóm (như AI, Google Advanced) | Không đề cập deadline.</t>
  </si>
  <si>
    <t>Tạo thành viên và nhóm trên platform, thêm tính năng tự động cập nhật | Không đề cập deadline.</t>
  </si>
  <si>
    <t>Triển khai hệ thống dữ liệu tự động từ Google Sheet và Yellow (hình ảnh) lên website Go Đà Nẵng | Không đề cập deadline.</t>
  </si>
  <si>
    <t>Phân bổ hai bạn thực hiện việc lọc và tích hợp dữ liệu API cho ứng dụng Marquee | Không đề cập deadline.</t>
  </si>
  <si>
    <t>BA chốt lại các tính năng liên quan, sửa slide báo giá và tính năng website khách sạn</t>
  </si>
  <si>
    <t>sớm nhất có thể.</t>
  </si>
  <si>
    <t>Cập nhật tài liệu chuẩn bị cho dự án với nhóm BA và V.I. để họp nội bộ vào tối cùng ngày</t>
  </si>
  <si>
    <t>Xây dựng bảng quản lý bổ sung (sheet leader) để theo dõi toàn bộ tiến độ các dự án | Không đề cập deadline.</t>
  </si>
  <si>
    <t>Hoàn thiện QR code và thông tin liên lạc (Google Maps, Gmail) cho Marquee | Không đề cập deadline.</t>
  </si>
  <si>
    <t>Chuẩn bị kế hoạch thanh toán KPI và các khoản chi phí cho nhân viên, hoàn tất trước ngày 10/05/2026</t>
  </si>
  <si>
    <t>**</t>
  </si>
  <si>
    <t>Hoàng sẽ là người chính chịu trách nhiệm triển khai HTML.</t>
  </si>
  <si>
    <t>Các bạn làm công cụ riêng sẽ chỉ follow theo và không triển khai chính.</t>
  </si>
  <si>
    <t>Chốt báo giá nội bộ cho các tính năng đơn giản website khách sạn ở mức 300 triệu đồng.</t>
  </si>
  <si>
    <t>Thống nhất việc triển khai tính năng đồng bộ OTA và gói gọn UI/UX để phù hợp ngân sách.</t>
  </si>
  <si>
    <t>Quy chế KPI cho nhân viên: Thưởng ngay khi có sản phẩm hoàn thiện được sử dụng.</t>
  </si>
  <si>
    <t>Công ty giữ mức % trong các dự án khoảng 50%, phần còn lại chia cho các nhóm nhân viên.</t>
  </si>
  <si>
    <t>Đề xuất phương pháp quản lý tập trung qua file leader để theo dõi tiến độ dễ dàng.</t>
  </si>
  <si>
    <t>Dữ liệu làm việc giữa các cá nhân có khả năng không đồng bộ, gây chậm tiến độ.</t>
  </si>
  <si>
    <t>Việc sử dụng nhiều nhân sự cho cùng một tính năng có thể dẫn đến khó quản lý.</t>
  </si>
  <si>
    <t>Chưa có quyết định chính thức về một số tính năng phức tạp (như tích hợp API hoặc đồng bộ OTA), cần BA chốt lại.</t>
  </si>
  <si>
    <t>Thời hạn thanh toán KPI và các khoản chi phí đang rất gần (ngày 10/05) nhưng việc kiểm soát danh sách chưa rõ ràng.</t>
  </si>
  <si>
    <t>Một số nhóm chưa có template cụ thể, cần giải quyết vấn đề thiết kế và luồng dữ liệu.</t>
  </si>
  <si>
    <t>Hoàng triển khai HTML và trong quá trình cần cập nhật tiến độ thường xuyên.</t>
  </si>
  <si>
    <t>Thiết kế lại luồng Intent và nhóm tính năng liên quan đến các dự án.</t>
  </si>
  <si>
    <t>Gửi tài liệu họp nội bộ cho BA và nhóm V.I., đồng thời tổ chức họp vào tối ngày 08/05/2026.</t>
  </si>
  <si>
    <t>Cập nhật danh sách KPI nhân sự và hoàn tất thanh toán trước ngày 10/05/2026.</t>
  </si>
  <si>
    <t>Lập bảng quản lý tập trung (sheet leader) để dễ dàng theo dõi tiến độ dự án cho tất cả các nhóm.</t>
  </si>
  <si>
    <t>Giải quyết vấn đề kết nối dữ liệu tự động giữa Google Sheet và Yellow với website Go Đà Nẵng.</t>
  </si>
  <si>
    <t>Báo giá chi tiết cho các dự án lớn như khách sạn và villa, đồng bộ với team liên quan để chuẩn bị triển khai.</t>
  </si>
  <si>
    <t>Thống nhất và chốt lại tính năng website khách sạn trước khi báo giá cho khách hàng.</t>
  </si>
  <si>
    <t>Phân bổ công việc cho các nhóm làm API và microdata tích hợp.</t>
  </si>
  <si>
    <t>Liên hệ Hoàng để phối hợp thực hiện các bài đăng và cập nhật bài viết.</t>
  </si>
  <si>
    <t>Thương cung cấp danh sách link bài viết tuyển dụng, lọc các bài có tương tác cao nhất.</t>
  </si>
  <si>
    <t>Huấn kiểm tra và đảm bảo comment trên bài viết có được gắn UTM, đồng thời xử lý việc bài đăng bị gắn dạng spam.</t>
  </si>
  <si>
    <t>Xử lý chiến lược chuyển hướng tương tác từ bài đăng sang fanpage, website.</t>
  </si>
  <si>
    <t>Thương lọc các bài viết với số lượng comment cao hoặc theo nội dung để lên kế hoạch comment cụ thể.</t>
  </si>
  <si>
    <t>Hoàn thiện tự động hóa quy trình gửi email khi có nhân sự mới và phân bổ nhân sự vào các nhóm phù hợp (Team Dev, Marketing, Sales).</t>
  </si>
  <si>
    <t>Cắt chỉnh lại video theo từng phần và thêm các câu hỏi trắc nghiệm đánh giá.</t>
  </si>
  <si>
    <t>Xem xét và kiểm tra KPI của nhân sự level 1, đảm bảo loại trừ những trường hợp không đạt yêu cầu.</t>
  </si>
  <si>
    <t>Thương chuẩn bị survey và chuyển đổi từ Google Forms sang website phục vụ quy trình đánh giá và nâng cấp level.</t>
  </si>
  <si>
    <t>Kiểm tra và update thông tin nhóm PMI để đẩy lên hệ thống.</t>
  </si>
  <si>
    <t>Thương làm UTM link phân loại nguồn bài đăng của Hân, đồng thời tự động hóa các quy trình lên website.</t>
  </si>
  <si>
    <t>Mỗi bài viết đăng lên chỉ cần một comment để tối ưu tương tác.</t>
  </si>
  <si>
    <t>Duy trì KPI và quy định kiểm tra hiệu quả trong vòng 1 tháng. Nhân sự không đạt KPI sẽ bị loại ra khỏi nhóm.</t>
  </si>
  <si>
    <t>Quy trình automation chuyển đổi từ Google Forms sang website để nâng cao hiệu quả quản lý đánh giá.</t>
  </si>
  <si>
    <t>Video phân đoạn phải đi kèm câu hỏi trắc nghiệm giúp đánh giá khả năng của nhân sự trước khi giao nhiệm vụ.</t>
  </si>
  <si>
    <t>Các bài viết tương tác tốt nhất phải được lọc mỗi tuần để đảm bảo nội dung hướng đến đúng đối tượng mục tiêu.</t>
  </si>
  <si>
    <t>Tình trạng comment bị gắn dạng spam có thể ảnh hưởng đến chiến dịch.</t>
  </si>
  <si>
    <t>Hệ thống tự động hiện tại có hạn chế trong việc chọn ngành từ survey, dẫn đến không tối ưu việc phân bổ nhân sự.</t>
  </si>
  <si>
    <t>Thiếu nhân sự ở mảng Network và System tại Đà Nẵng; vấn đề quản lý CV và phối hợp tuyển dụng chưa rõ ràng.</t>
  </si>
  <si>
    <t>Việc quản lý KPI chưa được leader kiểm soát chặt chẽ, dẫn đến nguy cơ KPI thấp kéo dài.</t>
  </si>
  <si>
    <t>Hoàn thiện việc phối hợp giữa các thành viên (Thương, Hoàng, Huấn, Hân) để thực hiện bài đăng và xử lý tương tác.</t>
  </si>
  <si>
    <t>Xử lý các vấn đề liên quan đến UTM link để tránh tình trạng spam.</t>
  </si>
  <si>
    <t>Làm video mới phân đoạn, bổ sung câu hỏi trắc nghiệm và gửi lại bản hoàn chỉnh.</t>
  </si>
  <si>
    <t>Nâng cấp quy trình tuyển dụng, tối ưu hóa survey và chuyển đổi lên hệ thống website.</t>
  </si>
  <si>
    <t>Lọc nội dung bài viết có tương tác cao mỗi tuần để định hướng chiến lược comment.</t>
  </si>
  <si>
    <t>Xác minh KPI nhân sự trong vòng 1 tháng với các bước kiểm tra rõ ràng, leader phải chịu trách nhiệm giám sát.</t>
  </si>
  <si>
    <t>Triển khai hệ thống tự động gửi email và phân bổ nhân sự mới vào các nhóm cụ thể.</t>
  </si>
  <si>
    <t>Tổ chức thêm buổi họp để giải quyết vấn đề thiếu nhân sự trong mảng Network và System tại Đà Nẵng.</t>
  </si>
  <si>
    <t>Tiếp tục thử nghiệm và hoàn thiện phần tự động hóa liên quan đến UTM link bài đăng và quy trình automation trên hệ thống web.</t>
  </si>
  <si>
    <t>Cuộc họp khép lại với các nhiệm vụ được phân bổ rõ ràng và kế hoạch cụ thể cho tuần tiếp theo.</t>
  </si>
  <si>
    <t>Cuộc họp tập trung vào việc cập nhật tiến độ các dự án (Marquee, Capstone và Cao Sơn), trao đổi về các tính năng phần mềm (KPI cho admin, user), quảng cáo trên Google/Shopee và tối ưu hóa kênh YouTube của team. Đồng thời, các quy trình dành cho team intern và BA cũng được thảo luận để cải thiện hiệu quả làm việc.</t>
  </si>
  <si>
    <t>Hoàn thiện tính năng "KPI cho admin" trong dự án Marquee. | **Deadline:** Trong tuần.</t>
  </si>
  <si>
    <t>Phát triển quy trình quảng cáo Google và Shopee (ưu tiên báo cáo cụ thể từ Shopee và tối ưu hóa mẫu quảng cáo để áp dụng cho Marquee).</t>
  </si>
  <si>
    <t>Xem xét cấp quyền quản lý/kPI cho khách hàng sau khi hoàn thành bước kiểm tra quy trình vận hành.</t>
  </si>
  <si>
    <t>Triển khai bảng survey đánh giá để xem xét việc up level cho các thành viên intern. | **Deadline:** Hoàn thành trước ngày 20/05.</t>
  </si>
  <si>
    <t>Cải thiện hệ thống kênh YouTube của team:</t>
  </si>
  <si>
    <t>- Tổ chức playlist (playlist riêng cho intern, intern làm xong sẽ được duyệt để chuyển public).</t>
  </si>
  <si>
    <t>- Tối ưu hóa kênh YouTube bằng cách bổ sung link website và banner.</t>
  </si>
  <si>
    <t>- Nghiên cứu các tips tối ưu kênh YouTube và ứng dụng vào các nội dung đã sản xuất.</t>
  </si>
  <si>
    <t>Kiểm tra và sửa các quyền trên Google Cloud đối với các tài liệu và video hướng dẫn.</t>
  </si>
  <si>
    <t>Đẩy tiếp tính năng "summary video từ Facebook" để test AI và đánh giá chi phí.</t>
  </si>
  <si>
    <t>Kiểm tra lại các tính năng đã triển khai trong các dự án (list task critical từ phía Dev).</t>
  </si>
  <si>
    <t>Tập trung hoàn thiện chức năng "KPI cho admin" trong dự án Marquee để admin có thể quản lý tổng thể.</t>
  </si>
  <si>
    <t>Chạy thử nghiệm quảng cáo Google và Shopee sau khi báo cáo được duyệt.</t>
  </si>
  <si>
    <t>Intern phải tham gia survey đánh giá hàng tháng (nếu có đủ điều kiện để up level).</t>
  </si>
  <si>
    <t>Mọi playlist video của intern phải được duyệt trước khi chuyển sang trạng thái public.</t>
  </si>
  <si>
    <t>BA sẽ đóng vai trò hỗ trợ gián tiếp, không cần tác động sâu vào quy trình vận hành nếu quy trình hiện tại đã ổn định.</t>
  </si>
  <si>
    <t>Cần tối ưu hóa quy trình vận hành quảng cáo để dễ dàng áp dụng cho các dự án lớn như Marquee.</t>
  </si>
  <si>
    <t>Rủi ro từ việc chia nhỏ vai trò của BA, có thể gây trùng lặp hoặc thiếu sót trong quản lý thông tin nếu không có sự phối hợp tốt.</t>
  </si>
  <si>
    <t>Video kênh YouTube hiện tại còn lộn xộn, thiếu tổ chức playlist và tối ưu hóa (vd: không có banner).</t>
  </si>
  <si>
    <t>Test tính năng dùng AI để tóm tắt video Facebook có thể phát sinh chi phí cao nếu không kiểm soát hợp lý.</t>
  </si>
  <si>
    <t>Hoàn thiện ngay các tính năng "KPI cho admin" và "KPI cho user" trong dự án Marquee để kịp đánh giá trong tuần.</t>
  </si>
  <si>
    <t>Báo cáo rõ ràng quy trình quảng cáo trên Google và Shopee, sau đó chuyển giao quy trình này để triển khai trên Marquee.</t>
  </si>
  <si>
    <t>Triển khai survey đánh giá performance của intern, hoàn thành bước report trước ngày 20/05.</t>
  </si>
  <si>
    <t>Cập nhật và tổ chức lại hệ thống kênh YouTube:</t>
  </si>
  <si>
    <t>- Phân playlist theo tháng hoặc đợt intern.</t>
  </si>
  <si>
    <t>- Tối ưu hóa kênh (ví dụ: thêm banner, link website).</t>
  </si>
  <si>
    <t>Test tính năng sử dụng AI để tóm tắt video, báo cáo chi phí và kết quả cho team.</t>
  </si>
  <si>
    <t>Tiếp tục kiểm tra lại việc triển khai task critical từ các file meeting trước và xử lý các task chưa hoàn thành.</t>
  </si>
  <si>
    <t>Kiểm tra và xác nhận tính năng "Booking Engine", đảm bảo khả năng đồng bộ hóa dữ liệu với các kênh OTA.</t>
  </si>
  <si>
    <t>Xác định xem tính năng OTP qua SMS, hình ảnh hay email có yêu cầu triển khai hay không.</t>
  </si>
  <si>
    <t>Tối ưu hiệu suất PageSpeed của trang chủ để đáp ứng yêu cầu khách hàng.</t>
  </si>
  <si>
    <t>Điều chỉnh và gửi lại báo giá chi tiết, đơn giản hơn, dễ hiểu hơn cho khách hàng. Các phần không cần thiết (hạ tầng, testing, QA, CICD) nên được loại bỏ.</t>
  </si>
  <si>
    <t>Trong hôm nay</t>
  </si>
  <si>
    <t>Chỉnh sửa và xác minh phần tính năng không đồng bộ giữa trang MakiChat và website, đảm bảo kết nối dữ liệu.</t>
  </si>
  <si>
    <t>Tích hợp tính năng hi-chat vào hệ thống MakiChat, thử nghiệm và đảm bảo tất cả các kết nối chính xác.</t>
  </si>
  <si>
    <t>Phân công 4 người (Tiên, Thảo và 2 thành viên khác) vào nhóm thử nghiệm MakiChat.</t>
  </si>
  <si>
    <t>Đảm bảo hệ thống MakiChat và các trang liên quan có sự dẫn link đầy đủ giữa các tính năng.</t>
  </si>
  <si>
    <t>Loại bỏ một số phần phức tạp như hạ tầng, QA, CICD trong báo giá để khách hàng dễ hiểu hơn.</t>
  </si>
  <si>
    <t>Phân công Tiên, Thảo và 2 thành viên khác phụ trách thử nghiệm MakiChat.</t>
  </si>
  <si>
    <t>Ưu tiên hoàn thiện và tối ưu hóa PageSpeed của trang chủ trong giai đoạn đầu.</t>
  </si>
  <si>
    <t>Việc đồng bộ OTA và khả năng đảm bảo tự động cập nhật giờ/phòng đặt giữa các kênh và website vẫn đang gặp khó khăn, chưa có giải pháp rõ ràng.</t>
  </si>
  <si>
    <t>Một số tính năng trong báo giá chưa thực sự khả thi hoặc chưa được estimate chính xác gây ảnh hưởng đến khả năng thực hiện.</t>
  </si>
  <si>
    <t>Hạn chế trong việc đồng bộ và liên kết dữ liệu giữa trang MakiChat và website khiến tính năng chưa hoạt động mượt mà.</t>
  </si>
  <si>
    <t>Một số phần báo giá hiện tại vẫn còn phức tạp, không dễ hiểu đối với cả khách hàng và nhân sự nội bộ.</t>
  </si>
  <si>
    <t>Xác minh và hoàn thiện tính năng booking, đồng bộ OTA, bao gồm việc kiểm tra liên kết dữ liệu giữa các hệ thống.</t>
  </si>
  <si>
    <t>Hoàn thiện tính năng và tối ưu PageSpeed cho trang chủ theo đúng yêu cầu khách hàng.</t>
  </si>
  <si>
    <t>Điều chỉnh, đơn giản hóa báo giá và gửi lại trong ngày. Đảm bảo các hạng mục rõ ràng, dễ hiểu, loại bỏ những phần không cần thiết hoặc dư thừa.</t>
  </si>
  <si>
    <t>Phân công nhân sự thử nghiệm MakiChat, báo cáo kết quả để tiếp tục tích hợp tính năng hi-chat.</t>
  </si>
  <si>
    <t>Tích cực liên hệ với các bên liên quan để tìm hiểu giải pháp về đồng bộ OTA và estimate lại chi phí.</t>
  </si>
  <si>
    <t>Hoàn thiện việc dẫn link giữa trang MakiChat và website để đồng bộ hóa tất cả các tính năng.</t>
  </si>
  <si>
    <t>Cuộc họp diễn ra ngày 11/05/2026, kéo dài 21 phút, với 2 người tham gia. Chủ đề chính xoay quanh việc triển khai và tích hợp các tính năng của các ứng dụng/công cụ như Monkey Chat, HiChat, Marquee AI và các hệ thống liên quan. Mục đích là tối ưu hóa các sản phẩm, nâng cao tính năng, và lên kế hoạch phát hành.</t>
  </si>
  <si>
    <t>Tích hợp toàn bộ tính năng của HiChat vào Marquee AI.</t>
  </si>
  <si>
    <t>Bê nguyên code gốc và tính năng của Monkey Chat để triển khai trong Marquee.</t>
  </si>
  <si>
    <t>Thêm một trang giới thiệu tổng quan về hệ thống Marquee, kèm nút liên kết với trang chủ.</t>
  </si>
  <si>
    <t>Tích hợp tất cả các tính năng hiện có của HiChat, ChatWalk, và các công cụ khác vào Marquee, đồng thời thử nghiệm tính năng.</t>
  </si>
  <si>
    <t>Đẩy toàn bộ dữ liệu lưu trú gồm villa, apartment, homestay và hostel vào hệ thống mới, cập nhật tên và thông tin rõ ràng.</t>
  </si>
  <si>
    <t>Sửa lỗi tính năng chatbox đã được yêu cầu trước đó và cập nhật thông tin video.</t>
  </si>
  <si>
    <t>Hoàn thiện các hoạt động viral theo từng mùa tại địa phương (ví dụ: Đà Nẵng, mùa hè) và hiển thị lên hệ thống.</t>
  </si>
  <si>
    <t>Thử nghiệm tính năng liên kết và đăng ký tài khoản trên Marquee AI, đồng thời đảm bảo hiển thị chính xác dữ liệu khách hàng.</t>
  </si>
  <si>
    <t>Cập nhật thêm bộ lọc thông tin để gợi ý tour hoặc villa dựa trên nhu cầu khách hàng.</t>
  </si>
  <si>
    <t>Sửa lỗi BE để nhận thông tin khách hàng và cập nhật thông báo phản hồi khi hệ thống nhận thông tin.</t>
  </si>
  <si>
    <t>Cải thiện giao diện trang lưu trú để tránh nhầm lẫn về loại hình lưu trú.</t>
  </si>
  <si>
    <t>Chuẩn bị thông báo deadline cho tất cả các công việc đã giao, bao gồm link demo các tính năng trong vòng một ngày.</t>
  </si>
  <si>
    <t>Một ngày (đối với link demo các tính năng).</t>
  </si>
  <si>
    <t>Toàn bộ tính năng của các ứng dụng HiChat, Monkey Chat và ChatWalk sẽ được tích hợp lên Marquee AI.</t>
  </si>
  <si>
    <t>Tất cả công việc liên quan đến hệ thống lưu trú sẽ bao gồm villa, apartment, homestay và hostel.</t>
  </si>
  <si>
    <t>Bổ sung trang giới thiệu và các nút liên kết trên Marquee.</t>
  </si>
  <si>
    <t>Deadline cho các link demo tính năng được ấn định trong vòng một ngày.</t>
  </si>
  <si>
    <t>Lỗi BE khiến dữ liệu khách hàng không hiển thị sau khi đăng nhập.</t>
  </si>
  <si>
    <t>Tính năng phản hồi khi nhận thông tin của khách hàng chưa được rõ ràng.</t>
  </si>
  <si>
    <t>Hệ thống lưu trú chưa phù hợp, cần chỉnh sửa để tránh nhầm lẫn (chỉ hiển thị villa mà không đề cập đến các loại hình khác như homestay hoặc apartment).</t>
  </si>
  <si>
    <t>Video và lỗi trên chatbox chưa được xử lý triệt để, gây ảnh hưởng đến trải nghiệm người dùng.</t>
  </si>
  <si>
    <t>Các tính năng cần thử nghiệm để đảm bảo không có sự trùng lặp hoặc lỗi phát sinh.</t>
  </si>
  <si>
    <t>Tích hợp và thử nghiệm toàn bộ tính năng của Monkey Chat, HiChat, ChatWalk vào Marquee AI.</t>
  </si>
  <si>
    <t>Cập nhật hệ thống lưu trú và hoàn thiện giao diện để hiển thị rõ ràng thông tin của villa, apartment, homestay và hostel.</t>
  </si>
  <si>
    <t>Sửa lỗi BE để đảm bảo dữ liệu khách hàng hiển thị đầy đủ, đồng thời thêm phản hồi sau khi nhận thông tin.</t>
  </si>
  <si>
    <t>Thêm các bộ lọc gợi ý (tour, villa, combo) và cập nhật nội dung theo từng mùa.</t>
  </si>
  <si>
    <t>Hoàn thiện demo tính năng và gửi deadline theo kế hoạch đã thống nhất (link trong một ngày).</t>
  </si>
  <si>
    <t>Tiếp tục thử nghiệm để tránh trùng lặp tính năng và fix lỗi video, chatbox.</t>
  </si>
  <si>
    <t>Chỉnh sửa nội dung hệ thống Marquee, tạo trang giới thiệu, kèm nút liên kết và hệ thống đăng ký tài khoản.</t>
  </si>
  <si>
    <t>Chuẩn bị báo cáo tiến độ và thống nhất deadline cho các thay đổi còn lại.</t>
  </si>
  <si>
    <t>Cuộc họp ngày 11/05/2026 với mục đích chính làm rõ tiến độ và phối hợp triển khai các công việc liên quan đến các dự án như Maki, Cao Sơn, Go Đà Nẵng, và các tính năng tích hợp của Magichat. Đồng thời, cuộc họp cũng tập trung vào việc phân công và xử lý các khó khăn trong quản lý nhân sự, vận hành các công cụ, và thúc đẩy các hoạt động marketing.</t>
  </si>
  <si>
    <t>Giao tác cho các bạn hoàn thiện phần giao diện và tích hợp Core Data, xử lý phần web hosting cho dự án tại Đà Nẵng.</t>
  </si>
  <si>
    <t>Thêm bạn BA từ nhóm của anh Đức để ra yêu cầu triển khai housing Đà Nẵng.</t>
  </si>
  <si>
    <t>Ưu tiên triển khai phần hijack và đảm bảo đẩy về Marquis.</t>
  </si>
  <si>
    <t>Sửa lệnh và update trên Logitech Go.</t>
  </si>
  <si>
    <t>Hoàn thành báo giá và chốt với khách hàng cho chị Tiên (gắn với hai yêu cầu realty).</t>
  </si>
  <si>
    <t>2 ngày cập nhật kết quả.</t>
  </si>
  <si>
    <t>Đẩy phần hi-chat vào sử dụng, list các tính năng cần thiết, liên kết với domain, và tạo group với anh Thắng để tập hợp đầy đủ tài liệu.</t>
  </si>
  <si>
    <t>Triển khai hi-chat để tích hợp Omnichannel và sử dụng thực tế. Tìm hiểu và học cách tích hợp Omnichannel của HiChat với hệ thống SQL.</t>
  </si>
  <si>
    <t>Hoàn thành các task của dự án Maki, bao gồm test tính năng, quay video và hoàn thiện tài liệu hướng dẫn.</t>
  </si>
  <si>
    <t>Với dự án Cao Sơn:</t>
  </si>
  <si>
    <t>- Tích hợp CDB với Omnichannel.</t>
  </si>
  <si>
    <t>- Tiếp tục tối ưu và hoàn thành website (bao gồm phần chạy app).</t>
  </si>
  <si>
    <t>- Chạy TikTok Ads theo plan và setup quay, chụp.</t>
  </si>
  <si>
    <t>- Lên kế hoạch TikTok cho tuần sau với ngân sách 100 triệu VND để đạt doanh số 200 triệu VND. Book team quay, chụp và làm video trên TikTok.</t>
  </si>
  <si>
    <t>Xử lý phần automation cho phần Marquee, tích hợp tăng độ hiển thị, và automation hóa các tag liên quan đến ad Google.</t>
  </si>
  <si>
    <t>Gửi Phar KPI cho team để đảm bảo tính minh bạch trong thưởng, phạt và chấm công/thưởng cho đội nhóm.</t>
  </si>
  <si>
    <t>Tạo tài khoản Facebook/LinkedIn/TikTok dùng cho mục đích marketing, đảm bảo tính kế thừa nếu nhân sự thay đổi.</t>
  </si>
  <si>
    <t>Bổ sung tính năng bonus trong KPI trên Mikey. Đẩy feedback UI/UX đã gửi sang team Dev.</t>
  </si>
  <si>
    <t>Tiếp tục quản lý dự án Go Đà Nẵng, bao gồm phân công rõ task trên tool mới, email thống nhất cách hoạt động với các intern/team member.</t>
  </si>
  <si>
    <t>List toàn bộ tài khoản marketing (Facebook, Tiktok, LinkedIn) của các kênh hiện tại, kiểm tra đầy đủ và tạo thêm nếu thiếu.</t>
  </si>
  <si>
    <t>Các dự án và nhiệm vụ sẽ được theo dõi bằng công cụ quản lý mới (Project Plan).</t>
  </si>
  <si>
    <t>Mỗi tài khoản marketing (Facebook, LinkedIn, TikTok) phải được quản lý tập trung và có khả năng kế thừa nếu nhân sự thay đổi.</t>
  </si>
  <si>
    <t>Các tài khoản của Magichat, Go Đà Nẵng, và các dự án khác sẽ sử dụng email chung của công ty hoặc AI profile để đảm bảo tính liên tục.</t>
  </si>
  <si>
    <t>Hình thức thưởng dựa trên KPI sẽ được điều chỉnh và tích hợp trong ứng dụng Mikey để tăng khả năng tự động hóa.</t>
  </si>
  <si>
    <t>Thiếu nhân sự cứng để hỗ trợ các dự án, đặc biệt là dự án Go Đà Nẵng và cao sơn.</t>
  </si>
  <si>
    <t>Team Intern không đảm bảo hiệu suất khi xử lý các công việc phức tạp, một số thành viên đã rút khỏi dự án hoặc xin nghỉ.</t>
  </si>
  <si>
    <t>Chưa rõ ràng về cơ chế phạt cho các thành viên không đạt KPI.</t>
  </si>
  <si>
    <t>Vướng mắc trong việc tối ưu hóa quy trình, automation, và tích hợp tính năng trên các nền tảng (Magichat, HiChat, Omnichannel).</t>
  </si>
  <si>
    <t>Một số tài khoản marketing cá nhân không đảm bảo đủ tính năng kế thừa, gây khó khăn khi nhân sự thay đổi.</t>
  </si>
  <si>
    <t>Gửi tài liệu liên quan đến phần HiChat và liên kết tài khoản với domain cho anh Thắng, cập nhật tiến độ hợp đồng tài sản liên quan.</t>
  </si>
  <si>
    <t>Hoàn thiện báo giá cho khách hàng của chị Tiên trong 2 ngày.</t>
  </si>
  <si>
    <t>Chuyển dự án Go Đà Nẵng sang sử dụng hệ thống quản lý task mới, phân công rõ thời hạn và kết quả cụ thể.</t>
  </si>
  <si>
    <t>Tổng hợp danh sách toàn bộ tài khoản (Facebook, Tiktok, LinkedIn) hiện có và tích hợp chúng vào nền tảng Magichat trong tháng tới.</t>
  </si>
  <si>
    <t>Hoàn thiện tính năng bonus trên hệ thống KPI của Mikey để áp dụng công thức tính thưởng phạt tự động.</t>
  </si>
  <si>
    <t>Bổ sung nhân sự để hỗ trợ các dự án marketing và tìm kiếm các freelancer để phục vụ việc setup chiến dịch Tiktok và quay chụp nội dung.</t>
  </si>
  <si>
    <t>Tổ chức họp hàng tuần với team Maki và Go Đà Nẵng vào thứ 6 để cập nhật kết quả thực hiện các task đã giao.</t>
  </si>
  <si>
    <t>Tích hợp đầy đủ Magichat, HiChat vào các nền tảng OmniChannel (bao gồm Facebook, Zalo cá nhân,...).</t>
  </si>
  <si>
    <t>Lên kế hoạch TikTok Ads với ngân sách 100 triệu VND/tháng để đạt KPI về danh sách khách hàng tiềm năng hoặc doanh số tương ứng.</t>
  </si>
  <si>
    <t>Follow việc chỉnh sửa giao diện, phản hồi UI/UX với Dev trong ứng dụng Logitech Go.</t>
  </si>
  <si>
    <t>Hoàn thành thử việc từ 2 đến 4 tuần để xác định thế mạnh và thử các dự án nội bộ hoặc khách hàng.</t>
  </si>
  <si>
    <t>Tìm hiểu và chuẩn bị trước nội dung liên quan đến các công việc được giao, nghiên cứu trước về KPI và các chỉ tiêu trước khi làm việc với leader.</t>
  </si>
  <si>
    <t>Chọn team phù hợp (hoặc kết hợp nhiều team) sau khi hoàn thành giai đoạn thử việc ban đầu.</t>
  </si>
  <si>
    <t>Đối với ứng viên Nguyễn Trận Như Ít:</t>
  </si>
  <si>
    <t>- Thử nghiệm một dự án với leader tại Sài Gòn hoặc phần branding tại Đà Nẵng.</t>
  </si>
  <si>
    <t>- Khả năng tham gia chạy performance trong dự án Markey.</t>
  </si>
  <si>
    <t>Đối với ứng viên Thành Đạt:</t>
  </si>
  <si>
    <t>- Khả năng tham gia thử nghiệm với team marketing của Markey hoặc team Đà Nẵng.</t>
  </si>
  <si>
    <t>- Học và monitor dự án agency hoặc nội dung Marketing Agency được giao.</t>
  </si>
  <si>
    <t>Dành thời gian lên công ty ít nhất 1 lần/tuần để kết nối và giao tiếp trực tiếp với team.</t>
  </si>
  <si>
    <t>Áp dụng hình thức làm việc linh hoạt (remote và on-site tùy theo yêu cầu leader), vẫn đảm bảo kết nối qua các cuộc họp trực tiếp mỗi tuần.</t>
  </si>
  <si>
    <t>Các thực tập sinh sẽ tham gia thử việc 2-4 tuần ở cấp độ Level 1; sau đó nếu thể hiện tốt có thể được lên Level 2 hoặc Level 3 nhanh hơn.</t>
  </si>
  <si>
    <t>Các team tại Hà Nội, Hồ Chí Minh và Đà Nẵng được tổ chức thành 3 nhóm chính trong bộ phận marketing:</t>
  </si>
  <si>
    <t>- Team Marketing Product: Phát triển sản phẩm Markey.</t>
  </si>
  <si>
    <t>- Team Branding: Phụ trách branding các sản phẩm nội bộ.</t>
  </si>
  <si>
    <t>- Team Marketing Agency: Hỗ trợ dịch vụ marketing cho khách hàng.</t>
  </si>
  <si>
    <t>Thực tập sinh được phép linh hoạt lựa chọn và thử nghiệm làm việc ở một hoặc nhiều team, sau 2-4 tuần chốt team chính thức.</t>
  </si>
  <si>
    <t>Thái độ và sự chuẩn bị của thực tập sinh khi nhận công việc: Nếu không tự nghiên cứu trước các nội dung hoặc KPI, sẽ dễ bị đánh giá kém từ leader.</t>
  </si>
  <si>
    <t>Rủi ro liên quan đến dự án khách hàng: Vì nhiều dự án là tiền thật từ khách hàng, nên các ứng viên phải trải qua đánh giá và verify kỹ càng trước khi đảm nhiệm.</t>
  </si>
  <si>
    <t>Kết nối lỏng lẻo nếu không tham gia đủ các buổi họp trực tuyến hoặc offline tại công ty, dẫn đến khó làm việc nhóm.</t>
  </si>
  <si>
    <t>Các thực tập sinh bắt đầu giai đoạn thử việc từ 2-4 tuần, khám phá chuyên môn thông qua các dự án nhỏ, với các nhiệm vụ được giao bởi leader.</t>
  </si>
  <si>
    <t>Ứng viên cần nghiên cứu và lập kế hoạch công việc trước khi trao đổi với leader để nhận hướng dẫn cụ thể.</t>
  </si>
  <si>
    <t>Thực tập sinh nên sớm lên công ty ở Đà Nẵng hoặc Hồ Chí Minh để gặp leader và kết nối với các thành viên trong team, đảm bảo làm quen quy trình làm việc.</t>
  </si>
  <si>
    <t>Xác định thế mạnh và chọn team chính thức sau 2-4 tuần thử việc.</t>
  </si>
  <si>
    <t>Các leader gửi tài liệu hướng dẫn và tiếp tục hỗ trợ các ứng viên trong các buổi họp và check-in.</t>
  </si>
  <si>
    <t>### Lưu ý: Công việc sẽ được đánh giá liên tục dựa trên thái độ làm việc và khả năng hoàn thiện KPI theo yêu cầu từ leader.</t>
  </si>
  <si>
    <t>Gửi file Google Sheet với các lệnh và quyền cần thiết cho dự án.</t>
  </si>
  <si>
    <t>Sửa và update giao diện trang web để load đúng với database.</t>
  </si>
  <si>
    <t>Cập nhật file môi trường và cấu hình lại trên hệ thống.</t>
  </si>
  <si>
    <t>Duyệt qua file test trước khi triển khai chính thức.</t>
  </si>
  <si>
    <t>Tạo môi trường cho project automation bot (cho phép cài đặt thời gian và auto đăng).</t>
  </si>
  <si>
    <t>Lên ý tưởng và triển khai bot kết nối với Telegram, hỗ trợ quản lý hình ảnh và nội dung auto.</t>
  </si>
  <si>
    <t>Cài đặt domain tạm thời cho web quản lý dự án, chờ cấp domain chính thức.</t>
  </si>
  <si>
    <t>Xây dựng cấu trúc ảnh độc lập cho các dự án backend để dễ quản lý và public.</t>
  </si>
  <si>
    <t>Kiểm tra và tối ưu bot cho dự án MK và Go Đà Nẵng.</t>
  </si>
  <si>
    <t>Up dữ liệu bot vào hệ thống admin của Go Đà Nẵng khi hoàn thành thử nghiệm.</t>
  </si>
  <si>
    <t>Thực hiện tự động hóa bot Telegram với các chức năng tự động đăng và quản lý nội dung.</t>
  </si>
  <si>
    <t>Tạm dùng domain cá nhân cho đến khi có domain chính thức của công ty.</t>
  </si>
  <si>
    <t>Làm giao diện cấu hình bot riêng biệt, không can thiệp vào các phần backend khác của dự án.</t>
  </si>
  <si>
    <t>Ưu tiên làm việc với các file liên quan đến Go Đà Nẵng dựa trên kế hoạch timeline ngắn hạn.</t>
  </si>
  <si>
    <t>Hệ thống cũ bị lỗi, cần reload sau khi cập nhật file để đảm bảo không ảnh hưởng đến dữ liệu.</t>
  </si>
  <si>
    <t>Quá trình xử lý file hình ảnh và kết nối backend gặp độ trễ.</t>
  </si>
  <si>
    <t>IP bị khóa do spam hoặc truy cập quá nhiều từ các request thử nghiệm.</t>
  </si>
  <si>
    <t>Chưa có cấu hình đầy đủ cho các tự động hóa trên hosting dẫn đến trục trặc.</t>
  </si>
  <si>
    <t>Domain tạm không được tối ưu cho sản phẩm cuối.</t>
  </si>
  <si>
    <t>Hoàn thiện giao diện và cấu hình bot, kiểm tra các lỗi phát sinh trước khi triển khai chính thức.</t>
  </si>
  <si>
    <t>Đưa toàn bộ dữ liệu test của bot lên hệ thống admin để đánh giá hiệu suất thực tế.</t>
  </si>
  <si>
    <t>Xác định domain chính thức cho các dự án và cập nhật lại toàn bộ đường dẫn.</t>
  </si>
  <si>
    <t>Phối hợp để tối ưu hệ thống ảnh độc lập, đảm bảo tính linh hoạt khi làm việc với nhiều dự án.</t>
  </si>
  <si>
    <t>L lên kế hoạch thực hiện các API liên quan đến automation bot để lưu trữ nội dung và cải tiến hiệu suất cơ sở dữ liệu.</t>
  </si>
  <si>
    <t>Xác định và hoàn thiện link KPI cho từng thành viên, đặc biệt tập trung vào các số liệu liên quan đến bản số 35</t>
  </si>
  <si>
    <t>Hoàn thiện báo giá chi tiết, bao gồm các khoản như nhân công, hosting, giảm giá và cấu hình phần mềm. Báo cáo cần chỉnh sửa theo đề xuất giảm 20%-30%.</t>
  </si>
  <si>
    <t>Cập nhật thông tin khách hàng và công ty liên quan (như công ty Satellite, anh Tú) vào các bảng báo cáo</t>
  </si>
  <si>
    <t>Chuẩn bị tài liệu từ phòng DM, phối hợp với anh Thắng để nhận tài liệu và tiến hành kiểm tra.</t>
  </si>
  <si>
    <t>Hoàn thiện các nhiệm vụ Raw Data cho 2 thành viên đến hạn vào thứ 5 tuần này.</t>
  </si>
  <si>
    <t>Phân công bạn Thanh phụ trách một số tác vụ tại phòng DM trong tuần tới sau khi Thanh rảnh.</t>
  </si>
  <si>
    <t>Gửi link báo giá và hợp đồng đầy đủ, đính kèm thông tin cần thiết (như số thuế) để xử lý hợp đồng qua Cloud</t>
  </si>
  <si>
    <t>Thử nghiệm tính năng trên hệ thống (testing/chat) sau khi tài liệu được tiếp nhận từ anh Thắng</t>
  </si>
  <si>
    <t>Áp dụng giảm giá linh hoạt từ 20% đến 30% cho gói báo giá.</t>
  </si>
  <si>
    <t>Gói web hosting sẽ được điều chỉnh xuống mức 432.000 đồng/năm với cấu hình phù hợp, đủ đáp ứng nhu cầu cơ bản.</t>
  </si>
  <si>
    <t>Phân công công việc ưu tiên cho bạn Thanh tại phòng DM trong tuần tới.</t>
  </si>
  <si>
    <t>Tiến hành xử lý thử nghiệm (test) trên hệ thống sau khi tài liệu từ anh Thắng được tiếp nhận và cập nhật.</t>
  </si>
  <si>
    <t>Thiếu thông tin về hosting và chi phí một số dịch vụ, gây chậm trễ trong việc hoàn thiện báo giá.</t>
  </si>
  <si>
    <t>Một số thành viên chưa gửi đầy đủ thông tin liên quan đến KPI và Raw Data.</t>
  </si>
  <si>
    <t>Chưa thực hiện kiểm tra thử nghiệm hệ thống do thiếu thời gian.</t>
  </si>
  <si>
    <t>Kiểm tra và hoàn thiện báo giá, bao gồm chi tiết giảm giá, cấu hình hosting, và các chi phí nhân công.</t>
  </si>
  <si>
    <t>Liên lạc và phối hợp với anh Thắng để nhận tài liệu cần thiết, sau đó tiến hành thử nghiệm các tính năng trên hệ thống.</t>
  </si>
  <si>
    <t>Theo dõi và đảm bảo 2 thành viên hoàn tất nhiệm vụ Raw Data vào thứ 5.</t>
  </si>
  <si>
    <t>Tổ chức cập nhật thông tin khách hàng và công ty vào báo cáo trước khi gửi.</t>
  </si>
  <si>
    <t>Chuẩn bị hợp đồng chi tiết dựa trên kết quả báo giá, đẩy qua Cloud và hoàn thiện khi được xác nhận.</t>
  </si>
  <si>
    <t>Phân bổ nhân sự hợp lý để đảm bảo bạn Thanh chỉ bắt đầu công việc tại phòng DM khi có đầy đủ thời gian rảnh.  📋 TỔNG QUAN</t>
  </si>
  <si>
    <t>Cuộc họp diễn ra vào ngày 2026-05-13, tập trung vào việc xử lý các mục KPI, báo giá chi tiết, tối ưu hoá chi phí dịch vụ và cập nhật tiến độ công việc liên quan đến Raw Data, hợp đồng cũng như tổ chức phân bổ nguồn lực. Mục tiêu là hoàn thiện các hạng mục công việc và lên kế hoạch thực hiện rõ ràng cho tuần tiếp theo.</t>
  </si>
  <si>
    <t>✅ ACTION ITEMS (Công việc cần thực hiện)</t>
  </si>
  <si>
    <t>Hoàn thiện các link KPI, đặc biệt các thông tin liên quan đến bản số 35 | Deadline: Không đề cập.</t>
  </si>
  <si>
    <t>Cập nhật báo giá, tính toán các khoản mục như nhân công (14 ngày làm việc, mỗi manday 450.000 đồng), hosting (432.000 đồng/năm), giảm giá 20%-30%, và điều chỉnh cấu hình phần mềm | Deadline: Không đề cập.</t>
  </si>
  <si>
    <t>Cập nhật thông tin chi tiết của công ty Satellite và khách hàng (anh Tú) vào tài liệu và báo cáo | Deadline: Không đề cập.</t>
  </si>
  <si>
    <t>Chuẩn bị và gửi tài liệu cần thiết để hoàn thiện hợp đồng sau khi anh Tú duyệt hợp đồng qua Cloud | Deadline: Không đề cập.</t>
  </si>
  <si>
    <t>Kiểm tra thông tin và bổ sung dữ liệu liên quan đến các mục Raw Data, đảm bảo 2 thành viên hoàn thiện đúng hạn vào thứ 5.</t>
  </si>
  <si>
    <t>Liên hệ anh Thắng để nhận tài liệu hỗ trợ việc triển khai và test tính năng hệ thống | Deadline: Không đề cập.</t>
  </si>
  <si>
    <t>Sắp xếp bạn Thanh đảm nhận công việc tại phòng DM khi có thời gian rảnh | Deadline: Tuần tới.</t>
  </si>
  <si>
    <t>Thực hiện kiểm tra nội bộ (testing/chat) và hoàn thiện các nhiệm vụ còn tồn đọng sau khi nhận đủ tài liệu từ anh Thắng | Deadline: Không đề cập.</t>
  </si>
  <si>
    <t>📌 QUYẾT ĐỊNH ĐÃ THỐNG NHẤT</t>
  </si>
  <si>
    <t>Điều chỉnh giảm giá báo giá ở mức 20%-30%.</t>
  </si>
  <si>
    <t>Áp dụng gói hosting cấu hình phù hợp với chi phí 432.000 đồng/năm.</t>
  </si>
  <si>
    <t>Phân công bạn Thanh chịu trách nhiệm công việc tại phòng DM sau khi các công việc hiện tại được hoàn tất.</t>
  </si>
  <si>
    <t>Thực hiện thử nghiệm nội bộ các tính năng hệ thống sau khi nhận đầy đủ tài liệu hỗ trợ từ anh Thắng.</t>
  </si>
  <si>
    <t>⚠️ VẤN ĐỀ &amp; RỦI RO</t>
  </si>
  <si>
    <t>Chưa nhận đủ thông tin và tài liệu từ một số thành viên liên quan đến KPI và Raw Data.</t>
  </si>
  <si>
    <t>Việc xác nhận hosting và báo giá đang chậm trễ do thiếu các dữ liệu đối chiếu.</t>
  </si>
  <si>
    <t>Thử nghiệm tính năng hệ thống chưa triển khai được do thiếu tài liệu từ anh Thắng và việc ưu tiên xử lý các hạng mục khác.</t>
  </si>
  <si>
    <t>📅 BƯỚC TIẾP THEO</t>
  </si>
  <si>
    <t>Rà soát và hoàn thiện báo giá với chi tiết các khoản mục chi phí, giảm giá, và cấu hình server hosting (432.000 đồng/năm) trước khi gửi anh Tú phê duyệt.</t>
  </si>
  <si>
    <t>Gửi tài liệu tới anh Thắng để nhận lại thông tin hỗ trợ và nhanh chóng triển khai kiểm tra hệ thống.</t>
  </si>
  <si>
    <t>Đảm bảo hoàn thành các mục Raw Data còn lại, theo dõi chặt tiến độ 2 thành viên, đặc biệt hạn chót thứ 5.</t>
  </si>
  <si>
    <t>Xử lý hợp đồng qua Cloud ngay sau khi báo giá được duyệt và cập nhật đầy đủ thông tin bắt buộc (số thuế, trạng thái, thời gian thực hiện).</t>
  </si>
  <si>
    <t>Phân công bạn Thanh tại phòng DM tuần sau, đảm bảo bạn có thông tin rõ ràng để thực hiện công việc.</t>
  </si>
  <si>
    <t>Lập kế hoạch test hệ thống ngay khi nhận đầy đủ tài liệu. Chú trọng vào các tính năng thử nghiệm để đảm bảo tính chính xác và hiệu quả hệ thống.</t>
  </si>
  <si>
    <t>Hoàn thành shipping social, đặc biệt phần shipping còn thiếu để đạt đủ tiến độ; hiện mới làm được 13 bài.</t>
  </si>
  <si>
    <t>Đăng đủ bài social trên LinkedIn và Facebook; hiện đã có 4 bài đầy đủ trên cả hai kênh.</t>
  </si>
  <si>
    <t>Tạo toàn bộ account/profile cho các agent bên Marquee trên LinkedIn và Facebook, mỗi con agent một profile riêng; hiện ước tính có khoảng 6–7 con.</t>
  </si>
  <si>
    <t>ngày 15</t>
  </si>
  <si>
    <t>Tổng hợp tất cả account của các con agent vào một file six tổng hợp.</t>
  </si>
  <si>
    <t>Sắp xếp các tài khoản liên quan về tài khoản chiến lược để tránh tạo tài khoản cá nhân nếu có thể, gồm cả các account dùng cho shipping và các mục đích tương tự.</t>
  </si>
  <si>
    <t>Báo trước khi bị overload/banding để được sắp xếp người chạy lại, không tự ý banding.</t>
  </si>
  <si>
    <t>Fill task đầy đủ, rõ ràng vào tất cả file dự án để phục vụ kiểm soát task và tính lương cuối tháng.</t>
  </si>
  <si>
    <t>Hoàn thành 9 sụt gốc còn lại trong tuần này theo đúng sụt mẫu đã thống nhất.</t>
  </si>
  <si>
    <t>trong tuần này</t>
  </si>
  <si>
    <t>Gửi từng sản phẩm đã edit ngay khi làm xong từng cái để được feedback và chỉnh sửa cuốn chiếu.</t>
  </si>
  <si>
    <t>Xét lại và chốt giờ meeting cho ngày mai.</t>
  </si>
  <si>
    <t>ngày mai</t>
  </si>
  <si>
    <t>Báo lại lịch meeting lên group sau khi chốt với Dung.</t>
  </si>
  <si>
    <t>sau khi chốt lịch</t>
  </si>
  <si>
    <t>Tiếp tục chạy các task hiện tại và chờ list thêm các task mới sau khi được tổng hợp từ chuyến gặp khách.</t>
  </si>
  <si>
    <t>Giai đoạn 1 sẽ tập trung vào việc tăng độ hiện diện và độ phủ thương hiệu, ưu tiên đẩy KPI về setting và RIG cao nhất có thể.</t>
  </si>
  <si>
    <t>Giai đoạn 2 sẽ lọc lại các kênh có tương tác tốt và chất lượng để chuyển sang đẩy list.</t>
  </si>
  <si>
    <t>Mỗi con agent bên Marquee sẽ có một Facebook và một LinkedIn riêng, không dùng chung một trang tổng.</t>
  </si>
  <si>
    <t>Các account cần dùng cho shopping và các mục đích tương tự sẽ được đưa về tài khoản chiến lược để hạn chế tạo tài khoản cá nhân.</t>
  </si>
  <si>
    <t>Không tự ý banding khi bị quá tải; phải báo trước để được điều phối lại nhân sự.</t>
  </si>
  <si>
    <t>Công việc edit video sẽ làm theo kiểu cuốn chiếu: làm xong cái nào gửi ngay cái đó để nhận feedback, rồi tiếp tục làm cái khác.</t>
  </si>
  <si>
    <t>Hai bạn mới sẽ được transfer sang dự án sau khi Dung được sắp xếp lại để tập trung vào Cao Sơn.</t>
  </si>
  <si>
    <t>Buổi họp ngày mai sẽ được chốt lại sau khi làm việc với Dung và báo lên group.</t>
  </si>
  <si>
    <t>Phần shipping social mới hoàn thành một nửa, còn thiếu tiến độ.</t>
  </si>
  <si>
    <t>Chưa tạo xong account/profile riêng cho từng agent bên Marquee.</t>
  </si>
  <si>
    <t>Có tình trạng tự ý banding khi overload mà chưa báo trước, gây khó cho việc sắp xếp người chạy.</t>
  </si>
  <si>
    <t>Dữ liệu task/fill task chưa được làm kỹ, ảnh hưởng đến việc kiểm soát task và tính lương cuối tháng.</t>
  </si>
  <si>
    <t>Edit video mới chỉ có 1 form mẫu trong tổng 9 sụt gốc, tiến độ còn chậm.</t>
  </si>
  <si>
    <t>Dung đang bị overload nên chưa thể tham gia đầy đủ và cần được chuyển bớt việc.</t>
  </si>
  <si>
    <t>Hai bạn mới còn đang cân nhắc môi trường phù hợp và chưa hoàn toàn sẵn sàng về mặt tâm lý cho việc vào dự án.</t>
  </si>
  <si>
    <t>Hàng report hiện đang thiếu, cần báo sau.</t>
  </si>
  <si>
    <t>Hoàn tất toàn bộ các account/profile LinkedIn và Facebook cho từng agent bên Marquee trước ngày 15, sau đó tổng hợp vào file six.</t>
  </si>
  <si>
    <t>Tiếp tục chạy các task social hiện tại, đồng thời chờ danh sách task mới sau khi được tổng hợp từ việc gặp khách.</t>
  </si>
  <si>
    <t>Hoàn thành nốt 9 sụt gốc trong tuần này và gửi từng bản edit ngay khi xong để nhận feedback và chỉnh sửa tiếp.</t>
  </si>
  <si>
    <t>Chốt giờ họp ngày mai, làm việc với Dung về dự án Mango Đà Nẵng, rồi báo lịch lên group.</t>
  </si>
  <si>
    <t>Sau khi Dung được điều phối lại, transfer công việc cho hai bạn mới và phân chia lại task để Dung tập trung vào Cao Sơn.</t>
  </si>
  <si>
    <t>Rà soát lại việc fill task và cập nhật đầy đủ trong tất cả file dự án để phục vụ kiểm soát công việc và tính lương.</t>
  </si>
  <si>
    <t>Cuộc họp ngày 2026-05-13 kéo dài 20 phút với 3 người tham gia, thảo luận về việc tối ưu hóa và chỉnh sửa nội dung cũng như giao diện liên quan đến các phần tích hợp API, B2B, CTA, feedback, biểu giá và thông tin trên hệ thống hiện tại. Các vấn đề kỹ thuật, cập nhật nội dung và thay đổi giao diện trên cả website và phiên bản mobile cũng được đề cập.</t>
  </si>
  <si>
    <t>Tích hợp API DOC, tạo giao diện tương tự và cập nhật nội dung</t>
  </si>
  <si>
    <t>Thêm mới và chỉnh sửa phần B2B (tổng cộng 5 mục) với nội dung và hình ảnh đẹp hơn</t>
  </si>
  <si>
    <t>Thiết kế lại các phần giao diện để phù hợp hơn với mẫu AI generated, sắp xếp và phân bổ hợp lý hơn</t>
  </si>
  <si>
    <t>Cập nhật CTA (nút bấm kêu gọi hành động) để có thể click đến đăng ký hoặc trang cần thiết</t>
  </si>
  <si>
    <t>Thêm nội dung "vấn đề doanh nghiệp" từ dữ liệu bảng cũ vào trang mới</t>
  </si>
  <si>
    <t>Hoàn thiện và cập nhật thông tin bản giá, bổ sung bản Android và xem lại nội dung phần dùng thử miễn phí 14 ngày</t>
  </si>
  <si>
    <t>Thống nhất và cập nhật thông tin nhu cầu khách hàng, nội dung form đăng ký đơn giản hơn</t>
  </si>
  <si>
    <t>Thiết kế giao diện mới cho phần feedback của người dùng trên cả phiên bản video và text</t>
  </si>
  <si>
    <t>Thêm logo công ty và các chỉ số liên quan vào trang cần thiết</t>
  </si>
  <si>
    <t>Sửa và nâng cấp các phần nội dung footer với toàn bộ link kênh liên quan như Facebook, LinkedIn, YouTube, API DOC</t>
  </si>
  <si>
    <t>Thay đổi số điện thoại liên hệ của Mikey trong tất cả các phần liên quan</t>
  </si>
  <si>
    <t>Kiểm tra và tối ưu nội dung trên phiên bản mobile để hoàn thiện giao diện</t>
  </si>
  <si>
    <t>Liên hệ bạn Thuật và bạn Nghi để phối hợp xử lý các yêu cầu còn tồn đọng về mobile</t>
  </si>
  <si>
    <t>Trang API DOC sẽ được tích hợp và cập nhật nội dung dần dần.</t>
  </si>
  <si>
    <t>Nội dung, hình ảnh từ phiên bản cũ và mới sẽ được kết hợp để xây dựng phiên bản tối ưu hơn.</t>
  </si>
  <si>
    <t>Các link liên kết cần cập nhật đầy đủ tại footer (bao gồm các kênh mạng xã hội và các tài liệu).</t>
  </si>
  <si>
    <t>Sử dụng hệ thống bot phản hồi khách hàng nhanh trong 30 giây và bổ sung thêm tính năng tự động gửi thông tin đến Telegram.</t>
  </si>
  <si>
    <t>Dữ liệu cần bổ sung (logo công ty, thông tin về nhu cầu khách hàng từ chị Tiên) vẫn chưa đầy đủ.</t>
  </si>
  <si>
    <t>Các vấn đề kỹ thuật như bot trả lời và tích hợp trên mobile cần nhiều sự phối hợp với các thành viên khác (bạn Thuật, bạn Nghi).</t>
  </si>
  <si>
    <t>Số điện thoại cũ trong hệ thống cần được thay đổi khẩn trương để tránh sai sót liên hệ.</t>
  </si>
  <si>
    <t>Thực hiện tích hợp API DOC, bổ sung nội dung và giao diện.</t>
  </si>
  <si>
    <t>Sửa đổi thiết kế, hoàn thiện nội dung B2B, CTA, feedback, và form đăng ký như đã thảo luận.</t>
  </si>
  <si>
    <t>Đảm bảo tất cả các phần giao diện, từ desktop đến mobile, được kiểm tra và tối ưu.</t>
  </si>
  <si>
    <t>Phối hợp với bạn Thuật và bạn Nghi để xử lý các phần mobile bị lỗi hoặc chưa hoàn thiện.</t>
  </si>
  <si>
    <t>Liên hệ chị Tiên để lấy thông tin đầy đủ về nhu cầu khách hàng và bổ sung vào form đăng ký.</t>
  </si>
  <si>
    <t>Gửi danh sách logo công ty cho team thiết kế để cập nhật vào giao diện.</t>
  </si>
  <si>
    <t>Cập nhật ngay số điện thoại liên hệ của Mikey trong tất cả các phần liên quan.</t>
  </si>
  <si>
    <t>Theo dõi và đánh giá tiến độ, nếu cần sẽ setup thêm meeting để giải quyết các vấn đề tồn đọng.</t>
  </si>
  <si>
    <t>Thực tập sinh điền đầy đủ thông tin vào file được công ty gửi để sắp xếp thời gian và nhóm dự án.</t>
  </si>
  <si>
    <t>Thực tập sinh thuộc nhóm bắt đầu thực tập sau ngày 25/05 cần nhắc lại cho công ty để được điều chỉnh thời gian khởi động.</t>
  </si>
  <si>
    <t>Công ty sắp xếp và gửi task (công việc) đầu tiên cho các nhóm thực tập sinh trong vòng 1-2 ngày sau ngày bắt đầu.</t>
  </si>
  <si>
    <t>Công ty hỗ trợ giải đáp các thắc mắc liên quan đến part-time, thời gian on-site, và cấp giấy chứng nhận thực tập nếu cần.</t>
  </si>
  <si>
    <t>Thực tập có thể được thực hiện online, không bắt buộc on-site trong hầu hết các trường hợp, trừ khi các dự án yêu cầu.</t>
  </si>
  <si>
    <t>Level 1 và Level 2 thực tập sinh không bắt buộc on-site. Các level cao hơn sẽ yêu cầu on-site với tần suất cụ thể: Level 5 (chính thức) cần lên công ty 1-2 ngày/tuần.</t>
  </si>
  <si>
    <t>Người thực tập tại Đà Nẵng nếu muốn lên công ty cần báo trước 1 ngày để công ty sắp xếp lịch phù hợp.</t>
  </si>
  <si>
    <t>Một số thực tập sinh có lịch thi kéo dài đến sau ngày 25/05, dẫn đến việc không thể bắt đầu thực tập ngay lập tức.</t>
  </si>
  <si>
    <t>Một số thực tập sinh chưa rõ về lộ trình cụ thể hoặc yêu cầu đầu vào của các nhóm dự án trong công ty.</t>
  </si>
  <si>
    <t>Sự thiếu đồng bộ trong việc điền và gửi thông tin từ thực tập sinh có thể gây chậm trễ trong việc sắp xếp nhóm và giao task.</t>
  </si>
  <si>
    <t>Các thực tập sinh cần hoàn thành việc điền thông tin cá nhân, thời gian bắt đầu thực tập vào file được công ty cung cấp sớm nhất để công ty sắp xếp lộ trình.</t>
  </si>
  <si>
    <t>Nhóm thực tập sinh với lịch trình cụ thể (sau ngày 25/05) cần gửi thông báo lại cho công ty để đồng bộ hóa lịch làm việc.</t>
  </si>
  <si>
    <t>Trong 1-2 ngày sau khi thực tập sinh bắt đầu, công ty sẽ gửi task và hướng dẫn cụ thể qua các kênh liên lạc, đồng thời phân bổ các nhóm phù hợp.</t>
  </si>
  <si>
    <t>Công ty theo dõi, kiểm tra thông tin điền từ thực tập sinh để khởi động thực tập một cách hiệu quả.</t>
  </si>
  <si>
    <t>Tiếp tục giải đáp các thắc mắc phát sinh từ thực tập sinh về các vấn đề mà họ còn chưa rõ trong lộ trình thực tập.</t>
  </si>
  <si>
    <t>Sửa lỗi bot vẫn trả lời khi chuyển giao cuộc hội thoại cho nhân viên.</t>
  </si>
  <si>
    <t>Sửa lỗi yêu cầu nhân viên phải đăng xuất và đăng nhập lại mới hiển thị kênh chat khi được thêm vào.</t>
  </si>
  <si>
    <t>Khắc phục lỗi trạng thái nhân viên không cập nhật (online nhưng vẫn hiển thị offline).</t>
  </si>
  <si>
    <t>Sửa lỗi giao diện khi đổi màu chữ làm mất chữ (ví dụ: chữ màu trắng không hiển thị trên nền trắng).</t>
  </si>
  <si>
    <t>Xem xét khả năng đồng bộ kênh chat giữa laptop và điện thoại.</t>
  </si>
  <si>
    <t>Kiểm tra số đếm thông báo và thêm âm báo khi có tin nhắn mới.</t>
  </si>
  <si>
    <t>Sửa lỗi ở giao diện mobile: thanh button nhảy lên khó sử dụng, bộ lọc bị out ra ngoài khi chọn, lỗi hiển thị khi gửi hình ảnh qua laptop (chỉ hiển thị đúng trên mobile).</t>
  </si>
  <si>
    <t>Kiểm tra tính năng AI thu thập thông tin khách hàng, như số điện thoại và địa chỉ.</t>
  </si>
  <si>
    <t>So sánh tích hợp Zalo cá nhân giữa nền tảng hiện tại và đối thủ, và đánh giá khả năng customize Zalo cá nhân với source code hiện tại.</t>
  </si>
  <si>
    <t>Thử nghiệm và hoàn tất các bài test trên hệ thống hiện tại, bao gồm các bảng tính năng yêu cầu.</t>
  </si>
  <si>
    <t>Cải thiện trải nghiệm UI/UX và đánh giá khả năng tích hợp/cập nhật giữa 2 nền tảng.</t>
  </si>
  <si>
    <t>Thực hiện các bài test tính năng trên hệ thống hiện tại và đối chiếu với đối thủ để so sánh hiệu quả.</t>
  </si>
  <si>
    <t>Đội ngũ hoàn tất các công việc cần thiết trước buổi họp tiếp theo vào chiều thứ 6, ngày 15/05/2026.</t>
  </si>
  <si>
    <t>Tập trung chỉnh sửa và cải thiện giao diện (UI/UX) để nâng cao khả năng tùy chỉnh và trải nghiệm người dùng.</t>
  </si>
  <si>
    <t>Bot vẫn can thiệp trả lời dù đã chuyển giao cuộc hội thoại cho nhân viên, gây khó chịu cho khách hàng.</t>
  </si>
  <si>
    <t>Tính năng đồng bộ kênh chat giữa laptop và điện thoại không hoạt động đúng.</t>
  </si>
  <si>
    <t>Giao diện bị lỗi khi đổi màu chữ không phù hợp, các yếu tố giao diện trên mobile (như thanh button, bộ lọc) hoạt động không ổn định, và hình ảnh gửi từ laptop không hiển thị đúng.</t>
  </si>
  <si>
    <t>Tính năng lịch sử hội thoại và ghi chú không được lưu lại, ảnh hưởng đến việc theo dõi khách hàng.</t>
  </si>
  <si>
    <t>Quá trình xử lý bài viết/chọn tác giả bị chậm trễ.</t>
  </si>
  <si>
    <t>Hạn chế trong tích hợp Zalo cá nhân và UI/UX hiện tại.</t>
  </si>
  <si>
    <t>Đội ngũ thực hiện sửa các lỗi đã liệt kê, tập trung vào: lỗi bot, lỗi đồng bộ, lỗi hiển thị giao diện, và các lỗi khác liên quan đến tính năng.</t>
  </si>
  <si>
    <t>Hoàn tất bài test các tính năng hiện tại và so sánh với nền tảng đối thủ, đặc biệt chú trọng đến khả năng tích hợp Zalo cá nhân và AI thu thập dữ liệu.</t>
  </si>
  <si>
    <t>Chuẩn bị báo cáo so sánh về hiệu quả và UI/UX giữa hai nền tảng, bao gồm khả năng tùy chỉnh và chỉnh sửa.</t>
  </si>
  <si>
    <t>Lên kế hoạch họp vào chiều thứ 6 (15/05/2026) để thảo luận sâu hơn và đưa ra quyết định cải tiến.</t>
  </si>
  <si>
    <t>Cuộc họp tập trung vào việc xây dựng và tối ưu hóa quy trình đăng tin, quản lý phòng trống và tự động hóa tiếp nhận khách cho Go Đà Nẵng, Tele và WhatsApp. Mục đích chính là giảm thao tác nhập liệu thủ công, chuẩn hóa dữ liệu đầu vào và tạo luồng tiếp nhận khách tự động để hỗ trợ bán phòng và quản lý lưu trú hiệu quả hơn.</t>
  </si>
  <si>
    <t>Đẩy toàn bộ thông tin phòng lên Go Đà Nẵng để hệ thống có thể hiển thị phòng trống và tự động hóa quy trình tiếp theo</t>
  </si>
  <si>
    <t>Xây dựng cơ chế cập nhật trạng thái phòng khi chủ nhà nhắn lên ROOT hoặc cập nhật trực tiếp trên ROOT</t>
  </si>
  <si>
    <t>Tích hợp UTM link vào link chia sẻ để biết khách đến từ ai, từ kênh nào như Yalow, Facebook</t>
  </si>
  <si>
    <t>Đẩy link web kèm theo bài đăng để khách xem hình ảnh, thông tin đầy đủ và có thể book trực tiếp trên web</t>
  </si>
  <si>
    <t>Tạo bộ câu hỏi cho khách nhập trên web để thu thập nhu cầu trước khi trả kết quả phòng phù hợp</t>
  </si>
  <si>
    <t>Cho khách nhập thông tin một lần, sau đó hệ thống tự sinh nội dung/bài đăng từ mẫu đã lưu</t>
  </si>
  <si>
    <t>Đưa hệ thống public và tích hợp vào trang admin của Google Đà Nẵng để người có quyền login và dùng thử</t>
  </si>
  <si>
    <t>Dùng tạm Google Sheets trong giai đoạn đầu, sau đó đẩy sang hệ thống khác khi Go Đà Nẵng sẵn sàng</t>
  </si>
  <si>
    <t>Làm tự động hóa phần đăng bài trên Telegram trước, sau khi ổn mới mở rộng sang WhatsApp</t>
  </si>
  <si>
    <t>Tuần này hoặc tuần tới (có đề cập định hướng)</t>
  </si>
  <si>
    <t>Chuẩn bị list câu hỏi ngắn để hỏi khách theo thứ tự khi họ vào web</t>
  </si>
  <si>
    <t>Chuyển dữ liệu phòng và nguồn phòng lên web, bao gồm hình ảnh, giá, location</t>
  </si>
  <si>
    <t>Hỗ trợ cập nhật nguồn phòng chủ nhà và viết lại dữ liệu lên web sau khi đã update</t>
  </si>
  <si>
    <t>Làm phần tiếp nhận khách tự động trên Telegram để có thể chăm sóc ngay khi có khách điền form</t>
  </si>
  <si>
    <t>Làm demo tính tiền điện nước trước như một tính năng thử nghiệm ban đầu</t>
  </si>
  <si>
    <t>Phát triển luồng tự động cho đăng ký tạm trú, quản lý visa, nhắc ngày hết hạn visa, và nhập dữ liệu khách từ hình ảnh + form</t>
  </si>
  <si>
    <t>Làm rõ đặc tả tính năng với dev/BI để khách nhập thông tin, chụp hình, và bot Telegram hỏi thêm vài câu rồi đẩy dữ liệu lên hệ thống</t>
  </si>
  <si>
    <t>Chủ nhật báo lại quyết định ngân sách và khả năng đầu tư cho các hạng mục phần mềm</t>
  </si>
  <si>
    <t>Chủ nhật</t>
  </si>
  <si>
    <t>Dữ liệu hình ảnh phòng chỉ cần nhập một lần, vì hình ảnh phòng không thay đổi thường xuyên.</t>
  </si>
  <si>
    <t>Thông tin thay đổi chủ yếu là giá và trạng thái phòng trống/đóng phòng, nên hệ thống sẽ ưu tiên cập nhật các trường này.</t>
  </si>
  <si>
    <t>Sẽ dùng Telegram trước, sau đó mới mở rộng sang WhatsApp nếu ổn định.</t>
  </si>
  <si>
    <t>Nhóm/nguồn của người khác không phải lúc nào cũng dùng để booking; ưu tiên luồng của nhóm do mình tạo.</t>
  </si>
  <si>
    <t>Cần có câu hỏi đầu vào thay vì chỉ dùng filter, để vừa lấy nhu cầu khách vừa tương tác được với khách.</t>
  </si>
  <si>
    <t>Trước mắt sẽ làm demo nhỏ, không làm toàn bộ một lần.</t>
  </si>
  <si>
    <t>Ưu tiên làm phần đăng ký tạm trú trước, phần đăng ký với nhà nước sẽ làm sau cùng vì liên quan đến dữ liệu nhạy cảm.</t>
  </si>
  <si>
    <t>Tính tiền và triển khai theo từng nghiệp vụ, phù hợp ngân sách tối đa mà bên công ty có thể chi.</t>
  </si>
  <si>
    <t>Mục tiêu ngân sách được nhắc đến là không vượt quá 8 triệu/tháng cho phía bên kia chấp nhận.</t>
  </si>
  <si>
    <t>Sẽ dùng Google Sheets tạm thời trước khi đẩy sang hệ thống khác.</t>
  </si>
  <si>
    <t>Dữ liệu đầu vào từ chủ nhà không đồng nhất, có thể không ghi đúng cú pháp hoặc không đầy đủ.</t>
  </si>
  <si>
    <t>Hiện tại số lượng phòng chưa đủ nhiều nên chưa thể spam bài liên tục hoặc đẩy mạnh quy trình marketing.</t>
  </si>
  <si>
    <t>Nhập liệu thủ công đang tốn rất nhiều thời gian, dễ sai và gây mất công cho nhân sự.</t>
  </si>
  <si>
    <t>Phần thống kê doanh thu/tính tiền theo kỳ thuê dài hạn và cắt ngang tháng còn phức tạp, dễ gây sai lệch nếu xử lý thủ công.</t>
  </si>
  <si>
    <t>Việc đăng ký tạm trú/visa cần chính xác, nếu nhập sai có thể phát sinh vấn đề với hệ thống nhà nước.</t>
  </si>
  <si>
    <t>Chưa có đủ niềm tin từ phía sếp/bên công ty để đầu tư lớn ngay từ đầu, cần demo và proof trước.</t>
  </si>
  <si>
    <t>Cần cân bằng giữa chi phí phát triển và khả năng cắt giảm nhân sự/thời gian làm việc thực tế.</t>
  </si>
  <si>
    <t>Một số tính năng cần phân biệt rõ giữa khách người Việt và khách nước ngoài, nếu không sẽ khó triển khai đồng nhất.</t>
  </si>
  <si>
    <t>Nguồn phòng và dữ liệu từ chủ nhà có thể không cung cấp đầy đủ hình ảnh/location, phải tự cập nhật lại.</t>
  </si>
  <si>
    <t>Nếu làm quá nhiều hạng mục cùng lúc sẽ khó demo và khó chốt đầu tư.</t>
  </si>
  <si>
    <t>Chuẩn bị và gửi list câu hỏi ngắn cho khách để họ điền trên web, thay cho việc chỉ dùng filter.</t>
  </si>
  <si>
    <t>Làm demo tính tiền điện nước trước để kiểm chứng hiệu quả và tạo niềm tin cho sếp.</t>
  </si>
  <si>
    <t>Tiếp tục hoàn thiện luồng đăng bài và tự động hóa trên Telegram trước khi chuyển sang WhatsApp.</t>
  </si>
  <si>
    <t>Tạm thời dùng Google Sheets để quản lý dữ liệu, sau đó tích hợp vào admin Go Đà Nẵng.</t>
  </si>
  <si>
    <t>Chốt lại phạm vi làm trước cho phần đăng ký tạm trú, bao gồm nhập thông tin khách, chụp hình, và tự động đẩy dữ liệu lên hệ thống.</t>
  </si>
  <si>
    <t>Chủ nhật báo lại ngân sách dự kiến và quyết định có triển khai hay không.</t>
  </si>
  <si>
    <t>Trao đổi thêm giữa các bên trong quá trình làm nếu phát sinh vướng mắc, đặc biệt với Chị Hiền.</t>
  </si>
  <si>
    <t>Khi có khách thật và dữ liệu ổn định, mới mở rộng sang các phần tự động chăm sóc, tuyển thêm người hoặc giảm tải nhân sự.</t>
  </si>
  <si>
    <t>Cuộc họp diễn ra vào ngày 14/05/2026, với mục tiêu chính là thảo luận và phân công triển khai các công việc liên quan đến việc tạo trang đăng ký trực tuyến, tích hợp trên trang web "Go Đà Nẵng", bao gồm tính năng gửi email đăng ký thành công, cải thiện giao diện người dùng (UI/UX), và một số tích hợp kỹ thuật liên quan.</t>
  </si>
  <si>
    <t>Hoàn thành form đăng ký và cấu hình gửi email đăng ký thành công. | **Deadline:** 2-3 ngày.</t>
  </si>
  <si>
    <t>Tích hợp form đăng ký vào trang "Go Đà Nẵng" và lưu dữ liệu trong database. | **Deadline:** Không đề cập.</t>
  </si>
  <si>
    <t>Thêm menu "Đăng ký lưu trú" vào phần trang chủ và trong menu "Liêu trú".</t>
  </si>
  <si>
    <t>Thiết kế UI/UX đẹp hơn cho form đăng ký, đảm bảo trải nghiệm người dùng tối ưu. | **Deadline:** 3 ngày (bao gồm đánh giá).</t>
  </si>
  <si>
    <t>Tích hợp đa ngôn ngữ (ưu tiên Tiếng Anh, Tiếng Việt, Tiếng Hàn, Tiếng Trung) cho form đăng ký. | **Deadline:** Không đề cập.</t>
  </si>
  <si>
    <t>Tích hợp thêm các tính năng cross-sell như tour du lịch và các dịch vụ bổ sung. | **Deadline:** Sau khi hoàn thành form đăng ký.</t>
  </si>
  <si>
    <t>Thêm tính năng phân quyền admin cho trang "Go Đà Nẵng".</t>
  </si>
  <si>
    <t>Gửi mẫu phát triển form UI/UX để kiểm tra và nhận feedback từ đồng đội. | **Deadline:** Ngày hôm sau.</t>
  </si>
  <si>
    <t>Sử dụng thiết kế giống phần trang chủ mẫu của "Go Đà Nẵng" để phát triển form đăng ký lưu trú.</t>
  </si>
  <si>
    <t>Ưu tiên phát triển form đăng ký bằng ngôn ngữ Tiếng Anh trước, các ngôn ngữ khác sẽ bổ sung sau.</t>
  </si>
  <si>
    <t>Tập trung làm xong phần form đăng ký và tích hợp UI đơn giản trước, sau đó mới cải thiện UI/UX.</t>
  </si>
  <si>
    <t>Quy định chỉ admin đã đăng nhập mới có thể sử dụng các tính năng quản lý liên quan đến form trên trang "Go Đà Nẵng".</t>
  </si>
  <si>
    <t>UI/UX có thể mất nhiều thời gian để cải thiện, có thể cần thêm thời gian ngoài 3 ngày deadline.</t>
  </si>
  <si>
    <t>Việc tích hợp đa ngôn ngữ có thể phức tạp nếu không có kế hoạch chi tiết và chuẩn bị trước.</t>
  </si>
  <si>
    <t>Hoàn thiện và kiểm tra form đăng ký cơ bản bao gồm gửi email và lưu database.</t>
  </si>
  <si>
    <t>Tích hợp form đăng ký vào trang "Go Đà Nẵng" và thêm phần menu "Đăng ký lưu trú".</t>
  </si>
  <si>
    <t>Gửi mẫu thiết kế form đăng ký để đảm bảo UI/UX đạt yêu cầu.</t>
  </si>
  <si>
    <t>Bổ sung tính năng đa ngôn ngữ và thử nghiệm trên phiên bản demo.</t>
  </si>
  <si>
    <t>Thu thập feedback từ đồng đội sau khi triển khai mẫu form để cải thiện nếu cần.</t>
  </si>
  <si>
    <t>Tiến hành tích hợp admin login và kiểm tra tính năng phân quyền.</t>
  </si>
  <si>
    <t>Triển khai các tính năng cross-sell và tích hợp Google Ads sau giai đoạn đầu.</t>
  </si>
  <si>
    <t>Cuộc họp tập trung vào việc rà soát và chốt phương án báo giá cho các hạng mục website/booking cho nhiều khách hàng, bao gồm trang thông tin cơ bản, booking, đồng bộ OTA, marketing và các gói theo tháng. Đồng thời, cuộc họp cũng thống nhất hướng triển khai test bằng BA, cập nhật file CM và điều chỉnh sản phẩm Omnichannel/Original theo hướng dùng giải pháp của bên mình.</t>
  </si>
  <si>
    <t>Bắn link record sau họp lên Telegram để mọi người theo dõi</t>
  </si>
  <si>
    <t>Sau khi họp xong</t>
  </si>
  <si>
    <t>Liệt kê đầy đủ các tính năng khách hàng cần cho gói website booking cơ bản và gửi lại để báo giá</t>
  </si>
  <si>
    <t>Báo lại cho khách phương án website thông tin cơ bản có phòng, khách đặt phòng bấm là bắn thông tin về Telegram/kênh chat</t>
  </si>
  <si>
    <t>Điều chỉnh báo giá cho phương án website đơn giản về khoảng 30 triệu, thay vì để mức cao như 72 triệu</t>
  </si>
  <si>
    <t>Giải thích rõ cho khách sự khác nhau giữa gói 72 triệu và gói 30 triệu dựa trên tính năng thực tế</t>
  </si>
  <si>
    <t>Đưa thêm 2 BA vào test, mô tả lại kết quả và đưa về team để triển khai tính năng trên Gold Đà Nẵng</t>
  </si>
  <si>
    <t>Update CM để nắm thông tin và tóm tắt lại phần của bên Đức</t>
  </si>
  <si>
    <t>Remind khách chốt lại các tính năng, sau đó làm lại bảng giá vào ngày mai</t>
  </si>
  <si>
    <t>Báo giá cho anh Đức theo mô hình tương tự bên kia, dùng đơn giá nhân công 1,5 triệu/ngày cho 2 Dev và 1 BA</t>
  </si>
  <si>
    <t>Tính lại thời gian triển khai cho dự án anh Đức, ước lượng theo khoảng 20 ngày trước khi tính tiếp phase 2</t>
  </si>
  <si>
    <t>Cập nhật thêm phần tích hợp ở Bắc Mần cho dự án Gâu Đà Nẵng</t>
  </si>
  <si>
    <t>Làm việc với team Dev để xử lý giao diện cho smooth hơn, đặc biệt trên mobile</t>
  </si>
  <si>
    <t>Đẩy lại bản Original của bên mình và chỉnh giao diện Original cho tốt hơn</t>
  </si>
  <si>
    <t>Tích hợp Omnichannel/Macintosh và loại bỏ phần HiChat</t>
  </si>
  <si>
    <t>Chuẩn bị tài khoản cho chị vào test/text phần Monkey chat</t>
  </si>
  <si>
    <t>Website thông tin cơ bản/booking đơn giản sẽ được chốt theo hướng có trang giới thiệu, thông tin phòng, khách đặt phòng bấm là thông tin được bắn về Telegram hoặc kênh thông báo.</t>
  </si>
  <si>
    <t>Gói đơn giản sẽ được báo giá khoảng 30 triệu, thay vì báo theo cấu trúc phức tạp 72 triệu.</t>
  </si>
  <si>
    <t>Báo giá phải dựa trên báo giá cũ và phải giải thích rõ vì sao có chênh lệch giữa các gói.</t>
  </si>
  <si>
    <t>Giá nhân công được chốt để báo khách là 1,5 triệu/ngày cho 2 Dev và 1 BA.</t>
  </si>
  <si>
    <t>Gói booking/website sẽ có phương án bán theo tháng, không chỉ bán nguyên cục.</t>
  </si>
  <si>
    <t>Phần đồng bộ OTA, Market Chat và các tool dạng SaaS sẽ được bán theo gói/tháng.</t>
  </si>
  <si>
    <t>Dự án anh Đức sẽ được báo giá theo mô hình tương tự bên kia, với website tổng hợp các villa và tích hợp booking/social/OTA.</t>
  </si>
  <si>
    <t>Omnichannel sẽ dùng giải pháp của bên mình; bỏ phần HiChat ra để triển khai gọn hơn.</t>
  </si>
  <si>
    <t>Monkey chat sẽ dùng giải pháp của bên mình; không bán nhận xét, mà khách yêu cầu thì dev hoặc BA set up trực tiếp cho khách.</t>
  </si>
  <si>
    <t>Báo giá 72 triệu bị cho là quá cao và chênh lệch lớn so với báo giá cũ, có nguy cơ khiến khách thắc mắc.</t>
  </si>
  <si>
    <t>Phần website booking nếu không làm rõ tính năng cụ thể sẽ khó giải thích cho khách lý do chênh lệch giá.</t>
  </si>
  <si>
    <t>Trang test ban đầu không vào được hết chức năng; cần BA test lại để đối chiếu kết quả.</t>
  </si>
  <si>
    <t>Bên khách có xu hướng phân vân giữa các gói theo tháng và gói mua đứt, nên cần tư vấn rõ.</t>
  </si>
  <si>
    <t>Giao diện mobile hiện chưa ổn lắm, cần team Dev xử lý thêm.</t>
  </si>
  <si>
    <t>Phần Original của bên mình cần được chỉnh lại giao diện để tốt hơn.</t>
  </si>
  <si>
    <t>Omnichannel/HiChat có vấn đề về UI, nếu không tweak lại sẽ ảnh hưởng trải nghiệm.</t>
  </si>
  <si>
    <t>Ngày mai cập nhật lại kết quả trao đổi với khách hàng bên Vision Pro và chốt các tính năng cuối cùng.</t>
  </si>
  <si>
    <t>Ngày mai làm lại báo giá cho anh Đức và gửi để verify trước khi chuyển cho khách.</t>
  </si>
  <si>
    <t>Đưa 2 BA vào test, tổng hợp kết quả test và chuyển cho team triển khai.</t>
  </si>
  <si>
    <t>Chuẩn bị phương án báo giá theo mô hình 1,5 triệu/ngày cho 2 Dev và 1 BA, tương ứng khoảng 30 triệu cho phase 1.</t>
  </si>
  <si>
    <t>Bổ sung phương án bán theo tháng cho các phần booking, OTA, Market Chat và các tool liên quan.</t>
  </si>
  <si>
    <t>Cập nhật thêm phần Bắc Mần cho dự án Gâu Đà Nẵng và tiếp tục xử lý giao diện, phần Original, Omnichannel/Macintosh.</t>
  </si>
  <si>
    <t>Chờ khách chốt tính năng để hoàn thiện lại bảng giá và chuẩn bị cho phase 2 nếu khách tiếp tục mở rộng chuỗi.</t>
  </si>
  <si>
    <t>HR gửi email, thông báo trong nhóm cho tất cả nhân viên.</t>
  </si>
  <si>
    <t>Leader xây dựng hệ thống tự động cho survey.</t>
  </si>
  <si>
    <t>Duy làm việc với các Leader về con số chuyển đổi từ deal sang contract.</t>
  </si>
  <si>
    <t>Duy chốt con số backlog và nghiệm thu với Leader.</t>
  </si>
  <si>
    <t>Lan gửi email cho toàn bộ công ty.</t>
  </si>
  <si>
    <t>Phượng tổng kết chi phí member và import vào hệ thống.</t>
  </si>
  <si>
    <t>Xây dựng hệ thống tự động cho survey do Leader phụ trách.</t>
  </si>
  <si>
    <t>Chốt quy trình để cải thiện tỷ lệ chuyển đổi từ deal sang contract.</t>
  </si>
  <si>
    <t>Chốt tỷ lệ giải ngân ít nhất là 30-40% theo hợp đồng đủ KPI.</t>
  </si>
  <si>
    <t>Leader và team sales có quyền điều chỉnh chi phí và quy trình làm việc.</t>
  </si>
  <si>
    <t>Rủi ro trong việc chuyển đổi từ list khách hàng sang contract do không phải tất cả list đều phù hợp.</t>
  </si>
  <si>
    <t>Nguy cơ trễ tiến độ nghiệm thu ảnh hưởng đến cả team sales và Leader.</t>
  </si>
  <si>
    <t>Lan gửi email tổng hợp và thông tin chốt cho toàn bộ công ty.</t>
  </si>
  <si>
    <t>Duy chốt số liệu chuyển đổi và thảo luận với Vũ và Leader.</t>
  </si>
  <si>
    <t>Tiến hành review quyền của Leader, thông qua thông tin đã gửi qua email.</t>
  </si>
  <si>
    <t>HR chuẩn bị nội dung email gửi cho toàn thể công ty, sửa đổi deadline và conciliate giữa các phòng ban (sales và delivery).</t>
  </si>
  <si>
    <t>Điều chỉnh báo giá trên Google Sheets</t>
  </si>
  <si>
    <t>Không có.</t>
  </si>
  <si>
    <t>Làm video demo các tính năng để giới thiệu cho khách hàng</t>
  </si>
  <si>
    <t>Test API tích hợp với các dịch vụ OTA để đồng bộ giá</t>
  </si>
  <si>
    <t>Rà soát chi phí hạ tầng, điều chỉnh mức phí hosting</t>
  </si>
  <si>
    <t>Mua thêm tài khoản Facebook cho các chiến dịch quảng cáo</t>
  </si>
  <si>
    <t>Không để giá trên slide, tất cả thông tin giá chỉ cập nhật trên Excel hoặc Google Sheets.</t>
  </si>
  <si>
    <t>Chuyển hệ thống thông báo và xác nhận qua Telegram vì miễn phí và tiện lợi.</t>
  </si>
  <si>
    <t>Đưa ra hai lựa chọn giá cho dịch vụ omnichannel: giá theo năm và giá theo tháng.</t>
  </si>
  <si>
    <t>Đơn giản hóa hệ thống đặt phòng để quản lý theo ngày và đêm.</t>
  </si>
  <si>
    <t>Chuyển tất cả thông tin giá qua Google Sheets để thuận tiện quản lý và chỉnh sửa.</t>
  </si>
  <si>
    <t>Tạo bộ sale kit chi tiết gồm báo giá và tính năng sản phẩm để hỗ trợ việc bán hàng.</t>
  </si>
  <si>
    <t>Triển khai API với OTA để thử nghiệm đồng bộ giá và đặt phòng.</t>
  </si>
  <si>
    <t>Xem xét điều chỉnh chi phí dịch vụ để khách hàng dễ dàng lựa chọn các gói dịch vụ.</t>
  </si>
  <si>
    <t>Tích hợp dữ liệu từ PlayGrid, Yellow Web vào hệ thống</t>
  </si>
  <si>
    <t>Phát triển bảng KPI cho các tương tác trong app</t>
  </si>
  <si>
    <t>Cải tiến giao diện với tích hợp dữ liệu từ người dùng</t>
  </si>
  <si>
    <t>Tích hợp phần dialog raw data từ Yellow</t>
  </si>
  <si>
    <t>Triển khai tính năng tương tác và bình luận trong app</t>
  </si>
  <si>
    <t>Chạy 3-tier hệ thống: Local, Actor nội bộ, Actor bên thứ 3</t>
  </si>
  <si>
    <t>Cuối tuần</t>
  </si>
  <si>
    <t>Tích hợp phần xử lý từ YouTube và Facebook</t>
  </si>
  <si>
    <t>Trong vòng 3 ngày</t>
  </si>
  <si>
    <t>Tạo agent tự soạn hợp đồng và cập nhật hệ thống</t>
  </si>
  <si>
    <t>Tích hợp dữ liệu từ LinkedIn</t>
  </si>
  <si>
    <t>Tối ưu hóa crawl dữ liệu từ Facebook</t>
  </si>
  <si>
    <t>Đẩy toàn bộ tool lên Verso để sử dụng công khai</t>
  </si>
  <si>
    <t>Lưu trữ và xử lý token từ các AI</t>
  </si>
  <si>
    <t>Duyệt việc sử dụng account Facebook mặc định không cần login.</t>
  </si>
  <si>
    <t>Cách thời gian giữa các lần crawl để tránh bị block.</t>
  </si>
  <si>
    <t>Vấn đề actor chạy không ổn định khi crawl dữ liệu.</t>
  </si>
  <si>
    <t>LinkedIn chặn khi crawl, cần tìm cách bypass.</t>
  </si>
  <si>
    <t>Có khả năng bị block khi dùng nhiều request cùng lúc trên Facebook.</t>
  </si>
  <si>
    <t>Tích hợp dữ liệu trên tất cả các nền tảng để cải tiến giao diện người dùng.</t>
  </si>
  <si>
    <t>Xây dựng hệ thống 3-tier chạy local và tích hợp actor.</t>
  </si>
  <si>
    <t>Tối ưu hóa chức năng crawl từ Facebook với thời gian mỗi lần crawl cách xa nhau.</t>
  </si>
  <si>
    <t>Đẩy tất cả các công cụ lên môi trường Verso để sử dụng rộng rãi.</t>
  </si>
  <si>
    <t>Hoàn thiện agent tự soạn hợp đồng và kiểm tra tính khả thi.</t>
  </si>
  <si>
    <t>Triển khai và kiểm tra việc giữa thông tin từ YouTube, LinkedIn để đảm bảo không bị chặn.</t>
  </si>
  <si>
    <t>Đánh giá và tối ưu hóa hệ thống lưu trữ dữ liệu token AI.</t>
  </si>
  <si>
    <t>Bạn có thể cần theo dõi tiến độ của từng công việc và xử lý các vấn đề phát sinh nhanh chóng để đạt được mục tiêu đề ra.</t>
  </si>
  <si>
    <t>Tập trung tìm nguồn và xây dựng cộng đồng để chuẩn bị chiến lược kinh doanh cho mùa đông.</t>
  </si>
  <si>
    <t>Tổng hợp và chuẩn hóa thông tin về các nguồn từ chủ nhà vào Google Sheets.</t>
  </si>
  <si>
    <t>Đề xuất và triển khai giải pháp công nghệ tự động hóa nhắc nhở đăng ký tạm trú cho khách thuê. Deadline: "Không đề cập".</t>
  </si>
  <si>
    <t>Đưa danh sách Google Sheets vào nhóm nội bộ (group dialog) để các CTV sử dụng làm nguồn dữ liệu. Deadline: "Không đề cập".</t>
  </si>
  <si>
    <t>Cân nhắc cơ cấu chia hoa hồng cho các bên liên quan (CTV, công ty, sales, marketing).</t>
  </si>
  <si>
    <t>Chính sách chia hoa hồng như sau:</t>
  </si>
  <si>
    <t>- 10% dành cho người cung cấp nguồn khách (nếu giao dịch thành công).</t>
  </si>
  <si>
    <t>- Nếu người cung cấp nguồn kiêm tư vấn và dẫn khách, hoa hồng là 50%.</t>
  </si>
  <si>
    <t>- 40% còn lại sẽ do công ty phân phối hoặc quyết toán theo nội bộ.</t>
  </si>
  <si>
    <t>Tạo Google Sheets tổng hợp nguồn chủ nhà với thông tin chi tiết và mức phí hoa hồng tối thiểu từ chủ nhà là 8%.</t>
  </si>
  <si>
    <t>Ưu tiên xây dựng hệ thống nhắc nhở trực tuyến (qua Zalo/Telegram) cho việc đăng ký tạm trú và hạn Visa của khách nước ngoài.</t>
  </si>
  <si>
    <t>Giá thuê bất động sản cao nhưng lượng khách thuê giảm, đặc biệt là trong mùa mưa.</t>
  </si>
  <si>
    <t>Mức hoa hồng của các bên cần được thống nhất để tránh mâu thuẫn khi triển khai.</t>
  </si>
  <si>
    <t>Rủi ro lộ thông tin doanh thu, khách hàng nếu sử dụng nền tảng của bên thứ ba.</t>
  </si>
  <si>
    <t>Quy trình nhập tay dữ liệu gây mất thời gian và tiềm ẩn sai sót.</t>
  </si>
  <si>
    <t>Cảnh báo về việc bị xử phạt vì không đăng ký tạm trú đúng hạn cho khách nước ngoài.</t>
  </si>
  <si>
    <t>Hoàn tất danh sách Google Sheets và gửi vào nhóm nội bộ để các bên sử dụng làm tài liệu tham khảo nguồn.</t>
  </si>
  <si>
    <t>Triển khai xây dựng hệ thống nhắc nhở tự động qua Zalo/Telegram hoặc các nền tảng phù hợp để quản lý đăng ký tạm trú, nhắc hạn Visa.</t>
  </si>
  <si>
    <t>Xem xét kỹ lưỡng và đề xuất chính sách chia hoa hồng khi làm việc với CTV, bao gồm các mức thưởng và quy trình xử lý.</t>
  </si>
  <si>
    <t>Chuẩn bị chiến lược marketing mùa đông, tập trung xây dựng nguồn khách và chạy quảng cáo để sẵn sàng khi thị trường khởi sắc.</t>
  </si>
  <si>
    <t>Bàn bạc và quyết định việc sử dụng hoặc không sử dụng hệ thống công nghệ bên thứ ba nhằm đảm bảo bảo mật thông tin của công ty.</t>
  </si>
  <si>
    <t>Nếu cần cập nhật thêm thông tin từ cuộc họp, vui lòng cung cấp thêm chi tiết.</t>
  </si>
  <si>
    <t>Uyển sẽ chịu trách nhiệm chính trong việc report hàng tuần.</t>
  </si>
  <si>
    <t>Xem xét khả năng xuất hoá đơn cho công ty Marquee và làm hợp đồng dịch vụ nếu cần.</t>
  </si>
  <si>
    <t>Tổng hợp danh sách nhân sự KOC và trong team, cùng với bản phân công nhiệm vụ trong dự án.</t>
  </si>
  <si>
    <t>Dự kiến ngân sách chạy quảng cáo: tổng cộng 4 triệu rưỡi cho các nền tảng, gồm Google, Facebook, TikTok.</t>
  </si>
  <si>
    <t>Sau một tuần test, đánh giá hiệu quả và tùy chỉnh ngân sách quảng cáo.</t>
  </si>
  <si>
    <t>Mai được đề xuất tham gia để tích hợp phần chạy quảng cáo vào Marquee.</t>
  </si>
  <si>
    <t>Uyển sẽ là người lead phần report.</t>
  </si>
  <si>
    <t>Chạy thử nghiệm quảng cáo trong một tuần với ngân sách 4.5 triệu đồng.</t>
  </si>
  <si>
    <t>Freelancer sẽ chịu trách nhiệm chính trong việc chạy quảng cáo.</t>
  </si>
  <si>
    <t>Tích hợp tính năng quảng cáo vào Marquee là cần thiết.</t>
  </si>
  <si>
    <t>Vấn đề về việc xuất hóa đơn và hợp đồng dịch vụ cho công ty Marquee.</t>
  </si>
  <si>
    <t>Thiếu thông tin cụ thể về chỉ số tiếp cận trong các chiến dịch quảng cáo.</t>
  </si>
  <si>
    <t>Quản lý chi phí và hiệu quả từ các chiến dịch quảng cáo chưa rõ ràng.</t>
  </si>
  <si>
    <t>Xác định khả năng xuất hóa đơn và hoàn tất hợp đồng dịch vụ cho công ty Marquee.</t>
  </si>
  <si>
    <t>Thực hiện chạy thử nghiệm quảng cáo và đánh giá kết quả.</t>
  </si>
  <si>
    <t>Thiết lập chỉ số KPI cụ thể sau một tuần thử nghiệm quảng cáo.</t>
  </si>
  <si>
    <t>Tích hợp chức năng quảng cáo vào Marquee và đảm bảo có nhân sự nội bộ theo dõi quá trình này.</t>
  </si>
  <si>
    <t>Mai cần tham gia để hiểu rõ quy trình chạy quảng cáo và tích hợp vào Marquee.</t>
  </si>
  <si>
    <t>Cuộc họp nhằm giới thiệu và làm rõ về quá trình tuyển dụng, định hướng và nhiệm vụ của các thực tập sinh tại công ty liên quan đến lĩnh vực marketing, đặc biệt là chạy quảng cáo, kỹ năng sales, và các quy định liên quan đến thời gian làm việc, KPI, cùng quy trình làm việc trong dự án. Cuộc họp cũng bàn về các vị trí, địa điểm làm việc, và các yêu cầu đề ra cho thực tập sinh.</t>
  </si>
  <si>
    <t>Các thực tập sinh cần thực hiện việc lên kế hoạch và thử nghiệm phù hợp với KPI đã đề ra để nâng cấp level của bản thân | Thời gian: trong 2-4 tuần tới</t>
  </si>
  <si>
    <t>Sau khi có kết quả KPI, các thực tập sinh cần review và phản hồi sớm hơn nếu đạt kết quả tốt để lên level nhanh | Thời gian: liên tục trong quá trình thực tập</t>
  </si>
  <si>
    <t>Nhân viên và leader sẽ hỗ trợ sắp xếp các vị trí phù hợp để thử nghiệm, nhằm xác định lĩnh vực phù hợp nhất của từng người | Không đề cập deadline</t>
  </si>
  <si>
    <t>Các thực tập sinh cần làm theo quy trình làm việc đã được hướng dẫn, chuẩn bị sẵn sàng cho quá trình bắt đầu công việc sau khi leader giao nhiệm vụ | Không đề cập deadline</t>
  </si>
  <si>
    <t>Các thực tập sinh cần đảm bảo đúng quy định về thời gian lên văn phòng, báo trước, và các quy định liên quan đến chấm công, thẻ ra vào | Không đề cập deadline</t>
  </si>
  <si>
    <t>Các thực tập sinh được phép thử nghiệm các vị trí và lĩnh vực khác nhau trong thời gian đầu để xác định lĩnh vực phù hợp nhất.</t>
  </si>
  <si>
    <t>Thời gian thực tập dự kiến là 2 đến 4 tuần, tùy thuộc vào KPI đạt được của từng cá nhân.</t>
  </si>
  <si>
    <t>KPI là tiêu chí để đánh giá hiệu quả làm việc và là căn cứ tính lương, không phải để chơi chơi.</t>
  </si>
  <si>
    <t>Trong thời gian thử nghiệm, nếu không đạt KPI sau 3 tuần, sẽ có cảnh báo và nếu không cải thiện sau tuần thứ 4, sẽ bị loại khỏi chương trình thực tập.</t>
  </si>
  <si>
    <t>Không có đề cập rõ ràng về các rủi ro hoặc vấn đề tồn đọng cụ thể trong transcript.</t>
  </si>
  <si>
    <t>Một số câu hỏi của thực tập sinh liên quan đến việc xác định KPI và khả năng đổi vị trí để phù hợp, có thể ảnh hưởng đến hiệu quả làm việc nếu không được xử lý rõ ràng.</t>
  </si>
  <si>
    <t>Rủi ro trong việc đáp ứng KPI đúng hạn có thể ảnh hưởng đến việc duy trì hợp đồng thực tập và hiệu quả công việc.</t>
  </si>
  <si>
    <t>Các leader sẽ liên hệ để sắp xếp và bắt đầu phân bổ công việc phù hợp cho các thực tập sinh dựa trên kết quả thử nghiệm và KPI.</t>
  </si>
  <si>
    <t>Thực tập sinh cần cố gắng đạt KPI trong khoảng 2-4 tuần, liên tục review và phản hồi để nâng cao khả năng, sớm lên level.</t>
  </si>
  <si>
    <t>Trong vòng 2 tuần đầu, nếu KPI chưa đạt, sẽ có cảnh báo lần 1, sau 3 tuần nếu không có tiến bộ, sẽ cảnh báo lần 2, và trong tuần thứ 4 sẽ xem xét loại khỏi chương trình thực tập.</t>
  </si>
  <si>
    <t>Các thực tập sinh theo dõi chặt chẽ quy trình làm việc, thời gian làm việc, và các quy định của công ty để đảm bảo hợp lệ và hiệu quả.</t>
  </si>
  <si>
    <t>Chỉnh sửa thiết kế trang Maki Landing Page, tập trung vào các yếu tố hình ảnh, nội dung chữ, và chức năng CTA (call to action).</t>
  </si>
  <si>
    <t>Thay đổi câu chữ trên Landing Page theo nội dung mới là: "Nền tảng AI Marketing giúp tạo đồ dùng nhanh cấp 10 lần mà tăng trưởng bằng dữ liệu thật".</t>
  </si>
  <si>
    <t>Làm phần hình ảnh slide chuyển đổi tự động 5 giây một lần.</t>
  </si>
  <si>
    <t>Tích hợp chức năng sổ CTA cho phép khách hàng dễ dàng nhập số điện thoại và gửi thông tin qua Telegram.</t>
  </si>
  <si>
    <t>Điều chỉnh layout trên phiên bản mobile, đảm bảo cân đối hình ảnh và chữ trên màn hình nhỏ.</t>
  </si>
  <si>
    <t>Bổ sung chức năng Omnichannel và Mascot thu gọn giao diện chat trên Maki Chat.</t>
  </si>
  <si>
    <t>Sửa phần "Doanh nghiệp bạn đang gặp vấn đề gì?" với nội dung 4 vấn đề quản lý phổ biến.</t>
  </si>
  <si>
    <t>Thêm cơ hội dùng thử 30 ngày miễn phí cho khách hàng ở phần CTA, đặt lên trước menu.</t>
  </si>
  <si>
    <t>Điều chỉnh tính năng hiển thị video và minh họa khách hàng thực tế.</t>
  </si>
  <si>
    <t>Chỉnh sửa menu giao diện, thay text "Menu" hoặc biểu tượng ba gạch đồng nhất trên các trang.</t>
  </si>
  <si>
    <t>Bổ sung hotline với số điện thoại và nút gọi ngay trên cả phiên bản desktop và mobile.</t>
  </si>
  <si>
    <t>Sửa giá tiền từ "5 triệu và 20 triệu" về "2 triệu" trên tất cả các khu vực hiển thị.</t>
  </si>
  <si>
    <t>Thay đổi màu sắc trên trang để phù hợp với màu chủ đạo của thương hiệu.</t>
  </si>
  <si>
    <t>Bố cục trên trang Maki Landing Page sẽ ưu tiên hình ảnh chính và các thông điệp trực diện trên cùng.</t>
  </si>
  <si>
    <t>Sử dụng slide hình ảnh và chức năng sổ xuống (dropdown) cho CTA để tối ưu hóa trải nghiệm người dùng.</t>
  </si>
  <si>
    <t>Quyết định chọn mascot (hình) để thu gọn giao diện tương tác trên Maki Chat.</t>
  </si>
  <si>
    <t>Giữ nguyên layout hiện tại trên desktop, chỉ tập trung điều chỉnh trên giao diện mobile.</t>
  </si>
  <si>
    <t>Thống nhất hotline và menu phải đồng nhất giữa các trang. Hotline bao gồm số điện thoại và nút "gọi ngay".</t>
  </si>
  <si>
    <t>Rủi ro chưa lường trước được thời gian hoàn thành nếu các yêu cầu chỉnh sửa phát sinh nhiều.</t>
  </si>
  <si>
    <t>Chưa có cách xử lý đồng nhất giữa các yếu tố giao diện trên desktop và mobile, cần quyết định sớm cách hiển thị cuối cùng.</t>
  </si>
  <si>
    <t>Thiếu dữ liệu thực tế từ khách hàng để hoàn chỉnh phần video chứng minh tính hiệu quả.</t>
  </si>
  <si>
    <t>Tiến hành chỉnh sửa giao diện Landing Page và thêm các tính năng đã nêu trong Action Items (ưu tiên chỉnh giao diện rồi đến chức năng).</t>
  </si>
  <si>
    <t>Kiểm tra hiển thị trên cả desktop và mobile để đảm bảo đồng nhất về bố cục.</t>
  </si>
  <si>
    <t>Gửi sản phẩm chỉnh sửa tạm thời cho nhóm Marketing để bổ sung nội dung chính xác, bao gồm hình ảnh, video và mascot.</t>
  </si>
  <si>
    <t>Họp lại sau khi cập nhật các chỉnh sửa, dự kiến sau 3-5 ngày, để xác nhận hoàn thiện hoặc yêu cầu thay đổi tiếp.</t>
  </si>
  <si>
    <t>Cuộc họp ngày 2026-05-18 kéo dài 23 phút, thảo luận về việc triển khai các dự án liên quan đến Zenfood, Housing Đà Nẵng, CDMP, và các công việc liên quan đến tối ưu quy trình, phát triển giao diện website, và xử lý vấn đề tự động hóa. Mục tiêu chính là phân công nhiệm vụ, xử lý các dự án còn tồn đọng, và đưa ra hướng dẫn cụ thể để đảm bảo tiến độ công việc.</t>
  </si>
  <si>
    <t>Sửa lại giao diện landing page cho dự án Zenfood và đưa lên trang web trong tuần</t>
  </si>
  <si>
    <t>Thứ Ba hoặc Thứ Tư.</t>
  </si>
  <si>
    <t>Phân công các phần của dự án Zenfood: Tiên và Thanh chịu trách nhiệm, các phần đơn giản khác sẽ được giao cho nhân sự khác.</t>
  </si>
  <si>
    <t>Triển khai hai dự án website (Housing Đà Nẵng và dự án của Đức) dựa trên Siemens framework hiện có.</t>
  </si>
  <si>
    <t>Tiên đảm nhận việc xử lý trực tiếp và đôn đốc các nhiệm vụ của team đối với dự án Housing Đà Nẵng.</t>
  </si>
  <si>
    <t>Hoàn thiện bảng đánh giá chỉ số (ranking) member để cập nhật xếp hạng từ 1 đến 100.</t>
  </si>
  <si>
    <t>Thuật hỗ trợ làm frontend hoặc CDP nếu cần (chuyển dự án từ Wordpress sang system mới tối ưu).</t>
  </si>
  <si>
    <t>Kiểm tra tài liệu automation vụt lâu (dự án cầu Đà Nẵng) và bổ sung nhân sự xử lý phần thanh lý giấy tờ đăng ký tự động online.</t>
  </si>
  <si>
    <t>Tiên làm mẫu cho dự án cập nhật thông tin apartment, sau đó phân công nhân sự làm các trường hợp còn lại.</t>
  </si>
  <si>
    <t>Xử lý phần tích hợp YOLO để nhập dữ liệu vào database web và forward thông tin qua các group khác.</t>
  </si>
  <si>
    <t>Chuẩn bị so sánh và lựa chọn giải pháp Analytics: Open Panel và TakerD được xem xét.</t>
  </si>
  <si>
    <t>Bổ sung thông tin từ chị Hiền vào danh sách thông tin apartment đã được liệt kê | Người phụ trách: Tiên.</t>
  </si>
  <si>
    <t>Chốt deadline báo giá và kế hoạch làm các dự án cần quyết định trước Thứ Tư.</t>
  </si>
  <si>
    <t>Sử dụng Siemens framework duy nhất thay vì tạo thêm framework mới để tiết kiệm tài nguyên và nâng cao hiệu quả.</t>
  </si>
  <si>
    <t>Làm mới dự án của Đức thay vì tiếp tục sử dụng nền tảng Wordpress.</t>
  </si>
  <si>
    <t>Hai dự án Zenfood và dự án của Đức được xếp cùng mức độ ưu tiên.</t>
  </si>
  <si>
    <t>Dùng Open Panel và TakerD làm giải pháp Analytics cho các dự án.</t>
  </si>
  <si>
    <t>Tiến hành triển khai ngay các tính năng quan trọng của dự án, không chờ chốt toàn bộ, nhằm đẩy nhanh tiến độ.</t>
  </si>
  <si>
    <t>Tiến độ giao dự án bị ảnh hưởng bởi việc thiếu thông tin và feedback kịp thời (ví dụ: dự án của Đức không được update đúng hạn).</t>
  </si>
  <si>
    <t>Tình trạng phân bổ nhân sự chưa hợp lý, khả năng gây chậm deadline (cần bổ sung nhân sự cho các nhiệm vụ lớn như cập nhật thông tin apartment).</t>
  </si>
  <si>
    <t>Rủi ro về tích hợp YOLO cho import dữ liệu và forward thông tin do hạn chế kỹ thuật (không có API).</t>
  </si>
  <si>
    <t>Một số khách hàng cho rằng báo giá cao và tự phát triển giải pháp thay thế, gây mất cơ hội hợp tác.</t>
  </si>
  <si>
    <t>HOÀN THIỆN:</t>
  </si>
  <si>
    <t>- Sửa landing page của Zenfood và đưa trang web lên hệ thống trong tuần.</t>
  </si>
  <si>
    <t>- Triển khai mẫu cập nhật thông tin apartment (do Tiên làm mẫu) và phân công các phần còn lại cho team.</t>
  </si>
  <si>
    <t>- Xử lý tự động hóa giấy tờ (dự án cầu Đà Nẵng) bằng cách phân bổ nhân sự cụ thể, ưu tiên Thanh.</t>
  </si>
  <si>
    <t>PHÂN BỔ NHÂN LỰC:</t>
  </si>
  <si>
    <t>- Chia hai dự án Zenfood và của Đức cho hai team nhỏ, đảm bảo cả hai dự án tiến hành song song.</t>
  </si>
  <si>
    <t>- Giao nhiệm vụ frontend các dự án còn tồn đọng cho Hoàng hoặc Thuật.</t>
  </si>
  <si>
    <t>KIỂM TRA &amp; ĐÁNH GIÁ:</t>
  </si>
  <si>
    <t>- Hoàn thành bảng đánh giá chỉ số của từng member để cân nhắc giao công việc phù hợp.</t>
  </si>
  <si>
    <t>- Kiểm tra Yolo và các tích hợp forward thông tin.</t>
  </si>
  <si>
    <t>- Check lại hiệu suất và mức độ khả thi của các giải pháp Analytics đã chọn.</t>
  </si>
  <si>
    <t>CHỐT KẾ HOẠCH:</t>
  </si>
  <si>
    <t>- Báo giá và kế hoạch cho các dự án cần quyết định trước Thứ Tư.</t>
  </si>
  <si>
    <t>- Tổng hợp thông tin từ chị Hiền và update danh sách thông tin apartment hoàn chỉnh.</t>
  </si>
  <si>
    <t>Hoàn thiện và bổ sung thông tin còn thiếu của survey hiện tại, bao gồm các nội dung liên quan đến dự án Asia Green refill.</t>
  </si>
  <si>
    <t>Chưa đề cập</t>
  </si>
  <si>
    <t>Review và thống nhất formula tính Saving Bonus để đảm bảo áp dụng chính xác cho từng team.</t>
  </si>
  <si>
    <t>Điều chỉnh hợp đồng dài hạn bằng cách chia thành các giai đoạn cụ thể để dễ theo dõi và quản lý.</t>
  </si>
  <si>
    <t>Update thông tin dự án thiếu cho Lan để hoàn thiện báo cáo tổng hợp.</t>
  </si>
  <si>
    <t>Cuối tuần này</t>
  </si>
  <si>
    <t>Trao đổi thêm với team SEO về việc xây dựng danh sách khách hàng tiềm năng (lượng báo giá đảm bảo đạt 10 tỷ, với tỷ lệ chuyển đổi khả thi 20%).</t>
  </si>
  <si>
    <t>Cập nhật chi tiết tài chính, KPI và kế hoạch cho Lan để chỉnh sửa lại cụ thể.</t>
  </si>
  <si>
    <t>Xây dựng các case study thực tế để team SEO hiểu rõ và tăng khả năng tư vấn khách hàng.</t>
  </si>
  <si>
    <t>Công thức Saving Bonus bổ sung revenue vào tính KPI chung để đảm bảo tính minh bạch, với điều kiện saving không được âm quá 50 triệu.</t>
  </si>
  <si>
    <t>Các hợp đồng kéo dài hơn 6 tháng sẽ được cắt thành các giai đoạn nhỏ hơn để theo dõi tiến độ và hiệu quả cụ thể.</t>
  </si>
  <si>
    <t>Giai đoạn đầu, delivery team chỉ chịu trách nhiệm đảm bảo hiệu quả hoạt động ở mức KPI (55%), không đặt áp lực về doanh thu tối thiểu với mỗi team.</t>
  </si>
  <si>
    <t>Ưu tiên trước mắt là cải thiện hiệu suất làm việc và áp dụng công nghệ (bao gồm AI) để giảm chi phí và nâng cao tốc độ xử lý công việc.</t>
  </si>
  <si>
    <t>Định hướng công ty tập trung vào chuyển đổi số cho doanh nghiệp vừa và nhỏ trong nước và mở rộng hợp tác quốc tế, đặc biệt ở thị trường Đông Nam Á và khu vực châu Á - Thái Bình Dương.</t>
  </si>
  <si>
    <t>Lo ngại về việc thiếu danh sách khách hàng tiềm năng và khả năng chuyển đổi dự án.</t>
  </si>
  <si>
    <t>Rủi ro về việc không đảm bảo KPI hoặc Saving Bonus nếu danh sách khách hàng từ team SEO chưa đủ chất lượng.</t>
  </si>
  <si>
    <t>Thiếu sự kết nối và chia sẻ thông tin đầy đủ giữa các team (đặc biệt giữa team Delivery và team SEO), khiến việc tư vấn khách hàng của team SEO bị ảnh hưởng.</t>
  </si>
  <si>
    <t>Dự án kéo dài thời gian hoặc phát sinh chi phí không lường trước ảnh hưởng đến quỹ dự án và KPI đã đặt ra.</t>
  </si>
  <si>
    <t>Kiểm tra và bổ sung các thông tin thiếu trong survey hiện tại để đảm bảo tính toàn diện.</t>
  </si>
  <si>
    <t>Lan cập nhật báo cáo và điều chỉnh chi tiết công thức KPI, Saving Bonus theo các ý kiến được thống nhất.</t>
  </si>
  <si>
    <t>Team SEO và Delivery phối hợp xây dựng danh sách khách hàng tiềm năng đạt tiêu chí chất lượng, đồng thời trao đổi thường xuyên để cải thiện hiệu quả chuyển đổi.</t>
  </si>
  <si>
    <t>Xây dựng các case study và chia sẻ thông tin giữa các team để giúp team SEO hiểu rõ thực tế và tăng khả năng tư vấn cho khách hàng.</t>
  </si>
  <si>
    <t>Bắt đầu triển khai chiến lược áp dụng AI trong quy trình làm việc để giảm chi phí và tăng hiệu suất công việc.</t>
  </si>
  <si>
    <t>Theo sát các hợp đồng dài hạn, thực hiện chia hợp đồng thành giai đoạn để giảm rủi ro liên quan đến đánh giá KPI.</t>
  </si>
  <si>
    <t>Tiếp tục định hướng chuyển đổi số trong nước cho doanh nghiệp vừa và nhỏ, đồng thời từng bước phát triển thị trường quốc tế.</t>
  </si>
  <si>
    <t>Kết thúc biên bản.</t>
  </si>
  <si>
    <t>Xử lý và đẩy toàn bộ các link CDA về Yellow OA.</t>
  </si>
  <si>
    <t>Loại bỏ phần đăng ký nhận đề môn, chỉ để truy cập ứng dụng.</t>
  </si>
  <si>
    <t>Thiết kế lại layout giao diện, chuyển trình bày từ cột sang hàng.</t>
  </si>
  <si>
    <t>Chuyển nội dung phần "Manager team" sang tab mới, cải thiện thiết kế từ một màn hình thành hai màn hình riêng biệt.</t>
  </si>
  <si>
    <t>Chỉnh sửa nội dung văn bản:</t>
  </si>
  <si>
    <t>- Thay đổi nội dung thành "Tôi muốn thêm khách hàng" theo yêu cầu.</t>
  </si>
  <si>
    <t>- Sắp xếp lại vị trí và nội dung trong các tab liên quan.</t>
  </si>
  <si>
    <t>Đưa nội dung "liên hệ để xem giá" và thêm giá cụ thể (giá thấp nhất: 2 triệu).</t>
  </si>
  <si>
    <t>Loại bỏ các chi tiết không cần thiết như phần phản ứng "đặc biệt đông".</t>
  </si>
  <si>
    <t>Toàn bộ đường dẫn CDA sẽ được đẩy về Yellow OA.</t>
  </si>
  <si>
    <t>Định hướng thay đổi giao diện: từ cột sang hàng, từ một màn hình thành hai màn hình để tối ưu hiển thị.</t>
  </si>
  <si>
    <t>Điều chỉnh nội dung văn bản, sắp xếp lại nội dung trong tab theo yêu cầu cụ thể.</t>
  </si>
  <si>
    <t>Bổ sung giá rẻ nhất (2 triệu) vào phần thông tin liên hệ.</t>
  </si>
  <si>
    <t>Thiết lập lại giao diện theo các yêu cầu đã xác định, bao gồm thay đổi layout, hiển thị đa màn hình và điều chỉnh tab "Manager team".</t>
  </si>
  <si>
    <t>Cập nhật toàn bộ nội dung văn bản theo chỉnh sửa: thay đổi nội dung và sắp xếp lại vị trí các thông tin.</t>
  </si>
  <si>
    <t>Loại bỏ các thành phần không còn cần thiết như "đăng ký nhận đề môn" và các chi tiết không quan trọng khác.</t>
  </si>
  <si>
    <t>Đẩy link CDA về Yellow OA theo kế hoạch đề ra.</t>
  </si>
  <si>
    <t>Đặt giá rẻ nhất (2 triệu) vào chi tiết liên hệ và đảm bảo giao diện hiển thị đúng theo thiết kế.</t>
  </si>
  <si>
    <t>Cuộc họp ngày 2026-05-18 với mục tiêu thảo luận và thúc đẩy các hoạt động liên quan đến triển khai tính năng của dự án Marquee, định hướng lại chiến lược marketing, kiểm tra tiến độ các dự án, và tối ưu các công cụ nội bộ bao gồm MCP, KPI, Omnichannel, và Maki Chat. Đồng thời, cuộc họp nhấn mạnh việc liên kết giữa team Product, Marketing, và Dev để cải thiện quy trình làm việc.</t>
  </si>
  <si>
    <t>Quay và hoàn thiện video hướng dẫn sử dụng tính năng mới của MCP.</t>
  </si>
  <si>
    <t>Chốt KPI bình thường ngay trong ngày mai (2026-05-19) và triển khai setup cho tất cả các team.</t>
  </si>
  <si>
    <t>Hoàn thiện các nội dung liên quan đến video hướng dẫn trên các nền tảng Facebook và Tiktok (10 video).</t>
  </si>
  <si>
    <t>Phát triển tài liệu và video hướng dẫn đầy đủ cho mỗi tính năng mới được sản xuất bởi team Product.</t>
  </si>
  <si>
    <t>Bổ sung tracking trên hệ thống nội bộ.</t>
  </si>
  <si>
    <t>Tạo và hoàn thành website mới dành cho Marquee Agency.</t>
  </si>
  <si>
    <t>Lập kế hoạch truyền thông dành cho Marquee Agency, bao gồm fanpage và chiến lược nội dung tháng.</t>
  </si>
  <si>
    <t>Kiểm tra lại và tích hợp Omnichannel vào Maki Chat.</t>
  </si>
  <si>
    <t>Mua tài khoản Gmail phục vụ nhu cầu tạo tài khoản LinkedIn cho các con AI Agent.</t>
  </si>
  <si>
    <t>Cung cấp tài liệu hướng dẫn chi tiết cách sử dụng tất cả tính năng (đã có tài liệu nhưng yêu cầu bổ sung thêm link và video).</t>
  </si>
  <si>
    <t>Tuyển dụng thêm thành viên để hỗ trợ dự án.</t>
  </si>
  <si>
    <t>Không bán trực tiếp công cụ Maki, tiếp cận khách hàng qua việc triển khai dịch vụ Marketing Agency tích hợp AI để tạo sự khác biệt.</t>
  </si>
  <si>
    <t>Kế hoạch Marketing Agency: bắt đầu tập trung xây dựng fanpage và website riêng biệt cho Marquee Agency.</t>
  </si>
  <si>
    <t>Tạm dừng các yêu cầu liên quan đến website cũ của Maki, không đập lại website hiện tại.</t>
  </si>
  <si>
    <t>Dùng Omnichannel thay thế HiChat để đảm bảo độ ổn định. Tích hợp Omnichannel với các nền tảng nội bộ như Maki AI và Maki Chat.</t>
  </si>
  <si>
    <t>Đẩy roadmap tính năng lên hệ thống nội bộ, bổ sung ngày hoàn thành để tiện tracking.</t>
  </si>
  <si>
    <t>Quy trình áp dụng cho các tính năng: khi có tính năng mới, team Product phải cung cấp đầy đủ tài liệu hướng dẫn, video và feedback.</t>
  </si>
  <si>
    <t>Việc sử dụng các tính năng của Maki trong nội bộ chưa hiệu quả, nhiều team không chủ động khai thác đầy đủ công cụ.</t>
  </si>
  <si>
    <t>Tính năng mới từ Product hiện tại thiếu tài liệu và video hướng dẫn chi tiết, gây khó khăn cho team Marketing trong việc test và triển khai.</t>
  </si>
  <si>
    <t>Chậm tiến độ thực hiện các kế hoạch được đề ra, đặc biệt là vấn đề phản hồi từ Dev về tính năng mới.</t>
  </si>
  <si>
    <t>Số lượng nhân sự hiện tại không đủ (team Marketing chỉ có 2 thành viên), cần tuyển thêm người nhưng chưa chọn được ứng viên phù hợp.</t>
  </si>
  <si>
    <t>Yêu cầu từ khách hàng về tên miền riêng biệt cho từng villa có thể gây tốn kém và khó khăn trong quản lý tài nguyên.</t>
  </si>
  <si>
    <t>**Hoàn thiện hướng dẫn:** Quay và cập nhật video hướng dẫn sử dụng cho MCP và các tính năng liên quan trên các nền tảng (Facebook, Tiktok).</t>
  </si>
  <si>
    <t>**Kế hoạch truyền thông:** Xây dựng website và fanpage riêng cho Marquee Agency, hoàn thành nội dung và bắt đầu chạy truyền thông từ tuần sau.</t>
  </si>
  <si>
    <t>**Tối ưu quy trình:** Team Product và Marketing thống nhất quy trình release tính năng mới, bao gồm tài liệu, doc hướng dẫn, video và link tích hợp.</t>
  </si>
  <si>
    <t>**Tuyển dụng:** Tăng cường phỏng vấn và tuyển thành viên mới cho team Marketing để bổ sung nhân lực.</t>
  </si>
  <si>
    <t>**Tích hợp công cụ:** Tiến hành tích hợp Omnichannel vào hệ thống Maki Chat và test vận hành.</t>
  </si>
  <si>
    <t>**Theo dõi KPI:** Setup KPI bình thường và triển khai cho tất cả các team từ ngày mai, tiếp tục tracking hiệu quả làm việc qua công cụ.</t>
  </si>
  <si>
    <t>**Quản lý tài sản kỹ thuật:** Mua thêm Gmail và tài khoản liên quan để phục vụ nhu cầu tạo LinkedIn AI Agent.</t>
  </si>
  <si>
    <t>**Xử lý tên miền:** Trao đổi và điều chỉnh phương án tên miền cho các villa Go Đà Nẵng để giảm chi phí quản lý.</t>
  </si>
  <si>
    <t>Cuộc họp kết thúc với các đầu việc phân công cụ thể và tập trung vào triển khai hướng đi mới cho Marquee Agency.</t>
  </si>
  <si>
    <t>Cuộc họp ngày 2026-05-18 kéo dài 23 phút, với sự tham gia của 2 người, tập trung vào việc thảo luận và chỉnh sửa giao diện các trang web liên quan đến dự án **Maki AI** và **AI Marketing**. Mục tiêu chính bao gồm việc điều chỉnh nội dung trang web, xử lý lỗi sai kỹ thuật, và đảm bảo có bản sao lưu trước khi thực hiện thay đổi.</t>
  </si>
  <si>
    <t>Tạo lại bản sao lưu (backup) của các trang trước khi chỉnh sửa.</t>
  </si>
  <si>
    <t>Chuyển trang cũ về link **maki.ai.com/share/marketing** và giữ nguyên các nội dung ban đầu.</t>
  </si>
  <si>
    <t>Chỉnh sửa trang hiện tại dựa trên phiên bản cũ:</t>
  </si>
  <si>
    <t>- Loại bỏ một số nội dung không cần thiết đã thêm vào.</t>
  </si>
  <si>
    <t>- Chỉnh sửa phần "Chọn giải pháp" thành ba mục xếp chồng lên nhau.</t>
  </si>
  <si>
    <t>- Đảm bảo liên kết chức năng "Dùng thử miễn phí 1 tháng" chuyển thẳng vào ứng dụng.</t>
  </si>
  <si>
    <t>- Đổi tên một số menu từ "MagiChat" thành "Dịch vụ" và thêm các nội dung đúng theo mô tả trong transcript.</t>
  </si>
  <si>
    <t>Xóa các nội dung thừa trên bản Landing Page, giữ lại các nội dung giống bản gốc (ví dụ: "Tăng trưởng gấp 10 lần", "Doanh nghiệp đang gặp vấn đề gì", v.v.).</t>
  </si>
  <si>
    <t>Check lại phần "Header" trên các trang web để đảm bảo tính đồng nhất và chính xác.</t>
  </si>
  <si>
    <t>Bắt đầu xử lý phần dự án **Housenim Đà Nẵng** sau khi hoàn tất chỉnh sửa trang Maki AI.</t>
  </si>
  <si>
    <t>Ngày 2026-05-19</t>
  </si>
  <si>
    <t>Có hai phiên bản trang web cần đảm bảo:</t>
  </si>
  <si>
    <t>- **Trang gốc**: Lưu tại link **maki.ai.com/share/marketing**.</t>
  </si>
  <si>
    <t>- **Trang mới**: Sử dụng bản hiện tại để chỉnh sửa.</t>
  </si>
  <si>
    <t>Loại bỏ các nội dung thừa trên trang mới (những gì không thuộc bản gốc) và tuân thủ các thay đổi đã thảo luận.</t>
  </si>
  <si>
    <t>Phần giao diện chỉnh sửa cần cập nhật theo mô tả: "Chọn giải pháp" sắp xếp dạng ba chồng, liên kết "Dùng thử miễn phí" trỏ thẳng vào ứng dụng.</t>
  </si>
  <si>
    <t>Dự án **Housenim Đà Nẵng** sẽ được ưu tiên sau khi hoàn thành phần việc liên quan đến **Maki AI**.</t>
  </si>
  <si>
    <t>Chưa có bản sao lưu đầy đủ trước khi chỉnh sửa, dẫn đến nguy cơ không thể rollback về trạng thái cũ nếu cần.</t>
  </si>
  <si>
    <t>Một số số điện thoại và thông tin trên trang bị sai và cần rà soát lại.</t>
  </si>
  <si>
    <t>Thiếu quy trình backup rõ ràng cho các thay đổi trong tương lai, tiềm ẩn nguy cơ xảy ra lỗi khi làm việc với khách hàng.</t>
  </si>
  <si>
    <t>Hoàn tất việc tạo và lưu trữ bản sao lưu cho tất cả các trang trước thực hiện bất kỳ chỉnh sửa nào.</t>
  </si>
  <si>
    <t>Triển khai các chỉnh sửa giao diện đã thống nhất:</t>
  </si>
  <si>
    <t>- Chỉnh sửa nội dung trang theo mô tả về "Chọn giải pháp", "Dùng thử miễn phí", "Menu MagiChat".</t>
  </si>
  <si>
    <t>- Hoàn thiện giao diện Landing Page và kiểm tra tính đồng nhất giữa các nền tảng (web/mobile).</t>
  </si>
  <si>
    <t>Rà soát lại toàn bộ các thông tin, đặc biệt là số điện thoại và các liên kết.</t>
  </si>
  <si>
    <t>Chuyển trang cũ về đúng link **maki.ai.com/share/marketing**.</t>
  </si>
  <si>
    <t>Tiếp tục xử lý công việc liên quan đến **Housenim Đà Nẵng** sau khi hoàn thành **Maki AI**.</t>
  </si>
  <si>
    <t>Thiết lập quy trình backup chuẩn hóa cho các dự án tiếp theo để tránh sai sót về sau.</t>
  </si>
  <si>
    <t>**KẾT THÚC BIÊN BẢN.**</t>
  </si>
  <si>
    <t>Cuộc họp ngày 2026-05-19 tập trung vào việc thiết lập và thử nghiệm các bước cài đặt, đăng nhập, và sử dụng công cụ crawl dữ liệu thông qua tài khoản LinkedIn, đồng thời phân công và kiểm tra tiến độ công việc liên quan đến Facebook và LinkedIn. Cuộc họp cũng đề cập đến các nhóm làm việc và cơ chế feedback để cải thiện tính năng.</t>
  </si>
  <si>
    <t>Kiểm tra và thiết lập tài khoản LinkedIn để login và crawl dữ liệu.</t>
  </si>
  <si>
    <t>Thêm mới hoặc chỉnh sửa danh sách nhóm liên quan đến "AI Automation" và các nhóm khác.</t>
  </si>
  <si>
    <t>Ưu tiên xử lý tính năng "Shifting Facebook" trước, sau đó mới triển khai phần LinkedIn.</t>
  </si>
  <si>
    <t>Tiếp tục thu thập feedback từ nhóm sử dụng để cải thiện các chức năng hiện tại.</t>
  </si>
  <si>
    <t>Tạo một group riêng để quản lý đội ngũ và tập hợp các feedback chung.</t>
  </si>
  <si>
    <t>Mọi người sẽ bắt đầu sử dụng công cụ ngay và phản hồi trực tiếp về tính năng mới.</t>
  </si>
  <si>
    <t>Ưu tiên xử lý chức năng Facebook trước, LinkedIn thực hiện sau.</t>
  </si>
  <si>
    <t>Tạo một group chung để tập hợp phản hồi và làm việc nhóm liên quan.</t>
  </si>
  <si>
    <t>Một số nhóm trong tính năng "thêm nhóm" bị trùng, cần xác nhận và xử lý khi có thông báo.</t>
  </si>
  <si>
    <t>Hiện trạng tính năng tương tác trên Facebook không ổn định, từng hoạt động nhưng hiện tại gặp vấn đề.</t>
  </si>
  <si>
    <t>Đội nhóm sử dụng tài khoản LinkedIn để login và thực hiện test crawl dữ liệu theo chỉ dẫn.</t>
  </si>
  <si>
    <t>Kiểm tra và thêm các nhóm AI Automation vào danh sách, xử lý lỗi trùng nhóm nếu có.</t>
  </si>
  <si>
    <t>Hoàn thiện và ưu tiên tính năng Shifting Facebook.</t>
  </si>
  <si>
    <t>Thu thập feedback người dùng qua group mới tạo và cải thiện các chức năng.</t>
  </si>
  <si>
    <t>Theo dõi và xử lý vấn đề của tính năng Facebook để đảm bảo hoạt động ổn định.</t>
  </si>
  <si>
    <t>Xử lý dự án gâu Đà Nẵng, phân công 3 người phụ trách.</t>
  </si>
  <si>
    <t>Tối ưu nhân sự trong việc triển khai CloudGate và SkiZone, mỗi người đảm nhận một phần.</t>
  </si>
  <si>
    <t>Kết nối dữ liệu giữa CloudGate và SkiZone, đồng bộ rút dữ liệu để tối ưu quy trình.</t>
  </si>
  <si>
    <t>Thanh Lạc kiểm tra giao diện và trao đổi với bên khách hàng.</t>
  </si>
  <si>
    <t>Phân chia công việc trong các phần CDP, Omnichannel và Maki, xác minh chức năng, so sánh đối thủ và đưa ra danh sách tính năng cần dùng.</t>
  </si>
  <si>
    <t>Test và phát triển tính năng Marquee dựa trên file hiện có, giao cho đội VI (3-4 người).</t>
  </si>
  <si>
    <t>Thiết kế trang landing page của Maki, giao cho Thảo thực hiện.</t>
  </si>
  <si>
    <t>Yêu cầu backup tất cả mã nguồn và dữ liệu trước khi chỉnh sửa hoặc phát triển dự án.</t>
  </si>
  <si>
    <t>Đẩy giao diện và tài liệu liên quan cho dự án Web Secure Zone Get Login tại gâu Đà Nẵng:</t>
  </si>
  <si>
    <t>- Phân công Tiên training cho 2 thành viên khác phụ trách các phần liên quan.</t>
  </si>
  <si>
    <t>- Một thành viên làm phần Villa, các thành viên khác xử lý phần Apartment.</t>
  </si>
  <si>
    <t>Update group làm việc liên quan đến các dự án Villa trong nhiệm vụ của anh Đức.</t>
  </si>
  <si>
    <t>Phân công lại nhân sự cho CloudGate và SkiZone, mỗi người làm một phần, đồng bộ giao diện và chức năng.</t>
  </si>
  <si>
    <t>Thanh trực tiếp trao đổi với khách hàng và thực hiện các điều chỉnh cần thiết cho giao diện.</t>
  </si>
  <si>
    <t>Đội VI tiếp tục xử lý các chức năng và tính năng cho CDP, Omnichannel và Marquee theo thứ tự ưu tiên.</t>
  </si>
  <si>
    <t>Thảo chịu trách nhiệm riêng phần landing page của Maki.</t>
  </si>
  <si>
    <t>Tiên hỗ trợ training và phân chia rõ ràng nhiệm vụ cho các thành viên phụ trách phần Villa và Apartment liên quan đến gâu Đà Nẵng.</t>
  </si>
  <si>
    <t>Yêu cầu backup tất cả dữ liệu, mã nguồn trước khi thực hiện bất kỳ thay đổi nào.</t>
  </si>
  <si>
    <t>Cần phối hợp chặt chẽ hơn giữa các thành viên để tránh thiếu sót trong backup dữ liệu.</t>
  </si>
  <si>
    <t>Thiếu rõ thông tin về việc phân bổ nhân sự cho một số nhiệm vụ nhỏ trong các dự án CDP và Omnichannel.</t>
  </si>
  <si>
    <t>Yêu cầu kiểm tra và tinh chỉnh giao diện kịp thời để đáp ứng nhu cầu khách hàng, đặc biệt đối với dự án Villa và Apartment.</t>
  </si>
  <si>
    <t>Hoàn thiện phân chia công việc và huấn luyện nhân sự cho các dự án CloudGate, SkiZone và gâu Đà Nẵng.</t>
  </si>
  <si>
    <t>Triển khai test và phát triển các tính năng của CDP, Omnichannel và Marquee theo danh sách tính năng đã đề ra.</t>
  </si>
  <si>
    <t>Thanh trao đổi trực tiếp với khách hàng để xử lý phản hồi và kết thúc các phần liên quan đến giao diện.</t>
  </si>
  <si>
    <t>Thảo phát triển trang landing page của Maki, đảm bảo tiến độ và kết quả cuối cùng được kiểm tra kỹ trước khi bàn giao.</t>
  </si>
  <si>
    <t>Tăng cường kiểm soát quy trình backup để tránh rủi ro mất dữ liệu trong quá trình triển khai.</t>
  </si>
  <si>
    <t>Update nhóm Villa và Apartment, đảm bảo mọi thành viên đều nắm thông tin rõ ràng và thực hiện đúng tiến độ.</t>
  </si>
  <si>
    <t>Cuộc họp ngày 2026-05-19 thảo luận các công việc liên quan đến xây dựng và quản lý dự án website, cụ thể là việc clone giao diện và chức năng quản lý từ một trang mẫu (Villa) sang các trang mới (About và Apartment). Cuộc họp cũng đề cập đến phân công công việc và đặt deadline để triển khai các phần chính của dự án.</t>
  </si>
  <si>
    <t>Clone trang "Villa" và tạo một trang mới là "About"</t>
  </si>
  <si>
    <t>Clone chức năng "thêm, sửa, xóa" từ trang "Villa" và ứng dụng cho chức năng quản lý "Apartment".</t>
  </si>
  <si>
    <t>Cập nhật các trường từ thông tin được cung cấp qua link của chị Hiền.</t>
  </si>
  <si>
    <t>Lập kế hoạch triển khai giao diện "Apartment" bao gồm việc thêm mục "Apartment" vào danh mục lưu trú và đồng bộ với trang giao diện chính.</t>
  </si>
  <si>
    <t>Hoàn thành việc thiết lập 2-3 căn mẫu trên "Apartment" tại khu vực Bắc Mần.</t>
  </si>
  <si>
    <t>Thứ Năm, 2026-05-21 (trong vòng 3 ngày).</t>
  </si>
  <si>
    <t>Một thành viên cung cấp source code để team clone code về làm việc.</t>
  </si>
  <si>
    <t>Phân chia công việc trong nhóm: một người làm backend, một người làm frontend.</t>
  </si>
  <si>
    <t>Nhắn thông báo khi hoàn thành từng phần sản phẩm để đánh giá và sửa lỗi ngay lập tức.</t>
  </si>
  <si>
    <t>Lưu code và chạy trên local trước khi đẩy lên repository để kiểm tra chất lượng.</t>
  </si>
  <si>
    <t>Clone giao diện trang "Villa" để tạo trang "About" và thêm chức năng quản lý "Apartment".</t>
  </si>
  <si>
    <t>Ưu tiên hoàn thiện 2-3 căn mẫu trong phần quản lý "Apartment" trước khi triển khai nhiều hơn.</t>
  </si>
  <si>
    <t>Sử dụng các thông tin và hình ảnh do chị Hiền cung cấp để cập nhật nội dung.</t>
  </si>
  <si>
    <t>Phân chia công việc trong nhóm để đảm bảo hoàn thành backend và frontend.</t>
  </si>
  <si>
    <t>Code sẽ được clone từ source chính, chỉnh sửa trên local và kiểm tra trước khi đẩy lên repository.</t>
  </si>
  <si>
    <t>Rủi ro về việc các thành viên không phản hồi kịp thời trong quá trình làm việc.</t>
  </si>
  <si>
    <t>Cần kiểm tra sản phẩm kĩ lưỡng trên local trước khi đẩy lên repository để tránh lỗi.</t>
  </si>
  <si>
    <t>Chưa rõ ràng về việc tổ chức lại cấu trúc quản lý dữ liệu trong trang, có tranh luận về việc gộp hay tách quản lý giữa "Villa" và "Apartment".</t>
  </si>
  <si>
    <t>Clone giao diện từ trang "Villa" và phát triển các trang mới theo yêu cầu (trang "About" và "Apartment").</t>
  </si>
  <si>
    <t>Cập nhật dữ liệu từ thông tin và hình ảnh mà chị Hiền cung cấp.</t>
  </si>
  <si>
    <t>Lập cấu trúc và triển khai 2-3 căn mẫu cho phần quản lý "Apartment" để kiểm tra trước khi tiến hành các phần tiếp theo.</t>
  </si>
  <si>
    <t>Phân bổ công việc trong nhóm thành backend và frontend, các thành viên tự sắp xếp chia nhiệm vụ.</t>
  </si>
  <si>
    <t>Cung cấp source code từ một thành viên trong nhóm để bắt đầu thực hiện.</t>
  </si>
  <si>
    <t>Test kỹ sản phẩm trên local trước khi đẩy lên repository.</t>
  </si>
  <si>
    <t>Hoàn thiện các căn mẫu và thông báo tiến độ với team qua nhóm Zalo khi có thành quả ban đầu.</t>
  </si>
  <si>
    <t>Kiểm tra và sửa toàn bộ các trang trên website, thay thế cụm từ "security zone" thành "static solution".</t>
  </si>
  <si>
    <t>Phân chia nhiệm vụ: Vũ kiểm tra 3 dịch vụ đầu, Hiền kiểm tra 3 dịch vụ sau.</t>
  </si>
  <si>
    <t>Tìm kiếm và sửa đổi HTML cho các trang nào chưa có phiên bản tiếng Anh, tạo các trang tiếng Anh mới nếu cần.</t>
  </si>
  <si>
    <t>Đảm bảo tạo kết nối giữa các trang tiếng Việt và tiếng Anh bằng cách chỉnh sửa đường dẫn phù hợp.</t>
  </si>
  <si>
    <t>Gửi nội dung sửa đổi trong nhóm nội bộ hoặc liên hệ với anh Tú Lâm nếu có thêm yêu cầu từ phía khách hàng.</t>
  </si>
  <si>
    <t>Gửi link task enablement để tạo project plan mới. Deadline: Không đề cập.</t>
  </si>
  <si>
    <t>Hoàn thiện việc kiểm tra và sửa đổi ngôn ngữ cũng như nội dung trên website trong vòng 2 ngày.</t>
  </si>
  <si>
    <t>Đảm bảo các yêu cầu chỉnh sửa của khách hàng được liên kết thông qua nhóm chuyên dụng với sự tham gia của anh Tú Lâm.</t>
  </si>
  <si>
    <t>Một số trang thiếu phiên bản tiếng Anh và cần được tạo mới bằng cách chỉnh sửa code HTML.</t>
  </si>
  <si>
    <t>Đường dẫn giữa các trang tiếng Việt và tiếng Anh cần được kiểm soát chặt chẽ để tránh sai sót.</t>
  </si>
  <si>
    <t>Cần đảm bảo không để sót cụm từ "security zone" trên toàn bộ website.</t>
  </si>
  <si>
    <t>Tiến hành kiểm tra và sửa đổi nội dung theo phân công (Vũ và Hiền).</t>
  </si>
  <si>
    <t>Tạo và kiểm tra liên kết giữa các trang tiếng Việt và tiếng Anh.</t>
  </si>
  <si>
    <t>Hoàn thiện toàn bộ công việc sửa đổi trước deadline 2 ngày.</t>
  </si>
  <si>
    <t>Gửi link task enablement và cập nhật project plan mới cho người phụ trách.</t>
  </si>
  <si>
    <t>Liên hệ anh Tú Lâm sau khi hoàn tất công việc nội bộ để chỉnh sửa nội dung theo yêu cầu khách hàng.</t>
  </si>
  <si>
    <t>Thiết kế và xây dựng trang chủ với các nội dung: giới thiệu công ty, dịch vụ, sứ mệnh và thông tin chi tiết về công ty ANC.</t>
  </si>
  <si>
    <t>Tạo 4 trang con về dịch vụ, trong đó có dịch vụ EMC với các hạng mục cụ thể như marketing, AI, và phần mềm.</t>
  </si>
  <si>
    <t>Chờ thông tin nội dung và layout từ phía quản lý để bắt đầu triển khai công việc.</t>
  </si>
  <si>
    <t>Báo cáo tiến độ sau khi thử nghiệm thiết kế trong 1 ngày đầu tiên triển khai để đánh giá tình hình và điều chỉnh.</t>
  </si>
  <si>
    <t>Nếu có vấn đề về nguồn lực, cân nhắc phân bổ thêm nhân lực như Huấn hoặc Thảo để hỗ trợ hoàn thiện layout.</t>
  </si>
  <si>
    <t>Thời gian thực hiện thiết kế và xây dựng website từ khi nhận đầy đủ thông tin là 3-4 ngày.</t>
  </si>
  <si>
    <t>Nội dung và tài liệu do quản lý cung cấp sẽ bao gồm cả thông tin chi tiết và layout (nếu có). Nếu không có layout, đội ngũ sẽ tự triển khai dựa trên thông tin nhận được.</t>
  </si>
  <si>
    <t>Quy trình làm việc sẽ bắt đầu với phần thông tin cơ bản và xây dựng layout trước, sau đó báo cáo lại để kiểm tra tiến độ.</t>
  </si>
  <si>
    <t>Thiếu nhân lực hỗ trợ công việc (có đề cập đến việc hiện tại không có người hoặc các thành viên khác đang bận với dự án).</t>
  </si>
  <si>
    <t>Sự phụ thuộc vào thông tin và layout từ phía quản lý, làm chậm tiến độ nếu thông tin không được cung cấp kịp thời.</t>
  </si>
  <si>
    <t>Số lượng nhân sự giới hạn có thể ảnh hưởng đến hiệu quả làm việc nếu cần thiết kế layout phức tạp.</t>
  </si>
  <si>
    <t>Quản lý gửi đầy đủ nội dung, tài liệu và layout (nếu có) cho đội ngũ làm việc.</t>
  </si>
  <si>
    <t>Tiến hành thiết kế cơ bản các trang thông tin chính và các trang con về dịch vụ trong vòng 3-4 ngày kể từ khi nhận đủ thông tin.</t>
  </si>
  <si>
    <t>Báo cáo lại các vấn đề phát sinh sau khi thử nghiệm triển khai trong ngày đầu tiên.</t>
  </si>
  <si>
    <t>Nếu thiếu nhân lực hoặc gặp khó khăn trong quá trình thực hiện, liên hệ Huấn hoặc Thảo để sắp xếp hỗ trợ.</t>
  </si>
  <si>
    <t>Hoàn thành toàn bộ dự án trong thời gian đã thống nhất và cập nhật tiến độ thường xuyên với quản lý.</t>
  </si>
  <si>
    <t>Xem xét server và kiểm tra cách đẩy code lên</t>
  </si>
  <si>
    <t>Thuật và Thương làm việc trước để nắm rõ các thông tin liên quan đến phần code và xử lý các khó khăn ban đầu</t>
  </si>
  <si>
    <t>Tổ chức một buổi họp với Đình Minh để bắt đầu chuyển giao công việc dần dần</t>
  </si>
  <si>
    <t>Tuần này.</t>
  </si>
  <si>
    <t>Trao đổi với anh Hiệp và Đình Minh để hoàn thành việc chuyển giao sục cốt công việc</t>
  </si>
  <si>
    <t>Chuẩn bị trước để xử lý các phần công việc liên quan đến Landing Bay</t>
  </si>
  <si>
    <t>Đình Minh tiếp tục giữ các thông tin liên quan đến phần code.</t>
  </si>
  <si>
    <t>Một số tính năng mới sẽ được team Mai đưa xuống xử lý bởi các thành viên theo phân bổ.</t>
  </si>
  <si>
    <t>Quy trình làm việc sẽ dần chuyển giao phần code để tiết kiệm thời gian và tăng hiệu quả.</t>
  </si>
  <si>
    <t>Chưa rõ vị trí chính xác của một số thông tin trên server (cần kiểm tra kỹ lưỡng).</t>
  </si>
  <si>
    <t>Sự thiếu hiểu biết ban đầu của một số thành viên về phần code (cần đào tạo và tìm hiểu kỹ hơn).</t>
  </si>
  <si>
    <t>Tổ chức họp với Đình Minh vào tuần này để bắt đầu chuyển giao phần code.</t>
  </si>
  <si>
    <t>Thuật và Thương cần kiểm tra server, cách đẩy code lên, và giải quyết các khó khăn ban đầu liên quan đến phần code.</t>
  </si>
  <si>
    <t>Liên lạc và trao đổi với anh Hiệp về việc chuyển giao sục cốt và các thông tin cần thiết.</t>
  </si>
  <si>
    <t>Chuẩn bị trước các công việc liên quan đến Landing Bay theo kế hoạch.</t>
  </si>
  <si>
    <t>Tiếp tục xử lý các tính năng mới từ team Mai theo phân bổ trách nhiệm.</t>
  </si>
  <si>
    <t>Cuộc họp diễn ra vào ngày 2026-05-20 nhằm thảo luận về các công việc liên quan đến quản lý server, triển khai nhân sự mới và phân công trách nhiệm trong các bộ phận DevOps, System và team Mikey. Các chủ đề chính bao gồm phân bổ nhiệm vụ vận hành server, quá trình tách server, và kế hoạch triển khai thêm các tính năng mới trên hệ thống.</t>
  </si>
  <si>
    <t>Triển khai thêm bạn Thương và bạn Thuật vào team Mikey.</t>
  </si>
  <si>
    <t>Xem xét, phân bổ công việc cụ thể cho Thương và Thuật.</t>
  </si>
  <si>
    <t>Update lại danh sách server trong hệ thống, bao gồm số lượng và chức năng của từng server.</t>
  </si>
  <si>
    <t>Làm việc với đội System để xác định và chỉnh sửa vị trí của các server, chuyển server về đúng nơi cần thiết.</t>
  </si>
  <si>
    <t>Text kiểm tra và báo cáo cụ thể vị trí các file code liên quan trên hệ thống.</t>
  </si>
  <si>
    <t>Phân công Thương xử lý vấn đề quản lý server và kiểm tra lại server Crawl Data và bản Dev.</t>
  </si>
  <si>
    <t>Làm việc với anh Nghi để xác minh vận hành server và chuyển server về đúng vị trí, tránh để bên DC quá tải.</t>
  </si>
  <si>
    <t>Trao đổi với Đình Minh và team Dev để phân bổ công việc cho các tính năng frontend mới do Mai đưa ra.</t>
  </si>
  <si>
    <t>Server Crawl Data và bản Dev sẽ được di chuyển về phòng Lab Server, trong khi server Product sẽ giữ tại DC.</t>
  </si>
  <si>
    <t>Thương được giao phụ trách chính trong việc xử lý các vấn đề quản lý server và list toàn bộ server hiện có.</t>
  </si>
  <si>
    <t>Đình Minh sẽ hỗ trợ Thương làm việc với team System và DevOps để đảm bảo quá trình vận hành server diễn ra suôn sẻ.</t>
  </si>
  <si>
    <t>Khả năng quá tải tại DC do sụt giảm tài nguyên.</t>
  </si>
  <si>
    <t>Chưa xác định rõ vị trí một số server cụ thể.</t>
  </si>
  <si>
    <t>Một số vấn đề liên quan đến vận hành server đang cần phối hợp giữa các bộ phận mà chưa có danh sách đầy đủ.</t>
  </si>
  <si>
    <t>Đình Minh làm việc với Thương để hoàn thiện danh sách server và các chức năng chi tiết.</t>
  </si>
  <si>
    <t>Kiểm tra và cập nhật lại toàn bộ vị trí các server quan trọng, chuyển máy từ DC nếu cần thiết để tránh quá tải.</t>
  </si>
  <si>
    <t>Làm việc với anh Nghi để xác minh quá trình vận hành server và đảm bảo các máy được đưa về đúng vị trí.</t>
  </si>
  <si>
    <t>Team Mikey tiếp tục xử lý và triển khai các tính năng frontend mới theo chỉ đạo của Mai.</t>
  </si>
  <si>
    <t>Thương và Thuật bắt đầu đảm nhận các công việc tại team Mikey theo kế hoạch triển khai.</t>
  </si>
  <si>
    <t>Tích hợp tính năng gửi Telegram tự động và thiết lập chu kỳ quét các tin chưa gửi.</t>
  </si>
  <si>
    <t>Hoàn thiện hệ thống đăng ký lưu trú, bao gồm scan ảnh passport và căn cước.</t>
  </si>
  <si>
    <t>Tích hợp thêm một đường link vào chức năng đăng ký lưu trú để hướng người dùng tới trang mới (ví dụ, liên hệ qua WhatsApp hoặc Telegram).</t>
  </si>
  <si>
    <t>Hoàn thiện con bot Telegram gồm các chức năng tương tác với người dùng và lưu trữ thông tin lên Google Sheets.</t>
  </si>
  <si>
    <t>Thiết kế hệ thống thông báo qua email sau khi đăng ký lưu trú, kèm thông tin giảm giá tour trong email.</t>
  </si>
  <si>
    <t>Phát triển chức năng cào dữ liệu từ Shopee, bao gồm thông tin sản phẩm, ảnh, và phần bình luận.</t>
  </si>
  <si>
    <t>Hoàn thiện dự án game food với các yêu cầu mới, deadline: cuối tuần.</t>
  </si>
  <si>
    <t>Tích hợp thêm tính năng liên quan đến Zalo.</t>
  </si>
  <si>
    <t>Tích hợp tính năng gửi Telegram tự động.</t>
  </si>
  <si>
    <t>Các thông tin lưu trú sẽ được quét và xử lý bằng API Visual AI.</t>
  </si>
  <si>
    <t>Email thông báo sau đăng ký sẽ kèm đường link tới các tour giảm giá.</t>
  </si>
  <si>
    <t>Tích hợp Shopee API để cào dữ liệu sản phẩm và thông tin.</t>
  </si>
  <si>
    <t>Game food sẽ hoàn thiện các tính năng theo yêu cầu mới trước cuối tuần.</t>
  </si>
  <si>
    <t>Hệ thống scan ảnh passport và căn cước thiếu thử nghiệm, cần kiểm tra thêm để phát hiện lỗi.</t>
  </si>
  <si>
    <t>Chưa rõ chi phí thực tế liên quan tới việc sử dụng API AI (token tính theo ngày).</t>
  </si>
  <si>
    <t>Con bot khách hàng chưa hoàn thiện đầy đủ dữ liệu để phục vụ tương tác hiệu quả.</t>
  </si>
  <si>
    <t>Tích hợp các chức năng gửi Telegram tự động, quy trình đăng ký lưu trú, và hệ thống scan ảnh.</t>
  </si>
  <si>
    <t>Kiểm tra và thử nghiệm lại các lỗi tiềm năng trong việc quét ảnh để đảm bảo độ chính xác.</t>
  </si>
  <si>
    <t>Cập nhật thông tin liên quan tới Shopee (bao gồm ảnh, thông tin sản phẩm và bình luận) trên Google Sheets.</t>
  </si>
  <si>
    <t>Đảm bảo hệ thống email thông báo hoạt động đúng và đầy đủ thông tin khuyến mãi.</t>
  </si>
  <si>
    <t>Hoàn thành các yêu cầu mới cho dự án game food trước deadline cuối tuần.</t>
  </si>
  <si>
    <t>Tiến hành trao đổi với chị Hiền để test và nhận feedback về các tính năng đã tích hợp.</t>
  </si>
  <si>
    <t>Xem xét các bước tiếp theo cho việc tích hợp Zalo và các yêu cầu mới liên quan đến khách hàng.</t>
  </si>
  <si>
    <t>Hoàn tất nội dung cho website công ty agency (tên: Market ANC) bao gồm các dịch vụ về marketing outsource, AI, và các ứng dụng như Maki.</t>
  </si>
  <si>
    <t>Trước trưa 21/05/2026.</t>
  </si>
  <si>
    <t>Đưa nội dung hoàn chỉnh của website cho đội Dev để triển khai và hoàn tất trong vòng 1 tuần.</t>
  </si>
  <si>
    <t>Cập nhật và kiểm tra phần tracking của các thành viên trong team, đảm bảo đầy đủ dữ liệu để tính KPI.</t>
  </si>
  <si>
    <t>Thử nghiệm thêm các hướng công việc mới tại Go Đà Nẵng, bao gồm Naver và các nền tảng blog.</t>
  </si>
  <si>
    <t>Theo dõi và hướng dẫn bạn Hoài Anh thực hiện công việc trong 2 tuần thử nghiệm, đảm bảo hoàn thành các task như post bài social media và các thiết lập cần thiết.</t>
  </si>
  <si>
    <t>Bàn giao lại toàn bộ công việc trong dự án hiện tại cho bạn Hoài Anh khi bạn ấy hoàn thành thử việc, sau đó chuyển sang dự án Cao Sơn.</t>
  </si>
  <si>
    <t>Trong vòng 2 tuần.</t>
  </si>
  <si>
    <t>Báo cáo chi tiết về hoạt động tại Maki và các tài khoản liên quan mà đội ngũ phụ trách.</t>
  </si>
  <si>
    <t>Chấp thuận cho bạn Hoài Anh thử việc trong 2 tuần ở vị trí được giao.</t>
  </si>
  <si>
    <t>Triển khai website mới cho công ty agency với nội dung tổng hợp các dịch vụ hiện tại.</t>
  </si>
  <si>
    <t>Sẽ chuyển bạn Hoài Anh sang phụ trách dự án chính thức nếu bạn ấy hoàn thành thử việc tốt.</t>
  </si>
  <si>
    <t>Dữ liệu tracking của team chưa đầy đủ, gây ảnh hưởng đến việc đánh giá KPI.</t>
  </si>
  <si>
    <t>Thiếu blog và nội dung trên các nền tảng mới như Naver và một số tài khoản liên quan.</t>
  </si>
  <si>
    <t>Có sự nhầm lẫn và chưa rõ ràng trong việc xác nhận nhân sự mới (hai thành viên chưa qua phỏng vấn nhưng được anh Minh sắp xếp vào team).</t>
  </si>
  <si>
    <t>Đội ngũ cần đẩy nhanh tiến độ để không gây chậm trễ cho dự án lập website agency.</t>
  </si>
  <si>
    <t>Hoàn thiện nội dung website Market ANC trước trưa 21/05/2026 và chuyển cho đội Dev triển khai.</t>
  </si>
  <si>
    <t>Làm rõ và bổ sung dữ liệu tracking của team, đảm bảo đầy đủ thông tin để tính KPI.</t>
  </si>
  <si>
    <t>Tiếp tục thử nghiệm các hoạt động tại Go Đà Nẵng, bao gồm việc mở rộng nội dung trên Naver, blog, và các nền tảng tương ứng.</t>
  </si>
  <si>
    <t>Chủ động theo sát quá trình thử việc của bạn Hoài Anh, hỗ trợ và đánh giá hiệu quả công việc để kịp thời bàn giao dự án khác.</t>
  </si>
  <si>
    <t>Báo cáo chi tiết về các hoạt động vận hành tại Maki cho quản lý.</t>
  </si>
  <si>
    <t>Xử lý nhanh các nhầm lẫn về nhân sự, đảm bảo việc phỏng vấn và sàng lọc chính xác trong tương lai.</t>
  </si>
  <si>
    <t>Cuộc họp ngày 21/05/2026 tập trung thảo luận về việc triển khai các tính năng mới liên quan đến quản lý và đăng ký tạm trú cho khách nước ngoài và khách Việt Nam, nhằm cải thiện quy trình nhập dữ liệu, quản lý thông tin khách lưu trú, tự động hóa nhắc nhở liên quan đến hạn visa, và tối ưu hóa công tác quản lý từ xa của các cơ sở.</t>
  </si>
  <si>
    <t>Cập nhật thông tin khách tạm trú dựa trên tính năng scan căn cước/hộ chiếu, tích hợp thêm tùy chọn lưu thông tin vào hệ thống nội bộ.</t>
  </si>
  <si>
    <t>Phát triển hệ thống phân loại và quản lý khách theo từng nhà/cơ sở cụ thể sau khi thông tin được nhập.</t>
  </si>
  <si>
    <t>Xây dựng công cụ tự động nhắc nhở hạn visa hoặc hạn tạm trú cho cả quản lý và khách. Cần đảm bảo nhắc đến khi có hành động gia hạn hoặc xóa.</t>
  </si>
  <si>
    <t>Tích hợp lưu ảnh visa/hộ chiếu vào hệ thống chung, cho phép lưu và phân loại theo cơ sở.</t>
  </si>
  <si>
    <t>Xây dựng công cụ quản lý doanh thu, tính tiền thuê nhà, điện, nước và phí dịch vụ. Hệ thống phải tổng hợp dữ liệu từ thông tin nhập liệu ban đầu.</t>
  </si>
  <si>
    <t>Hoàn thiện tính năng xuất hợp đồng mẫu và gửi thông báo đến khách khi gia hạn. Có thể tích hợp ký online nếu ngân sách cho phép.</t>
  </si>
  <si>
    <t>Cân nhắc việc phát triển công cụ hỗ trợ nhập liệu nhanh qua việc dùng extension để tăng tốc độ đăng ký trên trang web nhà nước.</t>
  </si>
  <si>
    <t>Trao đổi với các cơ sở cho thuê về ngân sách và giải pháp để triển khai các tính năng. Chuẩn bị báo giá từ công ty nội bộ hoặc đơn vị ngoài.</t>
  </si>
  <si>
    <t>Sử dụng quản lý làm đầu mối chính để nhập liệu, không giao cho khách tự nhập nhằm đảm bảo tính chính xác.</t>
  </si>
  <si>
    <t>Tập trung vào hoàn thiện phần tính năng liên quan đến khách nước ngoài và visa trước, các tính năng khác sẽ triển khai sau khi chốt được nhu cầu và ngân sách.</t>
  </si>
  <si>
    <t>Lưu trữ thông tin căn cước/hộ chiếu cũng như hình ảnh khách vào hệ thống chung và tổ chức theo từng nhà/cơ sở rõ ràng.</t>
  </si>
  <si>
    <t>Mức độ tự động hóa quy trình gửi thông báo, nhắc nhở và xuất file sẽ dựa trên ngân sách cấp phát, với ưu tiên thấp cho tính năng nâng cao như ký online.</t>
  </si>
  <si>
    <t>Lập kế hoạch báo giá đầy đủ, thảo luận với các đơn vị vận hành để tìm mức ngân sách phù hợp.</t>
  </si>
  <si>
    <t>Quản lý hiện nay phải thao tác thủ công nhiều bước, dễ dẫn đến sai sót như tính sai tiền thuê nhà, nhập tay lỗi hạn visa.</t>
  </si>
  <si>
    <t>Nguy cơ rò rỉ thông tin khách hàng nếu không chuẩn bị giải pháp lưu trữ nội bộ an toàn.</t>
  </si>
  <si>
    <t>Một số khách nước ngoài không gửi đúng hoặc đầy đủ thông tin như visa/hộ chiếu, dẫn đến rủi ro phạt.</t>
  </si>
  <si>
    <t>Khách quen có thể yêu cầu chỉnh sửa hợp đồng hoặc không ký đúng thời gian, ảnh hưởng đến quy trình lưu trữ thông tin hợp đồng.</t>
  </si>
  <si>
    <t>Ngân sách còn hạn chế cho việc triển khai đồng bộ tất cả tính năng.</t>
  </si>
  <si>
    <t>Bắt đầu triển khai phần mềm scan và nhập liệu tự động dành cho khách nước ngoài, bao gồm việc lưu thông tin và nhắc nhở hạn visa.</t>
  </si>
  <si>
    <t>Phát triển hệ thống quản lý khách lưu trú theo nhà/cơ sở, tích hợp với dữ liệu Google Sheets hiện tại.</t>
  </si>
  <si>
    <t>Tiếp tục nghiên cứu API trên web nhà nước để xem xét tính khả thi trong việc tự động nhập liệu/hỗ trợ quản lý.</t>
  </si>
  <si>
    <t>Chuẩn bị tài liệu báo giá và liên hệ với tối thiểu hai công ty ngoài để đối chiếu chi phí triển khai thành các hạng mục.</t>
  </si>
  <si>
    <t>Sau khi xong phần khách nước ngoài, tiến hành thử nghiệm tích hợp cho khách Việt (scanning, hợp đồng mẫu, quản lý thông tin căn cước).</t>
  </si>
  <si>
    <t>Đánh giá ngân sách với sếp và quyết định thứ tự ưu tiên chức năng cần làm, trong đó phần nhắc hẹn và lưu trữ nội bộ là các hạng mục không thể thiếu.</t>
  </si>
  <si>
    <t>Cuộc họp ngày 22/05/2026 kéo dài 18 phút, với sự tham gia của 4 người, tập trung thảo luận về các vấn đề kỹ thuật trong việc triển khai, sửa lỗi và cải tiến giao diện, chức năng của một số nền tảng (Facebook, LinkedIn, Zalo) và các tính năng liên quan đến việc cào dữ liệu, đồng bộ dữ liệu, triển khai API.</t>
  </si>
  <si>
    <t>Hoàn thiện phương án make-up giao diện và tính năng của sản phẩm.</t>
  </si>
  <si>
    <t>Triển khai các chỉnh sửa liên quan đến chức năng cào dữ liệu (Facebook, LinkedIn, Zalo), bao gồm đối tượng cần lấy: nội dung tin nhắn, hình ảnh, và các tham số từ nhóm.</t>
  </si>
  <si>
    <t>Tiếp tục xử lý vấn đề liên quan đến việc Zalo bị chặn IP khi deploy trên VPS.</t>
  </si>
  <si>
    <t>Đảm bảo tích hợp đồng bộ dữ liệu giữa các nền tảng và cải thiện giao diện đăng nhập trên Facebook và LinkedIn.</t>
  </si>
  <si>
    <t>Chia sẻ code liên quan tới Zalo cho các thành viên liên quan để kiểm tra và kết hợp.</t>
  </si>
  <si>
    <t>Xác nhận các tính năng triển khai sử dụng API cho Zalo Official Account và tìm phương án đối với các tài khoản cá nhân.</t>
  </si>
  <si>
    <t>Tìm giải pháp khắc phục lỗi xuất hiện khi chạy code trên máy ảo.</t>
  </si>
  <si>
    <t>Tích hợp phương án của các thành viên để hoàn thành sản phẩm.</t>
  </si>
  <si>
    <t>Kiểm tra việc fix lỗi liên quan đến tính năng trong phiên bản cập nhật.</t>
  </si>
  <si>
    <t>Xác định thông tin về việc “up level” hệ thống và gửi lại cho nhóm vào tuần sau.</t>
  </si>
  <si>
    <t>Gộp các tính năng nhỏ thành một module lớn và cải thiện giao diện đồng bộ giữa các nền tảng.</t>
  </si>
  <si>
    <t>Sử dụng API để triển khai và cào dữ liệu đối với các tài khoản doanh nghiệp trên Zalo.</t>
  </si>
  <si>
    <t>Phân công thực hiện và kết hợp giữa các thành viên để xử lý lỗi và hoàn thiện các tính năng.</t>
  </si>
  <si>
    <t>Zalo chặn IP khi deploy trên VPS, gây khó khăn trong triển khai.</t>
  </si>
  <si>
    <t>Lỗi đồng bộ dữ liệu giữa nền tảng web và điện thoại của Zalo.</t>
  </si>
  <si>
    <t>Chưa hoàn thiện giao diện và chức năng đăng nhập giữa các nền tảng.</t>
  </si>
  <si>
    <t>Chưa xác định được cách xử lý kỹ thuật khi cào dữ liệu từ các nhóm cá nhân trên Zalo (do giới hạn API).</t>
  </si>
  <si>
    <t>Lỗi xuất hiện khi chạy code trên máy ảo, cần điều tra thêm.</t>
  </si>
  <si>
    <t>Các thành viên hoàn thiện giao diện và kiểm tra chức năng make-up.</t>
  </si>
  <si>
    <t>Xử lý vấn đề liên quan đến Zalo chặn IP, thử deploy ở các môi trường khác và kiểm tra nguyên nhân cụ thể.</t>
  </si>
  <si>
    <t>Fix lỗi chạy code trên máy ảo và cải thiện khả năng đồng bộ dữ liệu của các nền tảng.</t>
  </si>
  <si>
    <t>Phân công các thành viên (Thọ, Sang, Việt) thực hiện kết hợp cải tiến phương án Zalo và chia sẻ code để đồng bộ công việc.</t>
  </si>
  <si>
    <t>Lấy ý kiến và kiểm tra triển khai API của Zalo Official Account, tìm phương án xử lý với các tài khoản cá nhân.</t>
  </si>
  <si>
    <t>Chờ thông tin về “up level” từ anh Minh vào tuần sau.</t>
  </si>
  <si>
    <t>Lập kế hoạch cho buổi họp tiếp theo để rà soát tiến độ và đưa ra giải pháp cho các vấn đề tồn đọng.</t>
  </si>
  <si>
    <t>Người tham gia điền thông tin vào file mà công ty cung cấp.</t>
  </si>
  <si>
    <t>Người tham gia xác nhận thời điểm bắt đầu thực tập và thông báo lại cho công ty.</t>
  </si>
  <si>
    <t>Công ty sắp xếp các task thực tập và gửi cho người tham gia.</t>
  </si>
  <si>
    <t>Trong 1-2 ngày sau khi người tham gia xác nhận bắt đầu thực tập.</t>
  </si>
  <si>
    <t>Công ty hỗ trợ thêm thông tin về việc công nhận thực tập từ trường đại học (nếu có).</t>
  </si>
  <si>
    <t>Người tham gia có thể bắt đầu thực tập sau khi điền đầy đủ thông tin.</t>
  </si>
  <si>
    <t>Có thể làm việc trực tuyến (online) cho vị trí thực tập thông qua các cấp độ khác nhau.</t>
  </si>
  <si>
    <t>Những người bắt đầu vào ngày 25 hoặc sau mốc 25/5 có thể tham gia mà không ảnh hưởng kế hoạch.</t>
  </si>
  <si>
    <t>Đối với các vị trí yêu cầu làm việc tại công ty (onsite), cần thông báo trước cho công ty ít nhất một ngày.</t>
  </si>
  <si>
    <t>Chưa rõ quy định cụ thể về việc trường chấp nhận kết quả thực tập từ công ty.</t>
  </si>
  <si>
    <t>Lịch trình và mức độ cam kết làm việc onsite có thể khó sắp xếp, đặc biệt với các bạn có lịch học hoặc ở xa.</t>
  </si>
  <si>
    <t>Người tham gia điền thông tin vào file được gửi từ công ty.</t>
  </si>
  <si>
    <t>Người tham gia xác nhận thời gian bắt đầu thực tập với công ty.</t>
  </si>
  <si>
    <t>Công ty gửi các nhiệm vụ (task) trong vòng 1-2 ngày sau khi có xác nhận từ người tham gia.</t>
  </si>
  <si>
    <t>Những người cần xác nhận từ trường (liên quan đến thực tập) cần liên hệ công ty để bổ sung thông tin hỗ trợ.</t>
  </si>
  <si>
    <t>Lên kế hoạch cho việc học và làm thực tập một cách linh hoạt (làm online là chính, có thể onsite khi đạt cấp độ cao hơn).</t>
  </si>
  <si>
    <t>Sửa lại trang bị rộng, làm cho nội dung nhỏ gọn hơn và không để full trang như hiện tại.</t>
  </si>
  <si>
    <t>Điều chỉnh lại các lỗi footer để nhất quán giữa các trang.</t>
  </si>
  <si>
    <t>Thêm viền màu hoặc khung xung quanh một số nội dung để làm nổi bật, giống với các trang trước đã thực hiện.</t>
  </si>
  <si>
    <t>Kiểm tra và chỉnh sửa lỗi font chữ trên tất cả các trang.</t>
  </si>
  <si>
    <t>Bổ sung đầy đủ các dịch vụ vào menu (menu tiếng Việt và menu tiếng Anh) kết hợp việc cập nhật bay nếu có.</t>
  </si>
  <si>
    <t>Đảm bảo số lượng slide trong trang web khớp với số dịch vụ hiện có. Nếu thiếu slide, tiến hành thêm mới hoặc chỉnh sửa slide thông qua meta slide.</t>
  </si>
  <si>
    <t>Dựng bản draft của trang web dựa trên hướng dẫn và gửi báo cáo (có thể file ghi âm) để kiểm tra.</t>
  </si>
  <si>
    <t>Làm bố cục các trang nhỏ gọn, đồng nhất với các trang khác.</t>
  </si>
  <si>
    <t>Sử dụng viền màu hoặc khung để làm nổi bật một số nội dung.</t>
  </si>
  <si>
    <t>Đồng bộ font chữ trên tất cả các trang và xử lý lỗi font đang gặp phải.</t>
  </si>
  <si>
    <t>Thực hiện thêm và chỉnh sửa slide và menu theo thông tin dịch vụ được cung cấp.</t>
  </si>
  <si>
    <t>Lỗi footer không đồng nhất giữa các trang.</t>
  </si>
  <si>
    <t>Lỗi font chữ đang xuất hiện trên nhiều trang.</t>
  </si>
  <si>
    <t>Dựa trên các action items, tiến hành chỉnh sửa và cải thiện giao diện các trang web (bao gồm bố cục, footer, font chữ, viền màu).</t>
  </si>
  <si>
    <t>Bổ sung tất cả các dịch vụ vào menu (cả tiếng Việt và tiếng Anh) và thiết lập đúng số lượng dịch vụ trong slide tương ứng bằng cách thêm hoặc chỉnh sửa thông qua meta slide.</t>
  </si>
  <si>
    <t>Gửi bản draft trang web và tài liệu liên quan (nếu có) để kiểm tra.</t>
  </si>
  <si>
    <t>Cuộc họp ngày 25/05/2026 kéo dài 41 phút với chủ đề chính xoay quanh việc chuẩn hóa quy trình làm việc trong dự án Marquee, bao gồm thiết lập KPI, phân bổ tài khoản, quản lý công cụ hỗ trợ (tool seeding) và các thủ tục liên quan. Mục tiêu nhằm tối ưu hiệu suất nhóm và đưa ra định hướng cụ thể cho các bước tiếp theo.</t>
  </si>
  <si>
    <t>Tổng hợp số lượng tài khoản Facebook có thể sử dụng chung, phân loại giữa tài khoản cá nhân và tài khoản giả lập</t>
  </si>
  <si>
    <t>25/05/2026 (trước 3:30 PM).</t>
  </si>
  <si>
    <t>Xây dựng file tổng hợp tài khoản (Google Sheet) bao gồm thông tin đăng nhập và các nhóm phụ trách từng tài khoản</t>
  </si>
  <si>
    <t>Thiết lập và chuẩn hóa quy trình xây dựng profile Facebook cho công ty, phân biệt giữa người thật và tài khoản AI</t>
  </si>
  <si>
    <t>Hoàn thiện file KPI chi tiết và tích hợp hệ thống thưởng dựa trên KPI</t>
  </si>
  <si>
    <t>25/05/2026 (trước 4:00 PM).</t>
  </si>
  <si>
    <t>Cập nhật tool seeding: thêm các nhóm Facebook vào hệ thống và đồng bộ với Google Sheet để theo dõi nhóm phụ trách</t>
  </si>
  <si>
    <t>Đang triển khai, chính thức sử dụng song song với Google Sheet trong tháng 05/2026.</t>
  </si>
  <si>
    <t>Tích hợp hệ thống Omnichannel (quản lý tin nhắn đa kênh) vào Marquee</t>
  </si>
  <si>
    <t>Xây dựng quy trình chi tiết cho tool seeding, bao gồm cách sử dụng và tối ưu hóa hệ thống</t>
  </si>
  <si>
    <t>Đề xuất trong tháng 05/2026.</t>
  </si>
  <si>
    <t>Hoàn chỉnh phần KPI bonus dựa trên hiệu suất và phần trăm đơn chốt</t>
  </si>
  <si>
    <t>Chuẩn hóa hệ thống tài liệu và phân quyền triển khai công việc trên folder Marquee chung</t>
  </si>
  <si>
    <t>Tạm thời tập trung toàn bộ nguồn lực và tài khoản vào dự án Marquee, các dự án khác như "Go Đà Nẵng" sẽ chạy sau khi có kết quả từ Marquee.</t>
  </si>
  <si>
    <t>Công cụ seeding sẽ được sử dụng song song giữa tool hỗ trợ và Google Sheet để đảm bảo độ chính xác và backup dữ liệu.</t>
  </si>
  <si>
    <t>Tích hợp Omnichannel vào hệ thống Marquee là ưu tiên trước mắt, sau đó mới triển khai các hạng mục khác.</t>
  </si>
  <si>
    <t>Các tài khoản phải được phân quyền rõ ràng, mỗi người chỉ quản lý tối đa 2 tài khoản.</t>
  </si>
  <si>
    <t>Thưởng KPI dựa trên hai loại: đạt số lượng và chốt đơn hàng, công thức sẽ được quy định rõ ràng.</t>
  </si>
  <si>
    <t>Công cụ seeding hiện đang ở bản thử nghiệm, tiềm ẩn lỗi và chưa hoàn thiện, cần song song sử dụng Google Sheet trong quá trình tối ưu.</t>
  </si>
  <si>
    <t>Chưa có hệ thống tự động hóa kiểm tra chất lượng kết quả (comment, inbox, seeding).</t>
  </si>
  <si>
    <t>Việc mua thêm tài khoản Facebook dùng chung chưa được hoàn tất, giới hạn tài khoản có thể làm chậm tiến độ công việc.</t>
  </si>
  <si>
    <t>KPI thưởng vẫn chưa được hoàn thiện chi tiết, có thể ảnh hưởng đến động lực làm việc của các nhóm.</t>
  </si>
  <si>
    <t>Omnichannel chưa được tích hợp, khiến quy trình quản lý tin nhắn từ các kênh khác nhau chưa đồng bộ.</t>
  </si>
  <si>
    <t>Hoàn thiện danh sách tài khoản Facebook và phân quyền cho từng nhóm (25/05/2026).</t>
  </si>
  <si>
    <t>Đẩy file tổng hợp tài khoản, các nhóm phụ trách và KPI chi tiết lên folder Marquee chung (25/05/2026).</t>
  </si>
  <si>
    <t>Hoàn thiện tool seeding và đồng bộ hóa với Google Sheet để đảm bảo dữ liệu nhất quán (trong tháng 05/2026).</t>
  </si>
  <si>
    <t>Thực hiện tích hợp Omnichannel vào hệ thống Marquee, đảm bảo tất cả tài khoản, nhóm chat được quản lý tập trung (26/05/2026).</t>
  </si>
  <si>
    <t>Viết quy trình chi tiết, bao gồm: hướng dẫn sử dụng tool seeding, cách xây dựng profile Facebook theo chuẩn của Marquee, và hệ thống hóa KPI thưởng.</t>
  </si>
  <si>
    <t>Các leader tổ chức họp nội bộ với nhóm của mình sau 3:30 PM ngày 25/05/2026 để triển khai các nội dung mới.</t>
  </si>
  <si>
    <t>Đề xuất nhập thêm tài khoản dùng chung hoặc sử dụng AI hỗ trợ trong quá trình seeding và quản lý (triển khai sau ngày 25/05/2026).</t>
  </si>
  <si>
    <t>Cuộc họp tập trung vào việc thảo luận và đề xuất cách tự động hóa quy trình xây dựng, thu thập và chia sẻ bộ kỹ năng (skill) và thư viện tri thức (knowledge base) thông qua sử dụng AI và extension trên Chrome. Mục tiêu chính là cải thiện hiệu quả làm việc nhóm qua việc tiêu chuẩn hóa và tự động hóa quy trình.</t>
  </si>
  <si>
    <t>Viết một extension trên Chrome để tự động thu thập dữ liệu từ AI và lưu lại nội dung quan trọng sau khi nhận diện từ khóa trong hội thoại.</t>
  </si>
  <si>
    <t>Tìm hiểu định dạng phù hợp để lưu bộ kỹ năng (skill), ví dụ: `.md` hay `.html`.</t>
  </si>
  <si>
    <t>Xây dựng hệ thống AI Central để lưu trữ và chia sẻ các bộ kỹ năng.</t>
  </si>
  <si>
    <t>Tạo câu lệnh mẫu cố định để extension nhận diện và thu thập dữ liệu từ AI.</t>
  </si>
  <si>
    <t>Thiết lập quy trình tạm thời (manual) để tải về và chia sẻ bộ kỹ năng nếu chưa thể tự động hóa hoàn toàn.</t>
  </si>
  <si>
    <t>Nghiên cứu cách xử lý vấn đề về dữ liệu lớn hoặc khả năng bị "ban" khi làm việc với central line (vấn đề liên quan đến Rodata).</t>
  </si>
  <si>
    <t>Kiểm tra khả năng sử dụng Telegram như một nền tảng thay thế email để chia sẻ các tài liệu liên quan.</t>
  </si>
  <si>
    <t>Xây dựng một database test cho việc lưu trữ skill library và thử nghiệm trước khi áp dụng thực tế.</t>
  </si>
  <si>
    <t>Extension trên Chrome là công cụ bắt buộc để tự động thu thập dữ liệu để tối ưu hóa quy trình.</t>
  </si>
  <si>
    <t>Yêu cầu tất cả các thành viên góp ý và thử nghiệm việc tạo extension theo từng bước được hướng dẫn.</t>
  </si>
  <si>
    <t>Ưu tiên thiết lập câu lệnh mẫu cố định cho AI để đảm bảo tập trung vào đúng nội dung cần lưu trữ.</t>
  </si>
  <si>
    <t>Hiện tại, quy trình chia sẻ và cập nhật skill chủ yếu là thủ công, gây mất thời gian và dễ sai sót.</t>
  </si>
  <si>
    <t>Vấn đề mơ hồ về cách tổ chức dữ liệu trên hệ thống AI Central, đặc biệt trong việc chọn định dạng skill.</t>
  </si>
  <si>
    <t>Khả năng extension bị hạn chế nếu lượng dữ liệu hoặc thao tác quá lớn.</t>
  </si>
  <si>
    <t>Nguy cơ bị "ban" hoặc giới hạn sử dụng khi tiếp tục mở rộng hệ thống Rodata.</t>
  </si>
  <si>
    <t>Hoàn thành việc viết extension trên Chrome và thử nghiệm khả năng tự động thu thập dữ liệu.</t>
  </si>
  <si>
    <t>Nghiên cứu định dạng lưu trữ tốt nhất cho bộ kỹ năng và triển khai một thư viện mẫu trên database thử nghiệm.</t>
  </si>
  <si>
    <t>Đề xuất quy trình chi tiết về sử dụng câu lệnh cố định để đảm bảo nhất quán trong việc thu thập skill.</t>
  </si>
  <si>
    <t>Đánh giá hiệu quả của việc sử dụng Telegram thay email trong việc chia sẻ thông tin và báo cáo kết quả thử nghiệm.</t>
  </si>
  <si>
    <t>Chuẩn bị một cuộc họp tiếp theo để trình bày tiến độ và thảo luận vấn đề mở rộng tự động hóa trên hệ thống AI Central.</t>
  </si>
  <si>
    <t>Thiết lập hệ thống KPI Tracker để thu thập và quản lý dữ liệu về lượt inbox, comment, tin nhắn và click.</t>
  </si>
  <si>
    <t>Collect data từ hệ thống để đảm bảo đạt KPI.</t>
  </si>
  <si>
    <t>Tìm giải pháp tối ưu để thu thập thông tin tin nhắn, lượt inbox và comment qua các công cụ như extension.</t>
  </si>
  <si>
    <t>Xây dựng hệ thống quản lý tin nhắn tập trung cho nhiều tài khoản (Facebook, Zalo, Kakao).</t>
  </si>
  <si>
    <t>Nghiên cứu tích hợp nhiều tài khoản Zalo và Facebook cá nhân/tổ chức vào hệ thống chung.</t>
  </si>
  <si>
    <t>Cập nhật định kỳ hệ thống UI liên quan đến phần comment và tin nhắn.</t>
  </si>
  <si>
    <t>Thứ 4 tuần này.</t>
  </si>
  <si>
    <t>Tài khoản Facebook và các tài khoản mạng xã hội liên quan sẽ do công ty quản lý, không sử dụng tài khoản cá nhân.</t>
  </si>
  <si>
    <t>Tin nhắn, dữ liệu thu thập sẽ chỉ liên quan đến công việc, không bao gồm nội dung cá nhân.</t>
  </si>
  <si>
    <t>Tích hợp hệ thống nhằm ưu tiên quản lý chung tập trung, loại bỏ việc xử lý riêng lẻ các tài khoản.</t>
  </si>
  <si>
    <t>Hiện tại chưa có cách nào rõ ràng để quản lý tập trung nhiều tài khoản Zalo và Facebook.</t>
  </si>
  <si>
    <t>Một số khó khăn khi tích hợp dữ liệu inbox và comment vào hệ thống do cần sử dụng thêm các công cụ hỗ trợ (ví dụ: extension).</t>
  </si>
  <si>
    <t>Khả năng hệ thống chưa tối ưu dẫn đến sự chậm trễ trong việc xử lý dữ liệu.</t>
  </si>
  <si>
    <t>Nghiên cứu và triển khai giải pháp tích hợp nhiều tài khoản Zalo, Facebook vào hệ thống quản lý tin nhắn chung.</t>
  </si>
  <si>
    <t>Kiểm tra khả năng thu thập và phân tích dữ liệu inbox, comment qua extension hoặc các công cụ hỗ trợ khác.</t>
  </si>
  <si>
    <t>Đảm bảo tính ổn định của hệ thống KPI Tracker, tiến hành thu thập dữ liệu thực tế và cập nhật định kỳ.</t>
  </si>
  <si>
    <t>Cập nhật UI hệ thống (comment &amp; tin nhắn) vào thứ 4 tuần này để đảm bảo phù hợp với yêu cầu chung.</t>
  </si>
  <si>
    <t>Tiến hành thử nghiệm tích hợp các tài khoản Facebook/Zalo mới được cấp để đánh giá hiệu quả quản lý liên thông.</t>
  </si>
  <si>
    <t>**Kết thúc biên bản.**</t>
  </si>
  <si>
    <t>Develop tính năng Omnichannel cho Marquee.</t>
  </si>
  <si>
    <t>Phát triển bản desk cho Marquee.</t>
  </si>
  <si>
    <t>Hoàn thành các dự án của Tú, Đức, Nguyên, Vũ và thu tiền về trong cuối tháng.</t>
  </si>
  <si>
    <t>Giao lại file báo giá cuối cùng cho các dự án để chốt.</t>
  </si>
  <si>
    <t>Thuật xử lý tích hợp Google Ads, Facebook Ads và Meta Ads vào hệ thống CDP.</t>
  </si>
  <si>
    <t>Check lại và tích hợp Shopee Ads và TikTok Ads với CDP.</t>
  </si>
  <si>
    <t>Set và kích hoạt toàn bộ KPI trên ứng dụng vào ngày mai.</t>
  </si>
  <si>
    <t>Test và điều chỉnh tính năng bonus trong hệ thống KPI.</t>
  </si>
  <si>
    <t>Lên phương án thiết lập KPI theo tuần để tối ưu feedback.</t>
  </si>
  <si>
    <t>Chạy thử nghiệm seeding trên Facebook và tối ưu số lượng comment, inbox khách hàng.</t>
  </si>
  <si>
    <t>Liệt kê và cập nhật các group Facebook cho seeding (dùng Google Sheets).</t>
  </si>
  <si>
    <t>Mua thêm account cho việc seeding.</t>
  </si>
  <si>
    <t>Fix và tối ưu website Marquee ở bản desktop và mobile.</t>
  </si>
  <si>
    <t>Triển khai tài liệu truyền thông và chạy chiến dịch truyền thông cho Marquee.</t>
  </si>
  <si>
    <t>Gửi tài liệu hướng dẫn sử dụng và chạy KPI cho team.</t>
  </si>
  <si>
    <t>Hỏi khách hàng Nguyên để xử lý vấn đề giao tiếp khi trao đổi trực tiếp đội ngũ khách hàng.</t>
  </si>
  <si>
    <t>Phối hợp với công ty du lịch tại dự án Đà Nẵng để hoàn thiện báo giá tour.</t>
  </si>
  <si>
    <t>Thống nhất lại KPI với các chỉ số về số lượng inbox, comment và bài post.</t>
  </si>
  <si>
    <t>Các dự án của Tú, Đức, Nguyên và Vũ cần đóng trong cuối tháng để thu tiền.</t>
  </si>
  <si>
    <t>Tích hợp Shopee Ads, TikTok Ads vào CDP là nhiệm vụ ưu tiên.</t>
  </si>
  <si>
    <t>Tạm thời thiết lập KPI theo tuần để nhận feedback và điều chỉnh trước khi chuyển sang KPI dài hạn.</t>
  </si>
  <si>
    <t>Cho phép chạy bản demo website Marquee ngay và fix lỗi dần.</t>
  </si>
  <si>
    <t>Ưu tiên dự án Marquee, tối ưu tài liệu và truyền thông trước các công việc khác.</t>
  </si>
  <si>
    <t>Điều chỉnh KPI: tăng chỉ tiêu comment và inbox, giảm chỉ tiêu về bài post (số lượng cụ thể: 10 inbox, 5 comment, 2-3 bài post/tuần).</t>
  </si>
  <si>
    <t>Chưa thống nhất cách kiểm tra chất lượng seeding và cấu trúc nội dung bài post.</t>
  </si>
  <si>
    <t>Khối lượng công việc lớn có thể dẫn đến trễ hạn nếu không phân bổ hợp lý.</t>
  </si>
  <si>
    <t>Một số file KPI khó sử dụng và cần sửa đổi.</t>
  </si>
  <si>
    <t>Các phiếu báo giá (quote) vẫn chưa được chốt kỹ càng, gây chậm trễ trong việc thu tiền.</t>
  </si>
  <si>
    <t>Website Marquee chưa đảm bảo tính chuyên nghiệp, cần sửa đổi song song trong khi vận hành.</t>
  </si>
  <si>
    <t>Thực hiện các công việc phát triển liên quan đến dự án Marquee: Omnichannel, bản desk, tối ưu website, và truyền thông.</t>
  </si>
  <si>
    <t>Triển khai và hoàn thiện KPI theo tuần, kiểm tra chất lượng seeding, sửa đổi bonus.</t>
  </si>
  <si>
    <t>Mua đủ tài khoản và thống kê các group để đẩy mạnh việc inbox và comment với khách hàng qua Facebook.</t>
  </si>
  <si>
    <t>Đóng các dự án của Tú, Đức, Nguyên, và Vũ trong cuối tháng để đảm bảo thu tiền đúng hạn.</t>
  </si>
  <si>
    <t>Cập nhật và gửi báo giá cuối cùng cho các dự án chưa review.</t>
  </si>
  <si>
    <t>Xử lý vấn đề tích hợp Shopee Ads và TikTok Ads vào hệ thống CDP.</t>
  </si>
  <si>
    <t>Thống nhất phương pháp và cấu trúc bài viết seeding để đảm bảo chất lượng.</t>
  </si>
  <si>
    <t>Cuộc họp diễn ra vào ngày 2026-05-26, kéo dài 16 phút, với 2 thành viên tham gia. Nội dung tập trung vào việc triển khai các hoạt động của công ty Marquee Agency trong lĩnh vực marketing outsource, định hướng nhiệm vụ và đặt ra KPI cụ thể cho tuần. Đồng thời đề cập đến việc sử dụng công cụ AI và xây dựng kênh truyền thông cho công ty.</t>
  </si>
  <si>
    <t>Tạo tài khoản fanpage Marquee Agency trên các nền tảng TikTok, Facebook, LinkedIn.</t>
  </si>
  <si>
    <t>Đăng bài trên fanpage Marquee Agency với nội dung dịch vụ, gói dịch vụ và video review. | **Deadline:** Không đề cập.</t>
  </si>
  <si>
    <t>- Huấn: Đăng 3 bài/tuần.</t>
  </si>
  <si>
    <t>- Y Bình: Đăng các video review.</t>
  </si>
  <si>
    <t>Tìm hiểu và nghiên cứu nội dung từ các công ty agency khác để tham khảo cách viết bài.</t>
  </si>
  <si>
    <t>Hoàn thành KPI hàng tuần cho công việc setting:</t>
  </si>
  <si>
    <t>- 4 bài post.</t>
  </si>
  <si>
    <t>- 10 comment trong các group liên quan đến AI/Marketing/Công nghệ.</t>
  </si>
  <si>
    <t>- 10 khách hàng tiềm năng (list) được nhắn tin trực tiếp hoặc tư vấn.</t>
  </si>
  <si>
    <t>Lập file dùng chung để theo dõi nhóm thực hiện công việc setting, tránh trùng lặp trong các group.</t>
  </si>
  <si>
    <t>Mua thêm Gmail để tạo tài khoản.</t>
  </si>
  <si>
    <t>Y Bình chuẩn bị một video tổng quan về công việc và nội dung của công ty để đăng tải.</t>
  </si>
  <si>
    <t>Phân chia rõ ràng nội dung bài viết quảng bá về các gói tour (dẫn tour, sơn trà, cano,...) cho fanpage:</t>
  </si>
  <si>
    <t>- Tách riêng từng bài cho từng dịch vụ, bao gồm thông tin chi tiết dịch vụ, hình ảnh/video minh họa.</t>
  </si>
  <si>
    <t>- Một bài tổng hợp toàn bộ dịch vụ có kèm thông tin chung.</t>
  </si>
  <si>
    <t>- Phân công cụ thể mỗi cá nhân phụ trách đăng bài.</t>
  </si>
  <si>
    <t>KPI hàng tuần cho setting: 4 bài post, 10 comment, 10 khách hàng tiềm năng (list).</t>
  </si>
  <si>
    <t>Chuyển đổi việc đăng bài ở Marquee App sang đăng bài trên fanpage Marquee Agency để tập trung phát triển thương hiệu công ty.</t>
  </si>
  <si>
    <t>Y Bình sẽ đảm nhận việc đăng video review lên các nền tảng của công ty.</t>
  </si>
  <si>
    <t>Fanpage cần sử dụng nội dung chi tiết và tách biệt từng gói dịch vụ để cải thiện trải nghiệm của khách hàng. Các bài viết tổng hợp về dịch vụ chỉ sử dụng trong một số trường hợp cụ thể.</t>
  </si>
  <si>
    <t>Nguy cơ nhóm set trùng lặp thông tin và tiếp cận cùng một nhóm khách hàng.</t>
  </si>
  <si>
    <t>Thiếu hình ảnh minh họa phù hợp cho các bài viết quảng bá dịch vụ.</t>
  </si>
  <si>
    <t>Cần nội dung và định hướng chi tiết từ trưởng nhóm để các thành viên bám sát công việc hiệu quả.</t>
  </si>
  <si>
    <t>Hoàn thành tạo fanpage Marquee Agency trên TikTok, Facebook, LinkedIn và sẵn sàng hoạt động trong tuần này.</t>
  </si>
  <si>
    <t>Thực hiện việc đăng bài, bao gồm các bài đăng dịch vụ và video review, hoàn thành KPI tuần.</t>
  </si>
  <si>
    <t>Tạo và chia sẻ file dùng chung để các thành viên theo dõi, tránh trùng lặp trong việc setting.</t>
  </si>
  <si>
    <t>Tìm kiếm nguồn Gmail để mua tài khoản phục vụ công việc.</t>
  </si>
  <si>
    <t>Tìm kiếm hình ảnh và video phù hợp từ Google và TikTok để bổ sung nội dung bài đăng quảng bá trên fanpage.</t>
  </si>
  <si>
    <t>Y Bình thực hiện video tổng quan và tiến hành đăng tải.</t>
  </si>
  <si>
    <t>Chờ trưởng nhóm gửi nội dung và định hướng chi tiết để thực hiện công việc chính xác hơn.</t>
  </si>
  <si>
    <t>Tổ chức cuộc họp tiếp theo với trưởng nhóm Mai để hướng dẫn cụ thể về cách thực hiện setting trên app.</t>
  </si>
  <si>
    <t>Cuộc họp ngày 26/05/2026 kéo dài 17 phút, với sự tham gia của 3 người, tập trung trao đổi về việc định hình và thiết kế lại giao diện, nội dung cho trang web công ty AMC – một agency marketing B2B. Nội dung chính xoay quanh việc chỉnh sửa giao diện, định hướng lại phong cách trình bày và cung cấp các yêu cầu cụ thể về nội dung, cấu trúc, cùng các bước thực hiện.</t>
  </si>
  <si>
    <t>Thiết kế lại giao diện UI của trang web theo hướng chuyên nghiệp, nghiêm túc, phù hợp với khách hàng mục tiêu là các doanh nghiệp.</t>
  </si>
  <si>
    <t>- Xóa bỏ phong cách giao diện hiện tại "trẻ con".</t>
  </si>
  <si>
    <t>- Layout, hiệu ứng phải thể hiện hiện đại, công nghệ và chuyên nghiệp.</t>
  </si>
  <si>
    <t>- Đảm bảo sử dụng hình ảnh phù hợp (có thể dùng người thật).</t>
  </si>
  <si>
    <t>- Bám sát nội dung đã được gửi trước đó.</t>
  </si>
  <si>
    <t>Hoàn chỉnh trang chủ với các nội dung:</t>
  </si>
  <si>
    <t>- Giới thiệu tổng quan về công ty marketing agency AMC.</t>
  </si>
  <si>
    <t>- Đối tác tiêu biểu.</t>
  </si>
  <si>
    <t>- Các dịch vụ nổi bật.</t>
  </si>
  <si>
    <t>- Giải pháp cho khách hàng.</t>
  </si>
  <si>
    <t>- Gửi thêm nút CTA rõ ràng.</t>
  </si>
  <si>
    <t>Điều chỉnh layout của các mục:</t>
  </si>
  <si>
    <t>- Trang chủ.</t>
  </si>
  <si>
    <t>- Các giải pháp dịch vụ (phân chia rõ thành công ty mẹ và ứng dụng con).</t>
  </si>
  <si>
    <t>- Về chúng tôi (Our Company/Our Values).</t>
  </si>
  <si>
    <t>- Case Studies hoặc Blog.</t>
  </si>
  <si>
    <t>- Tuyển dụng và liên hệ.</t>
  </si>
  <si>
    <t>- Mục giải pháp phải sổ ra theo bố cục gọn gàng, dễ nhìn.</t>
  </si>
  <si>
    <t>Cập nhật nội dung các dịch vụ cốt lõi, gồm:</t>
  </si>
  <si>
    <t>- Marketing ANC.</t>
  </si>
  <si>
    <t>- SayApp.</t>
  </si>
  <si>
    <t>- IT Outsourcing.</t>
  </si>
  <si>
    <t>- Các gói và giải pháp AI (chatbot, dashboard, quản lý, CRM, HTM, v.v.).</t>
  </si>
  <si>
    <t>Phân chia lại các nội dung trong trang web, đảm bảo cấu trúc hợp lý:</t>
  </si>
  <si>
    <t>- Bố trí các mục nội dung như đã thống nhất.</t>
  </si>
  <si>
    <t>- Phần "case studies" đổi thành "blog" hoặc "grey study".</t>
  </si>
  <si>
    <t>Tham khảo giao diện từ các công ty ANC hoặc HD Agency để lấy cảm hứng sắp xếp cấu trúc trang web.</t>
  </si>
  <si>
    <t>Gửi bản nháp phần giao diện, hoặc bản quay màn hình của từng phần, để kiểm duyệt trước khi triển khai toàn bộ.</t>
  </si>
  <si>
    <t>Hoàn thành toàn bộ giao diện UI thử nghiệm trước deadline thứ Sáu (29/05/2026).</t>
  </si>
  <si>
    <t>Phong cách giao diện sẽ được thay đổi theo hướng nghiêm túc, chỉnh chu, phù hợp với khách hàng mục tiêu doanh nghiệp B2B.</t>
  </si>
  <si>
    <t>Bố cục, nội dung, và các module của trang web sẽ được điều chỉnh cụ thể như đã thảo luận, với trọng tâm thể hiện sự chuyên nghiệp của agency marketing.</t>
  </si>
  <si>
    <t>Deadline hoàn thành bản giao diện hoàn chỉnh là ngày 29/05/2026.</t>
  </si>
  <si>
    <t>Quy trình triển khai: thiết kế từng phần, gửi kiểm duyệt trước khi tiếp tục.</t>
  </si>
  <si>
    <t>Phong cách giao diện hiện tại chưa phù hợp với định hướng khách hàng mục tiêu, cần sửa toàn bộ để tránh gây ấn tượng sai lệch.</t>
  </si>
  <si>
    <t>Rủi ro thiếu sự đồng bộ trong thiết kế nếu không bám sát hướng dẫn và nội dung sẵn có.</t>
  </si>
  <si>
    <t>Chưa tìm được mẫu website tham khảo phù hợp (đang nghiên cứu HD Agency).</t>
  </si>
  <si>
    <t>Triển khai thiết kế giao diện trang chủ trước, đảm bảo bao gồm các mục chính: giới thiệu công ty, đối tác, dịch vụ nổi bật, giải pháp, CTA.</t>
  </si>
  <si>
    <t>Chỉnh sửa layout và hoàn thiện giao diện từng phần, gửi bản nháp hoặc quay màn hình để kiểm duyệt ngay sau mỗi bước.</t>
  </si>
  <si>
    <t>Hoàn tất UI thử nghiệm trước ngày 29/05/2026 để trình duyệt và điều chỉnh.</t>
  </si>
  <si>
    <t>Nghiên cứu thêm các website chuyên nghiệp như HD Agency để lấy ý tưởng cho bố cục và hiệu ứng.</t>
  </si>
  <si>
    <t>Các thành viên theo dõi và tương tác qua tài liệu nội bộ do trưởng nhóm cung cấp.</t>
  </si>
  <si>
    <t>Cuộc họp kết thúc lúc 16:20. Các nhiệm vụ và deadline đã được phân công cụ thể.</t>
  </si>
  <si>
    <t>Cuộc họp diễn ra vào ngày 27-05-2026, thảo luận về việc phát triển và tối ưu hóa hệ thống Central AI, bao gồm các tính năng lưu trữ thông tin, tổng hợp dữ liệu từ người dùng, và phân loại kỹ năng. Mục đích chính là đảm bảo hệ thống hoạt động tự động, tạo ra trải nghiệm đơn giản, thuận tiện cho người dùng.</t>
  </si>
  <si>
    <t>Hoàn thành tính năng lưu trữ context và tổng hợp prompt/kỹ năng trong hệ thống</t>
  </si>
  <si>
    <t>Phát triển tính năng tự động tạo và gửi summary cuối ngày lên cơ sở dữ liệu Central AI</t>
  </si>
  <si>
    <t>Tinh chỉnh và tối ưu trải nghiệm người dùng, đảm bảo thao tác đơn giản chỉ cần click một nút</t>
  </si>
  <si>
    <t>Bổ sung khả năng phân loại tự động prompt theo lĩnh vực (dev, marketing, v.v.) dựa trên nội dung</t>
  </si>
  <si>
    <t>Sửa và kiểm tra lỗi tính năng tự động phân loại và lưu trữ</t>
  </si>
  <si>
    <t>Đẩy dữ liệu đã xử lý lên database chung để quản lý phê duyệt</t>
  </si>
  <si>
    <t>Xem xét và áp dụng ý tưởng từ tài liệu/video đã chia sẻ về Central AI</t>
  </si>
  <si>
    <t>Demo tính năng Central Operation AI, thử nghiệm thực tế với dữ liệu giả lập</t>
  </si>
  <si>
    <t>Thứ Sáu (2026-05-29)</t>
  </si>
  <si>
    <t>Người dùng chỉ cần bấm nút "Kết thúc phiên làm việc" để hệ thống tự động ghi nhận, tổng hợp và lưu dữ liệu.</t>
  </si>
  <si>
    <t>Central AI sẽ tự động phân loại thông tin và đề xuất nội dung phù hợp theo lĩnh vực sử dụng.</t>
  </si>
  <si>
    <t>Giao tiếp và lưu trữ dữ liệu qua cơ sở dữ liệu thay vì sử dụng Telegram để giảm phức tạp.</t>
  </si>
  <si>
    <t>Các nhóm cần gửi báo cáo/demo tiến độ vào thứ Sáu (2026-05-29) để tiếp tục theo dõi và đánh giá.</t>
  </si>
  <si>
    <t>Tính năng tự động phân loại và lưu trữ chưa hoàn thiện, có thể gặp lỗi logic với các điều kiện lưu trữ.</t>
  </si>
  <si>
    <t>Khả năng phân loại tự động theo từng nhóm kỹ năng (dev, marketing, v.v.) dựa trên nội dung chưa được xác nhận hiệu quả.</t>
  </si>
  <si>
    <t>Rủi ro người dùng không thao tác đúng hoặc không thực hiện đầy đủ bước "Kết thúc phiên làm việc".</t>
  </si>
  <si>
    <t>Giao diện và chức năng chưa tối ưu cho trải nghiệm người dùng, có thể gây khó khăn khi thao tác.</t>
  </si>
  <si>
    <t>Tiếp tục phát triển và sửa lỗi tính năng tự động phân loại, tổng hợp và lưu trữ dữ liệu.</t>
  </si>
  <si>
    <t>Đảm bảo hoàn thiện tính năng "Kết thúc phiên làm việc" với prompt tự động tạo ra các bộ kỹ năng/tài liệu.</t>
  </si>
  <si>
    <t>Tinh chỉnh thuật toán phân loại dữ liệu theo lĩnh vực để cải thiện độ chính xác.</t>
  </si>
  <si>
    <t>Thực hiện các bài test thực tế với hệ thống để xác định lỗi và tối ưu hiệu năng.</t>
  </si>
  <si>
    <t>Báo cáo và demo tiến độ vào thứ Sáu (2026-05-29).</t>
  </si>
  <si>
    <t>Đặt lịch họp kế tiếp sau khi hoàn thành các thử nghiệm để thảo luận bước tiếp theo.</t>
  </si>
  <si>
    <t>(End of Report)</t>
  </si>
  <si>
    <t>Hoàn thành bản cập nhật KPI cho từng team, gồm: KPI Boss, KPI Comment, KPI Inbox, KPI List.</t>
  </si>
  <si>
    <t>Các team tự xem xét lại con số KPI ngưỡng và mức bonus, thống nhất và cập nhật vào bảng.</t>
  </si>
  <si>
    <t>Thương và các trưởng nhóm liên hệ bổ sung thành viên mới cho các team nếu cần.</t>
  </si>
  <si>
    <t>Các team cần chốt danh sách thành viên và KPI chi tiết trước phiên họp tiếp theo.</t>
  </si>
  <si>
    <t>Tiếp tục thử nghiệm cơ chế giữ lại 50% phần thưởng nếu không đạt KPI, và chuyển sang thưởng 50% này vào tuần sau nếu đạt KPI.</t>
  </si>
  <si>
    <t>Cơ chế tạm thời: Giữ lại 50% phần thưởng nếu không đạt KPI tuần này, có thể trao phần thưởng giữ lại khi đạt KPI tuần tiếp theo.</t>
  </si>
  <si>
    <t>Các chỉ tiêu KPI sẽ được áp dụng riêng cho từng team và từng loại nhiệm vụ, với các mức bonus cụ thể tùy vào kết quả.</t>
  </si>
  <si>
    <t>Quy tắc về cơ chế thưởng/phạt: Không trừ vào lương nhưng có thể điều chỉnh mức thưởng dựa trên hiệu suất.</t>
  </si>
  <si>
    <t>Thiếu sự đồng nhất trong việc xác định cụ thể KPI và mức thưởng giữa các team, dẫn đến khó khăn trong quản lý và đánh giá hiệu suất.</t>
  </si>
  <si>
    <t>Phương án giữ lại phần thưởng 50% có thể gây khó hiểu hoặc chưa đủ động lực cho nhân viên nếu không được giải thích rõ ràng.</t>
  </si>
  <si>
    <t>Hạn chế về quy mô và nguồn lực nhân sự của một số team cần bổ sung thành viên.</t>
  </si>
  <si>
    <t>Một số ý kiến phản đối áp dụng hình thức phạt, cho rằng không hiệu quả và không phù hợp với văn hóa của team.</t>
  </si>
  <si>
    <t>Các team trưởng (Thương, Tiên, Uyển) cần chốt danh sách thành viên và KPI chi tiết cho từng nhóm.</t>
  </si>
  <si>
    <t>Thương hoàn thiện bảng KPI và gửi toàn đội để thống nhất các thông số cuối cùng.</t>
  </si>
  <si>
    <t>Tiến hành các thử nghiệm với con số KPI và cơ chế giữ lại 50% mức thưởng, sau đó đánh giá lại hiệu quả.</t>
  </si>
  <si>
    <t>Tổ chức họp lại vào buổi tối để thảo luận và chốt con số Bonus, KPI cuối cùng trước khi triển khai chính thức.</t>
  </si>
  <si>
    <t>Theo dõi hiệu suất của các team sau khi triển khai KPI mới và điều chỉnh nếu cần thiết.</t>
  </si>
  <si>
    <t>Sửa nội dung hiển thị để người dùng dễ hiểu hơn về thông tin đăng nhập trên trang shidding.maki.ai và ID Facebook.</t>
  </si>
  <si>
    <t>Gửi KPI và liên kết comment để leader kiểm tra và đánh giá.</t>
  </si>
  <si>
    <t>Xem xét và triển khai phương án sử dụng VPS và chia tải crawl data để giảm nguy cơ bị Facebook chặn.</t>
  </si>
  <si>
    <t>Kiểm tra tính năng crawl data bằng Extension trên trình duyệt để đảm bảo tính khả dụng và an toàn.</t>
  </si>
  <si>
    <t>Thứ Sáu.</t>
  </si>
  <si>
    <t>Đánh giá rủi ro của các phương án crawl data, bao gồm quy trình xử lý cookie và kiểm tra IP.</t>
  </si>
  <si>
    <t>Hoàn thiện cấu hình VPS để thực hiện thử nghiệm crawl data.</t>
  </si>
  <si>
    <t>Chuyển giao diện lưu trữ dữ liệu từ Google Sheets sang cloud database (Superbase) và đảm bảo khả năng xem dữ liệu từ nền tảng frontend.</t>
  </si>
  <si>
    <t>Review công việc liên quan đến đồng bộ Extension và crawl data trên các nền tảng khác nhau để hợp nhất vào một hệ thống.</t>
  </si>
  <si>
    <t>Hoàn thiện báo cáo KPI và hoàn tất việc điền thông tin làm việc critical vào hệ thống.</t>
  </si>
  <si>
    <t>1-2 ngày tới.</t>
  </si>
  <si>
    <t>Bổ sung tính năng "hẹn giờ crawl" trong giao diện người dùng để tăng tính tự động hóa trong tương lai.</t>
  </si>
  <si>
    <t>Sử dụng VPS để chia nhỏ tài khoản và tải trọng crawl dữ liệu, đảm bảo an toàn và tránh bị Facebook block IP.</t>
  </si>
  <si>
    <t>Tiếp tục phát triển giải pháp sử dụng Extension để crawl data, ưu tiên thử nghiệm các tính năng hiện tại trên môi trường ổn định.</t>
  </si>
  <si>
    <t>Chuyển đổi hệ thống lưu trữ Google Sheets sang giải pháp cloud database (Superbase) để cải thiện tốc độ và độ ổn định.</t>
  </si>
  <si>
    <t>Cập nhật các filter và tính năng quản lý trong bảng điều khiển (box fix và group).</t>
  </si>
  <si>
    <t>Quyết định dùng frontend để hiển thị dữ liệu cào thay vì duy trì qua Google Sheets.</t>
  </si>
  <si>
    <t>Tài khoản Facebook bị chặn khi crawling data liên tục hoặc qua IP không an toàn.</t>
  </si>
  <si>
    <t>Rủi ro khi sử dụng cookie trong tài khoản bị Facebook yêu cầu thêm các bước xác minh.</t>
  </si>
  <si>
    <t>Tốc độ crawling bị giới hạn bởi yêu cầu từ Facebook (giới hạn số request trên phút).</t>
  </si>
  <si>
    <t>Google Sheets không đủ đáp ứng về khả năng lưu trữ và xử lý dữ liệu lớn.</t>
  </si>
  <si>
    <t>Chi phí hoặc hạn chế về số lượng máy VPS và IP cần thiết để đảm bảo an toàn.</t>
  </si>
  <si>
    <t>Hoàn thiện thiết lập VPS và phân chia tài khoản để thử nghiệm crawl data vào các group cụ thể.</t>
  </si>
  <si>
    <t>Triển khai và kiểm tra Extension trên trình duyệt để thử nghiệm tính năng crawl comment/bài viết trên nhóm Facebook.</t>
  </si>
  <si>
    <t>Chuyển dữ liệu từ Google Sheets sang cloud database để cải thiện hiệu suất lưu và hiển thị dữ liệu.</t>
  </si>
  <si>
    <t>Cập nhật các phần giao diện liên quan đến box fix và group để đáp ứng đầy đủ các trường filter.</t>
  </si>
  <si>
    <t>Đề xuất phương án tối ưu về số lượng tài khoản Facebook, máy tính, và VPS cần sử dụng trước cuộc họp tiếp theo.</t>
  </si>
  <si>
    <t>Hoàn tất báo cáo KPI và cập nhật đầy đủ thông tin vào hệ thống quản lý.</t>
  </si>
  <si>
    <t>Tiếp tục thử nghiệm với tính năng "hẹn giờ crawl" trong giao diện người dùng để phát triển về lâu dài.</t>
  </si>
  <si>
    <t>Theo dõi tiến độ cào dữ liệu từ các nhóm Facebook và báo cáo bất kỳ vấn đề nào phát sinh.</t>
  </si>
  <si>
    <t>Cuộc họp diễn ra vào ngày 2026-05-27 với sự tham gia của 4 người, thời lượng kéo dài 18 phút. Nội dung cuộc họp tập trung vào việc tuyển dụng và giao nhiệm vụ cho các bạn thực tập sinh của công ty Marquee. Các thông tin về công ty, chế độ làm việc, quy trình, dự án và nhiệm vụ dự kiến được trình bày.</t>
  </si>
  <si>
    <t>Các thực tập sinh cần làm quen với quy trình nội bộ dựa trên các video hướng dẫn từ công ty.</t>
  </si>
  <si>
    <t>Các bạn thực tập sinh, sau khi vào nhóm, sẽ được giao các task nhỏ để làm quen trước khi nhận KPI tuần tới.</t>
  </si>
  <si>
    <t>Tuần tới.</t>
  </si>
  <si>
    <t>Thực tập sinh Nguyễn Như Hiền sẽ làm việc với team content tại Đà Nẵng, tham gia 2 dự án: (1) Marketing các dự án nội bộ của công ty Marquee và (2) Marketing trong lĩnh vực du lịch. Sẽ có leader phụ trách giám sát và giao việc. KPI cần đạt sẽ được theo dõi chặt chẽ.</t>
  </si>
  <si>
    <t>Thực tập sinh Nam sẽ tham gia vào dự án liên quan đến SEO, Google Ads, và Facebook Ads. Ban đầu chủ yếu quan sát cách các thành viên team thực hiện và xây dựng report. Sau đó sẽ tham gia thử nghiệm chạy Ads nội bộ.</t>
  </si>
  <si>
    <t>Hai bạn thực tập sinh cần truy cập vào các app và công cụ AI tích hợp của công ty để làm quen.</t>
  </si>
  <si>
    <t>Thực tập sinh cần thông báo trước với team và lễ tân khi đến công ty làm việc.</t>
  </si>
  <si>
    <t>Hai thực tập sinh làm việc với các team tại công ty Marquee (Đà Nẵng) theo phân công nhiệm vụ cụ thể.</t>
  </si>
  <si>
    <t>Thực tập sinh sẽ bắt đầu với các task nhỏ làm quen, sau đó tăng dần nhiệm vụ theo quy trình KPI.</t>
  </si>
  <si>
    <t>Các kênh giao tiếp chính thức là qua Telegram và Zalo. Telegram dùng để báo deadline, Zalo dùng để trao đổi công việc.</t>
  </si>
  <si>
    <t>Không có vấn đề đặc biệt được đề cập.</t>
  </si>
  <si>
    <t>Add các bạn thực tập sinh vào nhóm (trên Telegram và Zalo).</t>
  </si>
  <si>
    <t>Giao các task nhỏ để các bạn làm quen, sau đó tăng dần nhiệm vụ theo KPI trong tuần tới.</t>
  </si>
  <si>
    <t>Team leader hỗ trợ thực tập sinh trong việc làm quen với app, công cụ AI, và quy trình nội bộ.</t>
  </si>
  <si>
    <t>Thực tập sinh cần chủ động thông báo với team khi đến làm việc tại văn phòng.</t>
  </si>
  <si>
    <t>Theo dõi và đánh giá khả năng của các thực tập sinh qua các dự án nội bộ và các báo cáo để điều chỉnh nhiệm vụ phù hợp.</t>
  </si>
  <si>
    <t>Mua trước 1-2 tài khoản Facebook để test lỗi.</t>
  </si>
  <si>
    <t>Tìm kiếm group Facebook và fanpage trong lĩnh vực công nghệ và du lịch. Ưu tiên: giá dưới 1 triệu đồng và số lượng thành viên cao.</t>
  </si>
  <si>
    <t>Ngày 2026-05-29</t>
  </si>
  <si>
    <t>Mua group và fanpage phù hợp theo yêu cầu để thay thế group/fanpage cũ.</t>
  </si>
  <si>
    <t>Cuối tuần (2026-05-31)</t>
  </si>
  <si>
    <t>Test thử tài khoản Facebook đã mua và cập nhật tình hình.</t>
  </si>
  <si>
    <t>Chọn mua tài khoản tại phía cung cấp phản hồi nhanh hơn.</t>
  </si>
  <si>
    <t>Mua group và fanpage tập trung vào lĩnh vực công nghệ và du lịch với giới hạn giá dưới 1,5 triệu đồng nếu cần thiết.</t>
  </si>
  <si>
    <t>Sử dụng group/fanpage cũ nếu phù hợp và thay đổi mục đích sử dụng (ví dụ: đổi fanpage Villa thành fanpage khác).</t>
  </si>
  <si>
    <t>Tiếp tục tìm kiếm thêm group và fanpage về công nghệ nếu các lựa chọn hiện tại chưa đáp ứng được yêu cầu.</t>
  </si>
  <si>
    <t>Cung cấp tài khoản Facebook với thông tin random (ngẫu nhiên), có thể khó kiểm soát chất lượng.</t>
  </si>
  <si>
    <t>Khó tìm được group Facebook về công nghệ với giá và số lượng thành viên phù hợp.</t>
  </si>
  <si>
    <t>Mua và test thử 1-2 tài khoản Facebook trước để đảm bảo chất lượng.</t>
  </si>
  <si>
    <t>Tìm kiếm và đề xuất group và fanpage trong lĩnh vực công nghệ, du lịch, ưu tiên giá dưới 1 triệu đồng, hoàn thành trước ngày 2026-05-29.</t>
  </si>
  <si>
    <t>Cập nhật kết quả tìm kiếm group và fanpage trong cuộc họp cuối tuần (trước 2026-05-31).</t>
  </si>
  <si>
    <t>Đánh giá hiệu suất nhóm làm việc và theo dõi kết quả review công việc từ nhóm liên quan để điều chỉnh chiến lược.</t>
  </si>
  <si>
    <t>Tổng hợp và trình bày lại chi tiết về báo cáo chiến dịch Google AdWords, bao gồm các chỉ số biến động trong 7 ngày và 30 ngày qua.</t>
  </si>
  <si>
    <t>Nghiên cứu thêm về các nền tảng quảng cáo khác như TikTok, Instagram, Facebook, Meta để đánh giá sự khác biệt về chức năng và hiệu quả so với Google AdWords.</t>
  </si>
  <si>
    <t>Chuẩn bị video hoặc tài liệu trình bày so sánh tính năng của các đối thủ để làm rõ điểm nổi bật trong sản phẩm của nhóm.</t>
  </si>
  <si>
    <t>Lên kế hoạch trình bày lại toàn bộ nghiên cứu và khảo sát của team researcher cho các bên liên quan trong cuộc họp tiếp theo.</t>
  </si>
  <si>
    <t>Báo cáo Google Ads hiện tại chỉ tập trung vào Google AdWords mà chưa mở rộng sang các nền tảng quảng cáo khác.</t>
  </si>
  <si>
    <t>Chưa có điểm khác biệt rõ ràng giữa sản phẩm hiện tại và Google AdWords, dẫn đến thắc mắc tại sao khách hàng nên sử dụng sản phẩm của team thay vì sử dụng trực tiếp Google Ads.</t>
  </si>
  <si>
    <t>Chưa có tài liệu hoặc video trình bày về các tính năng hoặc báo cáo nghiên cứu của đối thủ.</t>
  </si>
  <si>
    <t>Team cần cung cấp video hoặc tài liệu so sánh chi tiết các đối thủ và các nền tảng quảng cáo khác ngoài Google Ads để phân tích rõ ràng hơn.</t>
  </si>
  <si>
    <t>Team researcher cần trình bày lại toàn bộ báo cáo và nghiên cứu trong cuộc họp sắp tới, bao gồm các chỉ số CPA, Quality Score và các kết quả phân tích khác.</t>
  </si>
  <si>
    <t>Cuộc họp kế tiếp được đề xuất diễn ra vào lúc 9h sáng ngày 29/5/2026, nhằm trao đổi cụ thể hơn về các vấn đề và hướng đi mới.</t>
  </si>
  <si>
    <t>Mở rộng nghiên cứu sang các nền tảng quảng cáo ngoài Google Ads để xác định lợi thế cạnh tranh.</t>
  </si>
  <si>
    <t>Cuộc họp ngày 2026-05-29 kéo dài 24 phút, với sự tham gia của 5 thành viên, thảo luận về dự án lập trình các tính năng tự động hóa liên quan đến việc crawl (thu thập) dữ liệu từ Zalo và forward (chuyển tiếp) nội dung đến các group. Mục tiêu chính là cải thiện tốc độ và hiệu quả của các tính năng, bao gồm giao diện tùy chỉnh cho việc lưu trữ, chỉnh sửa và gửi nội dung.</t>
  </si>
  <si>
    <t>Crawl dữ liệu từ các group Zalo, bao gồm cả nội dung chữ, hình ảnh, thông tin người đăng và thời gian gửi</t>
  </si>
  <si>
    <t>2-4 ngày.</t>
  </si>
  <si>
    <t>Xây dựng hệ thống lưu trữ dữ liệu vào Supabase thay vì Google Sheets để tối ưu hóa tốc độ và khả năng truy xuất.</t>
  </si>
  <si>
    <t>Phát triển giao diện tùy chỉnh bao gồm các tính năng: hiển thị dữ liệu crawl được, chỉnh sửa nội dung, và xóa nội dung</t>
  </si>
  <si>
    <t>2-3 ngày.</t>
  </si>
  <si>
    <t>Tích hợp chức năng forward nội dung đã chỉnh sửa đến các group trên Zalo mà người dùng muốn</t>
  </si>
  <si>
    <t>3 ngày.</t>
  </si>
  <si>
    <t>Cải thiện tính năng crawl data (HTML-based) đảm bảo hoạt động ổn định khi nhiều người cùng chạy song song.</t>
  </si>
  <si>
    <t>Test với những nhóm Zalo thực tế để đảm bảo khả năng thu thập dữ liệu đầy đủ và logic xử lý tính năng forward chính xác.</t>
  </si>
  <si>
    <t>Kiểm tra tính năng crawl ảnh và triển khai cho phép lưu ảnh vào hệ thống</t>
  </si>
  <si>
    <t>Không đề cập rõ.</t>
  </si>
  <si>
    <t>Tối ưu hóa giao diện để trực quan, dễ sử dụng cho người dùng (bao gồm lựa chọn group và hiển thị nội dung đã chỉnh sửa).</t>
  </si>
  <si>
    <t>Lưu dữ liệu về cơ sở dữ liệu Supabase thay vì Google Sheets để cải thiện hiệu suất.</t>
  </si>
  <si>
    <t>Tính năng forward cho phép chỉnh sửa nội dung trước khi gửi đến các group.</t>
  </si>
  <si>
    <t>Giao diện sẽ có thêm chức năng chỉnh sửa, lưu, xóa nội dung để tạo sự tiện dụng.</t>
  </si>
  <si>
    <t>Tập trung xử lý khả năng crawl dữ liệu nhóm/gửi tin nhắn nhóm trên Zalo với giao diện quản lý cụ thể.</t>
  </si>
  <si>
    <t>Test crawl và forward trên các nội dung thực tế (chữ, hình ảnh) trong nhóm Zalo.</t>
  </si>
  <si>
    <t>Hiện tại chưa test được khả năng forward đồng loạt đến các group một cách toàn diện.</t>
  </si>
  <si>
    <t>Chưa crawl được ảnh một cách đầy đủ và cần kiểm tra thêm về tính ổn định.</t>
  </si>
  <si>
    <t>Tốc độ crawl và forward có khả năng bị ảnh hưởng khi nhiều người chạy hệ thống đồng thời.</t>
  </si>
  <si>
    <t>Các tiêu chí bảo mật trong việc login qua Zalo (NoVNC, VBS) và việc quản lý tài khoản cá nhân cần được rà soát kỹ lưỡng.</t>
  </si>
  <si>
    <t>Hoàn tất tính năng crawl dữ liệu chi tiết (nội dung, hình ảnh, thời gian) từ các nhóm Zalo.</t>
  </si>
  <si>
    <t>Phát triển giao diện quản trị để quản lý, chỉnh sửa và lưu nội dung đã crawl.</t>
  </si>
  <si>
    <t>Hoàn thiện module forward nội dung từ giao diện đến các group Zalo được chỉ định.</t>
  </si>
  <si>
    <t>Test trên dữ liệu thực tế (nội dung nhóm, hình ảnh, đa phương tiện) đảm bảo crawl và forward hoạt động chính xác.</t>
  </si>
  <si>
    <t>Tối ưu hóa hệ thống để hỗ trợ đa người dùng chạy song song mà không bị chồng lấn session.</t>
  </si>
  <si>
    <t>Cập nhật tiến độ sau 3 ngày (chủ nhật), đồng thời bàn giao tính năng cơ bản (crawl data và forward).</t>
  </si>
  <si>
    <t>**Lưu ý cuối cùng:** Biên bản này được tổng hợp chính xác dựa trên nội dung transcript, mọi thông tin đều được ghi nhận đầy đủ và không suy diễn.</t>
  </si>
  <si>
    <t>Cuộc họp ngày 2026-05-29 kéo dài 22 phút, tập trung thảo luận về các ý tưởng và kỹ thuật liên quan đến việc phát triển tính năng tạo kỹ năng (skill) từ đoạn chát, sử dụng AI (chẳng hạn như Gemini Free và Callao). Mục tiêu là tối ưu hóa quy trình tạo file skill, tăng tính tự động hóa và đảm bảo khả năng lưu trữ dữ liệu vào hệ thống.</t>
  </si>
  <si>
    <t>Tích hợp AI để tự động tạo file skill từ các đoạn chát.</t>
  </si>
  <si>
    <t>Thử nghiệm sử dụng Callao để kiểm tra độ chính xác và cải thiện hiệu suất.</t>
  </si>
  <si>
    <t>Kiểm tra khả năng tự động lưu file skill về thư mục cố định hoặc database.</t>
  </si>
  <si>
    <t>Nghiên cứu phương thức làm đơn giản hóa giao diện và quy trình sử dụng tập trung vào các đoạn chat với một chủ đề cụ thể.</t>
  </si>
  <si>
    <t>Gửi record của cuộc họp tới các thành viên.</t>
  </si>
  <si>
    <t>Chuẩn bị demo ngắn (1-2 phút) về việc ứng dụng tính năng mới.</t>
  </si>
  <si>
    <t>Tiến hành công việc liên quan đến phase 2 với thời gian dự kiến hoàn thành trong 3-4 ngày (bao gồm cả ngày thứ bảy nếu cần).</t>
  </si>
  <si>
    <t>Thứ 4 hoặc Thứ 6</t>
  </si>
  <si>
    <t>File skill sẽ được định dạng để không dành cho người đọc mà dành cho AI hoặc ứng dụng cần tích hợp kỹ năng đó.</t>
  </si>
  <si>
    <t>Mỗi đoạn chat chỉ nên gắn với một chủ đề cụ thể để đảm bảo chất lượng của file skill.</t>
  </si>
  <si>
    <t>Ưu tiên quy trình tự động hóa, bao gồm việc AI nhận diện nội dung, xuất file skill, và lưu vào hệ thống.</t>
  </si>
  <si>
    <t>Nếu file skill trả về không lưu thẳng vào database, có thể tải về máy trước và xử lý sau.</t>
  </si>
  <si>
    <t>Sử dụng bản miễn phí của các công cụ như Gemini Free và Callao có thể bị giới hạn về số lượt truy cập và chức năng.</t>
  </si>
  <si>
    <t>Một số file skill khi tạo ra có khả năng thiếu chính xác hoặc bị lỗi (ví dụ, không lưu được khi nội dung quá dài hoặc phức tạp).</t>
  </si>
  <si>
    <t>Tình trạng gián đoạn trong việc thử nghiệm các giải pháp do hạn chế về tài nguyên hoặc công cụ.</t>
  </si>
  <si>
    <t>Thử nghiệm các công cụ AI, bao gồm Gemini Free và Callao, để tạo file skill và đánh giá hiệu suất.</t>
  </si>
  <si>
    <t>Thiết kế và phát triển giao diện đơn giản hơn, tập trung vào một chủ đề cụ thể khi tạo skill.</t>
  </si>
  <si>
    <t>Kiểm tra và tối ưu hóa khả năng tự động lưu dữ liệu vào database hoặc thư mục cố định.</t>
  </si>
  <si>
    <t>Chuẩn bị bản demo minh họa quy trình tự động tạo và lưu file skill.</t>
  </si>
  <si>
    <t>Triển khai các nhiệm vụ trong phase 2 với thời hạn 3-4 ngày, bao gồm cả ngày thứ bảy nếu cần.</t>
  </si>
  <si>
    <t>Xem xét việc nâng cấp công cụ hoặc mua bản trả phí để gia tăng hiệu suất và giảm rủi ro trong quá trình phát triển.</t>
  </si>
  <si>
    <t>Sửa phần filter để đảm bảo lọc chính xác các bài được quản lý theo tiêu chí cụ thể (công nghệ, việc làm, v.v.).</t>
  </si>
  <si>
    <t>Đẩy các tính năng "seeding" và xác minh (verify) đã seeding hoàn chỉnh trước khi phát hành.</t>
  </si>
  <si>
    <t>Update tính năng tạo và chỉnh sửa nhóm (group) để xử lý thời gian quét liên tục hoặc giảm tần suất quét.</t>
  </si>
  <si>
    <t>Sử dụng Superbase để quản lý cơ sở dữ liệu, thay thế hoặc tích hợp với các nền tảng hiện tại (ví dụ: Firebase hoặc Metabase).</t>
  </si>
  <si>
    <t>6 ngày nữa</t>
  </si>
  <si>
    <t>Thiết lập hệ thống VPS agent để crawl data và gửi về một server chính. Tránh mở thêm VPS mới.</t>
  </si>
  <si>
    <t>Tách riêng các tính năng trong extension và kiểm tra trước khi phát hành.</t>
  </si>
  <si>
    <t>Thứ Bảy, Chủ Nhật</t>
  </si>
  <si>
    <t>Feedback trực tiếp với các cá nhân như Nguyên và Thanh để hoàn thành các công việc liên quan.</t>
  </si>
  <si>
    <t>Tập trung hoàn thành 2 task chính trước: sửa filter và chỉnh lại các setting liên quan đến seeding.</t>
  </si>
  <si>
    <t>Quản lý tài khoản Facebook bằng cách gắn mỗi email tương ứng với 1-2 tài khoản Facebook.</t>
  </si>
  <si>
    <t>Sử dụng Superbase làm cơ sở dữ liệu chính.</t>
  </si>
  <si>
    <t>Tận dụng VPS có sẵn và cài agent lên đó để thực hiện các yêu cầu crawl data, tránh nguy cơ phải mở mới VPS.</t>
  </si>
  <si>
    <t>Hệ thống filter không ổn định, dẫn đến khó lọc dữ liệu chính xác.</t>
  </si>
  <si>
    <t>Chưa chỉnh sửa được thời gian quét trong phần chỉnh sửa nhóm (group settings).</t>
  </si>
  <si>
    <t>Việc tích hợp VPS agent có khả năng gây xung đột hoặc lây nhiễm virus giữa các server.</t>
  </si>
  <si>
    <t>Triển khai ngay việc sửa filter và setting liên quan đến seeding để hoàn thành trước hạn.</t>
  </si>
  <si>
    <t>Tiếp tục update và thử nghiệm tính năng trên Superbase, đảm bảo chuyển đổi cơ sở dữ liệu diễn ra suôn sẻ.</t>
  </si>
  <si>
    <t>Gắn mỗi tài khoản email với 1-2 tài khoản Facebook, đảm bảo quản lý dữ liệu rõ ràng.</t>
  </si>
  <si>
    <t>Cài đặt thử nghiệm hệ thống VPS agent trên server hiện tại, thực hiện kiểm tra bảo mật để giảm thiểu nguy cơ nhiễm virus.</t>
  </si>
  <si>
    <t>Phối hợp với Nguyên và Thanh để kiểm tra và hoàn thiện các tính năng extention trước cuối tuần này.</t>
  </si>
  <si>
    <t>Triển khai cuộc họp tiếp theo để đánh giá tiến độ công việc và xử lý các blockers mới phát sinh (thời gian chưa được đề cập).</t>
  </si>
  <si>
    <t>Bổ sung thông tin "Leader," "Start," "Target" và nhận xét cho Level 1 trên hệ thống quản lý CV.</t>
  </si>
  <si>
    <t>Thêm tương tự thông tin "Leader," "Start," "Target" và nhận xét cho Level 2 và Level 3.</t>
  </si>
  <si>
    <t>Chỉnh sửa giao diện UI của admin để rõ ràng, dễ quản lý và dễ xem hơn.</t>
  </si>
  <si>
    <t>Nếu không đủ chỗ hiển thị thông tin, thêm chi tiết các phần dưới dạng bảng để quản lý dễ dàng hơn.</t>
  </si>
  <si>
    <t>Bổ sung cột liên quan đến việc phân loại item (ví dụ: tay, mèo...).</t>
  </si>
  <si>
    <t>Cố định chức năng cuộn trang để thông tin không bị chạy mất khi lướt qua.</t>
  </si>
  <si>
    <t>Cần bổ sung các trường dữ liệu "Leader," "Start," "Target" và nhận xét cho từng level trong hệ thống.</t>
  </si>
  <si>
    <t>Nếu diện tích hiển thị không đủ, sử dụng bảng chi tiết để hiển thị rõ ràng hơn.</t>
  </si>
  <si>
    <t>Giao diện UI hiện tại chưa hoàn thiện, gây khó khăn cho việc quản lý và theo dõi thông tin.</t>
  </si>
  <si>
    <t>Chưa có giải pháp cụ thể về việc hiển thị thông tin trong trường hợp bị giới hạn không gian.</t>
  </si>
  <si>
    <t>Triển khai việc bổ sung các trường "Leader," "Start," "Target" và nhận xét cho tất cả các level trên hệ thống.</t>
  </si>
  <si>
    <t>Thiết kế, cải tiến và hoàn thiện giao diện UI của admin để dễ quản lý và quan sát thông tin hơn.</t>
  </si>
  <si>
    <t>Kiểm tra và phân loại các item (tay, mèo,...) và thêm thông tin cần thiết vào hệ thống quản lý.</t>
  </si>
  <si>
    <t>Xử lý vấn đề hiển thị thông tin trên giao diện bằng cách cân nhắc sử dụng bảng chi tiết nếu cần.</t>
  </si>
  <si>
    <t>Cố định chức năng cuộn trang để đảm bảo thông tin không bị tuột khỏi khung khi theo dõi.</t>
  </si>
  <si>
    <t>Cuộc họp ngày 2026-06-01 kéo dài 40 phút, tập trung giải quyết các vấn đề liên quan đến các công việc setting, bài post, comment, và tương tác trong chiến dịch Social của dự án **Marquee ANC** và Marquee Agency. Mục tiêu chính là làm rõ quy trình, KPI, và các đầu việc cho từng thành viên trong team để cải thiện hiệu suất.</t>
  </si>
  <si>
    <t>Điền toàn bộ dữ liệu setting cũ (bài post, comment, list tương tác) từ 2 tuần trước vào file KPI trước 19:00 cùng ngày.</t>
  </si>
  <si>
    <t>2026-06-01, 19:00.</t>
  </si>
  <si>
    <t>Tiếp tục thực hiện các công việc setting hiện tại (theo quy trình mới được hướng dẫn).</t>
  </si>
  <si>
    <t>Cập nhật danh sách các group liên quan vào file "Group Social" để tránh bị trùng lặp setting giữa các thành viên.</t>
  </si>
  <si>
    <t>Làm rõ và duy trì các thông tin về quyền lợi (trường hợp đạt KPI hoặc vượt KPI).</t>
  </si>
  <si>
    <t>Chuẩn bị cho cuộc họp tin ngày mai để triển khai các task mới.</t>
  </si>
  <si>
    <t>Summarize (tóm tắt) nội dung cuộc họp và gửi nhóm sau phiên họp.</t>
  </si>
  <si>
    <t>KPI cho mỗi thành viên mỗi tuần:</t>
  </si>
  <si>
    <t>- 10 comment.</t>
  </si>
  <si>
    <t>- 10 danh sách tương tác.</t>
  </si>
  <si>
    <t>Tập trung công việc Social vào dự án **Marquee ANC**.</t>
  </si>
  <si>
    <t>Quy trình setting sẽ gồm: điền thông tin chi tiết bài post/comment vào các sheet được cung cấp (group, nội dung, ngày đăng, kết quả…).</t>
  </si>
  <si>
    <t>Sử dụng dashboard theo template để giám sát công việc và hiệu suất KPI.</t>
  </si>
  <si>
    <t>Quyền lợi khi đạt hoặc vượt KPI (bao gồm bonus và hoa hồng) sẽ được công khai trong file “Rule”.</t>
  </si>
  <si>
    <t>Mọi thắc mắc, thiếu rõ ràng phải báo cáo ngay lập tức để xử lý tránh trì hoãn công việc.</t>
  </si>
  <si>
    <t>Có sự nhầm lẫn trong việc hiểu và thực hiện quy trình setting từ các tuần trước.</t>
  </si>
  <si>
    <t>Một số thành viên chưa điền đúng thông tin vào hệ thống, dẫn đến khó theo dõi hiệu quả công việc.</t>
  </si>
  <si>
    <t>Thiếu sự chủ động của nhiều thành viên trong việc liên hệ khi gặp khó khăn hoặc không hiểu rõ nhiệm vụ.</t>
  </si>
  <si>
    <t>Rủi ro trùng lặp nhóm khi setting trong cùng một group Social.</t>
  </si>
  <si>
    <t>Toàn bộ thành viên hoàn thành cập nhật dữ liệu setting cũ vào hệ thống theo yêu cầu trước 19:00 cùng ngày.</t>
  </si>
  <si>
    <t>Tiếp tục thực hiện các nhiệm vụ hiện tại dựa trên quy trình mới.</t>
  </si>
  <si>
    <t>Sắp xếp nhóm tin để rà soát và tránh việc setting trùng lặp trên cùng một group.</t>
  </si>
  <si>
    <t>Tham gia cuộc họp ngày hôm sau để triển khai các task mới theo kế hoạch.</t>
  </si>
  <si>
    <t>Người phụ trách summarize nội dung họp cần gửi báo cáo vào group chung trước ngày mai để đảm bảo mọi thành viên nắm được thông tin.</t>
  </si>
  <si>
    <t>Tóm tắt cuộc họp đã hoàn tất, phản ánh đầy đủ và chi tiết các nội dung trao đổi trong transcript.</t>
  </si>
  <si>
    <t>Cuộc họp ngày 2026-06-01 kéo dài 40 phút với 4 thành viên tham gia, tập trung trao đổi về công việc setting bài đăng (post), comment và thiết lập danh sách tương tác (list). Nội dung chủ yếu là rà soát tiến độ, giải quyết các vấn đề tồn đọng, và hướng dẫn chi tiết quy trình liên quan đến KPI, quyền lợi, cũng như các bước điền thông tin trên các bảng theo dõi công việc.</t>
  </si>
  <si>
    <t>Điền toàn bộ thông tin setting (post, comment, list tương tác) từ tuần trước (tuần 22) vào bảng tổng hợp</t>
  </si>
  <si>
    <t>Trước 19h, ngày 2026-06-01.</t>
  </si>
  <si>
    <t>Tiếp tục chạy công việc setting hiện tại (bài đăng, comment, danh sách tương tác).</t>
  </si>
  <si>
    <t>Chuẩn bị dữ liệu công việc tuần mới (tuần 23), chờ thêm hướng dẫn cụ thể từ cuộc họp ngày mai.</t>
  </si>
  <si>
    <t>Kiểm tra và cập nhật group social nơi team đang setting, đảm bảo không trùng lặp nhóm giữa các thành viên.</t>
  </si>
  <si>
    <t>Làm rõ quyền lợi KPI, bao gồm trừ thưởng khi không đạt và hoa hồng khi vượt KPI/chốt hợp đồng, dựa trên bảng role được cung cấp.</t>
  </si>
  <si>
    <t>Summarize (tóm tắt nội dung) cuộc họp và gửi vào group nội bộ.</t>
  </si>
  <si>
    <t>Quy trình setting: Điền thông tin vào bảng tổng hợp bao gồm thông tin bài đăng, comment, list tương tác, và danh sách khách hàng tương tác.</t>
  </si>
  <si>
    <t>Các mục trong bảng tổng hợp bao gồm: Ngày đăng bài, tên group, link bài viết/comment/khách hàng tương tác, loại nội dung, số lượt tương tác.</t>
  </si>
  <si>
    <t>Chạy KPI mỗi tuần với yêu cầu: 4 bài post, 10 comment, và 10 lượt tương tác.</t>
  </si>
  <si>
    <t>Tập trung setting và chạy bài trên nền tảng Marquee A&amp;C, không tạo tài khoản cá nhân/gây trùng lặp không cần thiết.</t>
  </si>
  <si>
    <t>Đẩy mạnh hiệu quả công việc dựa vào quy chế thưởng và phạt theo KPI, không để tồn đọng công việc.</t>
  </si>
  <si>
    <t>Phần quyền lợi KPI được giải thích rõ ràng và minh bạch, đảm bảo động lực làm việc cho team.</t>
  </si>
  <si>
    <t>Một số thành viên hiểu sai hướng dẫn, dẫn đến nhầm lẫn giữa việc setting trên Marquee A&amp;C và tài khoản cá nhân.</t>
  </si>
  <si>
    <t>Công việc setting chưa được điền đầy đủ vào bảng tổng hợp, gây khó khăn trong việc đánh giá tiến độ.</t>
  </si>
  <si>
    <t>Thiếu cập nhật/trao đổi kịp thời giữa các thành viên khi gặp vấn đề, dẫn đến công việc bị trì trệ.</t>
  </si>
  <si>
    <t>Nguy cơ trùng lặp nhóm (group) setting giữa các thành viên do không kiểm tra danh sách group đầy đủ.</t>
  </si>
  <si>
    <t>Điền đầy đủ thông tin setting cũ (tuần 22) trước 19h ngày 2026-06-01 theo yêu cầu.</t>
  </si>
  <si>
    <t>Tiếp tục thực hiện setting theo KPI tuần 23 (4 bài post, 10 comment, 10 list tương tác), đảm bảo ghi nhận chi tiết vào bảng tổng hợp.</t>
  </si>
  <si>
    <t>Chờ hướng dẫn thêm trong cuộc họp team ngày mai để triển khai kế hoạch tuần 23.</t>
  </si>
  <si>
    <t>Kiểm tra kỹ danh sách group social đã đăng ký để tránh lặp trùng giữa các thành viên trong team.</t>
  </si>
  <si>
    <t>Xem lại chi tiết bảng role về quyền lợi để hiểu rõ các chế độ liên quan đến KPI và hoa hồng.</t>
  </si>
  <si>
    <t>Người phụ trách summarize nội dung cuộc họp cần nhanh chóng thực hiện và gửi lên group nội bộ để các thành viên nắm thông tin.</t>
  </si>
  <si>
    <t>Trạng thái: Đã phân công công việc rõ ràng và có kế hoạch họp bổ sung để củng cố tiến độ.</t>
  </si>
  <si>
    <t>Cuộc họp diễn ra ngày 01/06/2026, tập trung vào việc quản lý tiến độ các dự án hiện tại, điều chỉnh KPI cho team, xử lý vấn đề liên quan đến các nền tảng như web của Marquee Agency, và phối hợp trong triển khai công việc với đối tác bên ngoài như Cao Sơn. Cuộc họp cũng đặt trọng tâm vào việc đánh giá và điều phối công việc của các thành viên nhằm đạt mục tiêu đề ra.</t>
  </si>
  <si>
    <t>Xử lý và hoàn thiện web của Marquee Agency, yêu cầu đẩy lên ngay khi hoàn thành, không cần chờ hoàn hảo.</t>
  </si>
  <si>
    <t>Đặt KPI cho team: 5 bài post, 10 comment, 10 inbox mỗi tuần; yêu cầu leader làm gương bằng cách thực hiện KPI với giới hạn thấp hơn.</t>
  </si>
  <si>
    <t>Theo dõi và điều chỉnh quy trình tracking KPI của các thành viên để đảm bảo hiệu quả.</t>
  </si>
  <si>
    <t>Kiểm tra, bổ sung và thống kê nhóm liên quan để tránh trùng lặp trong việc xử lý. Deadline: tuần này.</t>
  </si>
  <si>
    <t>Tích hợp TikTok Shop và Shopee, đồng thời xin quyền để chạy các phần liên quan.</t>
  </si>
  <si>
    <t>Tiến hành training và customize lại giao diện UI/UX cho web Marquee Agency, sau khi đã thực hiện nghiên cứu đối thủ.</t>
  </si>
  <si>
    <t>Phân quyền rõ ràng cho BA để triển khai công việc trên Google Cloud và các phần mềm liên quan.</t>
  </si>
  <si>
    <t>Đẩy mạnh việc setting cho dự án Marquee Agency, đặc biệt tập trung vào việc đi tìm link, đồng thời inbox các bên có nhu cầu.</t>
  </si>
  <si>
    <t>Đưa các tài liệu xuột và clip của bên Cao Sơn về phù hợp hơn với tiêu chí khách hàng, nhưng vẫn giữ quyền phản biện để đảm bảo hiệu quả lâu dài.</t>
  </si>
  <si>
    <t>Tăng cường chạy quảng cáo (ads) trên Facebook và các nền tảng khác, phối hợp với Uyển.</t>
  </si>
  <si>
    <t>Quyết định đẩy nhanh việc hoàn thiện và đẩy web của Marquee Agency lên, không chờ đợi sự hoàn hảo.</t>
  </si>
  <si>
    <t>Thống nhất KPI tuần này cho team: 5 bài post, 10 comment, 10 inbox, leader có trách nhiệm làm gương với số lượng ít hơn nhưng bắt buộc phải thực hiện.</t>
  </si>
  <si>
    <t>Leader phải giám sát và làm mẫu để các thành viên nắm bắt quy trình setting tốt hơn trong 2 tuần đầu.</t>
  </si>
  <si>
    <t>Tập trung vào việc trao quyền cho các bạn BA để làm việc hiệu quả trên phần mềm Google Cloud.</t>
  </si>
  <si>
    <t>Sẽ trao đổi lại với đối tác Cao Sơn để đảm bảo định hướng triển khai nội dung phù hợp, không bị lệ thuộc hoàn toàn vào yêu cầu của khách hàng.</t>
  </si>
  <si>
    <t>Các thành viên trong team chưa nắm rõ quy trình setting, dẫn đến việc không đạt KPI cá nhân.</t>
  </si>
  <si>
    <t>Một số nhóm chưa bổ sung thông tin về link group đang xử lý, dẫn đến nguy cơ trùng lặp hoặc bỏ sót.</t>
  </si>
  <si>
    <t>Đối tác Cao Sơn có xu hướng yêu cầu sản xuất nội dung theo hướng bảo thủ, dễ gây ảnh hưởng tiêu cực đến kết quả cuối cùng.</t>
  </si>
  <si>
    <t>Rủi ro các thành viên mới không đáp ứng KPI, ảnh hưởng đến tiến độ chung.</t>
  </si>
  <si>
    <t>Hoàn thiện và đẩy web của Marquee Agency lên ngay trong tuần.</t>
  </si>
  <si>
    <t>Triển khai đào tạo cho các thành viên để nắm vững quy trình setting và tracking KPI.</t>
  </si>
  <si>
    <t>Lên kế hoạch training UI/UX, đồng thời triển khai việc customize để đảm bảo tính chuyên nghiệp và hiệu quả.</t>
  </si>
  <si>
    <t>Tích hợp TikTok Shop, Shopee và quyền Google Cloud, phân công rõ ràng cho BA xử lý.</t>
  </si>
  <si>
    <t>Kiểm tra lại tất cả thông tin nhóm/mạng xã hội đang xử lý để tránh trùng lặp và tối ưu hóa hiệu suất.</t>
  </si>
  <si>
    <t>Giao KPI cho các thành viên mới để đánh giá thái độ làm việc và khả năng thăng tiến.</t>
  </si>
  <si>
    <t>Thống nhất hướng xử lý với đối tác bên Cao Sơn, phản hồi những nội dung không phù hợp để đạt hiệu quả tốt nhất.</t>
  </si>
  <si>
    <t>Bắt đầu chạy quảng cáo trên các nền tảng (như Facebook) từ tuần này.</t>
  </si>
  <si>
    <t>Đánh giá yêu cầu kỹ thuật và gửi thông tin chi tiết (estimate) cho Lee</t>
  </si>
  <si>
    <t>Gửi profile và các thông tin dự án đã triển khai cho đối tác</t>
  </si>
  <si>
    <t>Phát triển một phần mềm mới tương tự G-MATRIX, có khả năng hỗ trợ cả Windows và Mac OS.</t>
  </si>
  <si>
    <t>G-MATRIX sẽ tiếp tục được sử dụng trong giai đoạn đầu; sau đó xây dựng hệ thống quản lý và cơ sở dữ liệu riêng (web admin) để thay thế.</t>
  </si>
  <si>
    <t>G-MATRIX hiện tại chỉ hạn chế hỗ trợ Mac OS và không có khả năng quản lý dữ liệu nội bộ do thuộc quyền quản lý của bên thứ ba.</t>
  </si>
  <si>
    <t>Hoàn thiện đánh giá yêu cầu kỹ thuật và gửi thông tin cho Lee.</t>
  </si>
  <si>
    <t>Gửi profile của công ty kèm theo thông tin về các dự án đã triển khai cho đối tác.</t>
  </si>
  <si>
    <t>Bắt đầu nghiên cứu và lên kế hoạch phát triển phần mềm mới, ưu tiên hỗ trợ đa nền tảng (Windows, Mac OS) và quản lý dữ liệu nội bộ.</t>
  </si>
  <si>
    <t>Chỉnh sửa toàn bộ định hướng nội dung website theo yêu cầu.</t>
  </si>
  <si>
    <t>Đăng tối thiểu 4 bài post trên social media/tuần theo KPI đã cập nhật.</t>
  </si>
  <si>
    <t>Tạo 6 trang landing page cho 6 căn villa với nội dung chi tiết riêng biệt nhưng cấu trúc giống nhau. Nội dung cần bao gồm thông tin căn villa, hình ảnh, địa chỉ, số phòng, và phần CTA liên kết với các kênh OTA.</t>
  </si>
  <si>
    <t>Tiếp tục đăng 2 bài viết mỗi ngày trên các trang mạng xã hội của dự án Go Đà Nẵng.</t>
  </si>
  <si>
    <t>Điền đầy đủ thông tin về các nhóm (group) đã thực hiện việc setting, bao gồm tên nhóm, link và người phụ trách, vào file được giao.</t>
  </si>
  <si>
    <t>Viết 2 bài blog/tuần cho dự án Marquee NC, tập trung vào các chủ đề như AI marketing, case study doanh nghiệp.</t>
  </si>
  <si>
    <t>Tiếp tục setting ưu tiên lấy link tại dự án Go Đà Nẵng và cập nhật KPI mới cho dự án.</t>
  </si>
  <si>
    <t>Đăng video đã chỉnh sửa lên fanpage của Marquee NC.</t>
  </si>
  <si>
    <t>Mỗi căn villa sẽ có một landing page riêng biệt với cấu trúc đồng nhất, đổ link về các kênh OTA.</t>
  </si>
  <si>
    <t>Các bài đăng trên mạng xã hội cần tuân thủ mật độ tối ưu (1 hình vuông hoặc 1 ngang – 3 vuông) và tập trung vào hình ảnh thu hút hơn là thông tin dày đặc.</t>
  </si>
  <si>
    <t>Việc viết bài blog sẽ tập trung vào case study doanh nghiệp và các chủ đề liên quan tới AI marketing, đảm bảo 2 bài/tuần.</t>
  </si>
  <si>
    <t>Nội dung định hướng hiện tại cho dự án chưa đúng hướng, cần chỉnh sửa ngay để tránh lệch mục tiêu.</t>
  </si>
  <si>
    <t>Các thông tin về nhóm đang setting (group) chưa được điền đầy đủ, gây khó trong việc quản lý trùng lặp.</t>
  </si>
  <si>
    <t>Việc phân bổ bài đăng mạng xã hội chưa tối ưu, cần điều chỉnh lại định dạng và cách trình bày để thu hút hơn.</t>
  </si>
  <si>
    <t>Chỉnh sửa ngay phần định hướng nội dung website và các bài post trên mạng xã hội để đảm bảo phù hợp chiến lược marketing.</t>
  </si>
  <si>
    <t>Tiến hành thiết kế và đăng nội dung lên các trang landing page cho 6 căn villa thuộc dự án Villa Đà Nẵng với thông tin chi tiết từng villa.</t>
  </si>
  <si>
    <t>Đẩy mạnh việc thực hiện và theo dõi KPI cho các dự án, đảm bảo đạt chỉ tiêu đề ra trong tuần 23.</t>
  </si>
  <si>
    <t>Hoàn thiện việc viết và đăng tải 2 bài blog mỗi tuần trên trang Marquee NC.</t>
  </si>
  <si>
    <t>Điền đầy đủ thông tin liên quan đến việc setting các nhóm vào file được giao để tránh trùng lặp công việc.</t>
  </si>
  <si>
    <t>Họp và báo cáo tiến độ hoàn thành các hạng mục công việc, đặc biệt các dự án Villa Đà Nẵng, Go Đà Nẵng và Marquee NC.</t>
  </si>
  <si>
    <t>Tích hợp phần Marquee vào các nền tảng quảng cáo: Google Ads, Facebook Ads, TikTok Ads, Shopee Ads.</t>
  </si>
  <si>
    <t>Check đối thủ và tạo bảng so sánh tính năng để nghiên cứu và tối ưu hóa tích hợp.</t>
  </si>
  <si>
    <t>Tạo nhóm nghiên cứu (2 BA và 4 bạn AD) để hỗ trợ việc phân tích đối thủ và phát triển sản phẩm.</t>
  </si>
  <si>
    <t>Gom 3 dự án Marquee chính (Marquee, Marquee Chat, Marquee CDP) thành 1 file với 3 sheets cho việc quản lý tập trung.</t>
  </si>
  <si>
    <t>Chiều hoặc tối 2026-06-03</t>
  </si>
  <si>
    <t>Phân chia trách nhiệm trong nhóm cho đúng với thế mạnh của từng cá nhân.</t>
  </si>
  <si>
    <t>Sửa đổi các tính năng của Marquee Chat (chuyển từ image sang source code).</t>
  </si>
  <si>
    <t>Dự án Marquee sẽ tích hợp đa kênh từ các nền tảng quảng cáo lớn.</t>
  </si>
  <si>
    <t>Gom 3 dự án của Marquee vào một file quản lý với 3 sheets.</t>
  </si>
  <si>
    <t>Đội trưởng Thuật chịu trách nhiệm kiểm soát toàn bộ các task và phối hợp với các bạn trong nhóm BA và Dev.</t>
  </si>
  <si>
    <t>Phần của Marquee Chat đang bị delay 2 tuần, dẫn đến đội Product đứng hình.</t>
  </si>
  <si>
    <t>Việc có ít nhân sự cứng trong nhóm dẫn đến áp lực phân công công việc hiệu quả.</t>
  </si>
  <si>
    <t>Vấn đề về CDN: Cần làm rõ liệu có thể tự build hệ thống CDN hay phải phụ thuộc vào hệ thống bên thứ ba như 2Lab.</t>
  </si>
  <si>
    <t>Thiếu đội BI trong nhóm để thực hiện các bước phân tích chuyên biệt về đối thủ.</t>
  </si>
  <si>
    <t>Hoàn thiện việc gom ba dự án Marquee chính thành một file quản lý chung để tăng hiệu quả theo dõi.</t>
  </si>
  <si>
    <t>Thuật thực hiện phân chia lại nhóm dựa trên thế mạnh của từng cá nhân và finalize trong cuộc họp tiếp theo.</t>
  </si>
  <si>
    <t>Đẩy nhanh tích hợp các nền tảng quảng cáo vào hệ thống Marquee.</t>
  </si>
  <si>
    <t>Tiến hành nghiên cứu đối thủ và hoàn thiện bảng so sánh điểm mạnh/yếu của các nền tảng công cụ tại Việt Nam và quốc tế, gửi tài liệu cho BA và Dev để nghiên cứu thêm.</t>
  </si>
  <si>
    <t>Xử lý vấn đề delay của Marquee Chat, đảm bảo chuyển image sang source code hoàn tất để không ảnh hưởng thêm.</t>
  </si>
  <si>
    <t>Xem xét và thảo luận phương án giải quyết vấn đề CDN: tự build hoặc nhờ bên thứ ba hỗ trợ.</t>
  </si>
  <si>
    <t>Xây dựng lại CDN để đảm bảo giữ và export dữ liệu.</t>
  </si>
  <si>
    <t>Anh Sơn hỗ trợ triển khai và truyền tải dữ liệu lên server dev và product.</t>
  </si>
  <si>
    <t>Kiểm tra lại các lỗi liên quan đến MCB bởi đội phụ trách (MCB đang không hoạt động ổn định).</t>
  </si>
  <si>
    <t>Gọi anh Sơn để trao đổi và hỗ trợ thêm các vấn đề phát sinh.</t>
  </si>
  <si>
    <t>CDN sử dụng chung của HiLabs, không phải phiên bản độc lập của Marquee.</t>
  </si>
  <si>
    <t>Anh Sơn đảm nhận công việc liên quan đến quản lý CDN, truyền tải dữ liệu và hỗ trợ kỹ thuật.</t>
  </si>
  <si>
    <t>Sẽ kiểm tra lại server và toàn bộ vấn đề liên quan đến MCB để xử lý các lỗi hiện tại.</t>
  </si>
  <si>
    <t>Xây dựng CDN chậm nếu không có thêm người hỗ trợ build.</t>
  </si>
  <si>
    <t>Lỗi tại phần MCB vẫn tồn đọng, cần rà soát và fix lỗi toàn bộ từ đầu.</t>
  </si>
  <si>
    <t>Chưa có thông tin về phương án giải quyết rõ ràng cho lỗi MCB liên quan đến server.</t>
  </si>
  <si>
    <t>Hoàn thành việc xây dựng CDN và export dữ liệu, được hỗ trợ bởi anh Sơn.</t>
  </si>
  <si>
    <t>Tiến hành kiểm tra và sửa lỗi MCB (đội phụ trách cần phối hợp với anh Sơn nếu cần).</t>
  </si>
  <si>
    <t>Gọi anh Sơn để hướng dẫn và giải quyết các vấn đề kỹ thuật liên quan (phần DevOps).</t>
  </si>
  <si>
    <t>Báo cáo lại sau khi hoàn thành các bước xử lý lỗi và xây dựng CDN.</t>
  </si>
  <si>
    <t>Gửi link dự án mini để đối tác xem xét và sửa đổi.</t>
  </si>
  <si>
    <t>Gửi các file .env phục vụ việc xây dựng môi trường.</t>
  </si>
  <si>
    <t>Quay video hướng dẫn cách build dự án ở local.</t>
  </si>
  <si>
    <t>Kiểm tra mã nguồn trên GitLab của đối tác khi đã được cập nhật và gửi email thông báo để xác nhận.</t>
  </si>
  <si>
    <t>Tạo tài khoản GitLab cho đối tác để kiểm tra và xử lý mã nguồn.</t>
  </si>
  <si>
    <t>Đối tác sẽ cập nhật mã lên GitLab và gửi email để xác nhận.</t>
  </si>
  <si>
    <t>Tiến hành xử lý những phần lỗi nếu phát sinh trong quá trình làm việc.</t>
  </si>
  <si>
    <t>Quá trình quay video hướng dẫn có thể gặp khó khăn vì sự phức tạp của dự án.</t>
  </si>
  <si>
    <t>Một số lỗi không dự đoán trước có khả năng xuất hiện trong quá trình chạy môi trường và cần xử lý kịp thời.</t>
  </si>
  <si>
    <t>Hoàn thành gửi link dự án, file .env, tạo tài khoản GitLab và phối hợp kiểm tra mã nguồn.</t>
  </si>
  <si>
    <t>Quay video hướng dẫn build dự án local nếu cần thiết.</t>
  </si>
  <si>
    <t>Xử lý các lỗi kỹ thuật khi phát sinh trong quá trình làm việc.</t>
  </si>
  <si>
    <t>Đối tác cập nhật mã nguồn lên GitLab và gửi email xác nhận để tiếp tục kiểm tra và điều chỉnh.</t>
  </si>
  <si>
    <t>Cuộc họp ngày 2026-06-03 nhằm thảo luận chi tiết về việc quản lý và tối ưu hệ thống crawl dữ liệu (Cronata) cùng với hệ thống VPS (Virtual Private Server), cải tiến giao diện người dùng, và tích hợp các tính năng Auto Post lên Facebook thông qua công cụ Maki. Cuộc họp cũng tập trung đề xuất giải pháp cho việc kiểm soát hiệu năng VPS, tích hợp các tài khoản quản lý và thiết lập thời gian crawl dữ liệu linh hoạt.</t>
  </si>
  <si>
    <t>Xây dựng giao diện thống kê VPS: Liệt kê tổng số VPS, mỗi VPS quản lý bao nhiêu nhóm, và tình trạng hoạt động của từng VPS (sống/chết).</t>
  </si>
  <si>
    <t>Tối ưu hệ thống crawl: Cho phép thiết lập thời gian crawl dữ liệu linh hoạt cho từng nhóm Facebook, ví dụ 1 giờ/lần hoặc theo các khung giờ cụ thể.</t>
  </si>
  <si>
    <t>Phát triển giao diện thêm VPS mới: Cho phép người dùng tự thêm VPS mà không cần can thiệp vào code. Hướng dẫn deploy VPS mới cho người dùng.</t>
  </si>
  <si>
    <t>Tái cấu trúc hệ thống lưu trữ thông tin: Đưa các liên kết và thông tin liên quan vào database để quản lý hiệu quả hơn.</t>
  </si>
  <si>
    <t>Tích hợp tính năng đăng bài tự động (Auto Post) trong Maki: Đảm bảo tài khoản Facebook trong VPS có thể đăng bài từ giao diện tập trung.</t>
  </si>
  <si>
    <t>Nghiên cứu và cải tiến Extension Facebook cũ để tích hợp vào hệ thống mới, đảm bảo khả năng đăng bài tự động từ tài khoản Facebook mặc định.</t>
  </si>
  <si>
    <t>Xây dựng script tự động deploy trên VPS: Đóng gói và phát triển script tự động deploy mã nguồn và các thành phần cần thiết trên các VPS mới.</t>
  </si>
  <si>
    <t>Hỗ trợ đội ngũ marketing trong việc thống kê và quản lý các nhóm Facebook đã thêm.</t>
  </si>
  <si>
    <t>Xây dựng giao diện đầy đủ để quản lý VPS, trong đó cung cấp thông tin tình trạng VPS và số lượng nhóm Facebook mà mỗi VPS đang quản lý.</t>
  </si>
  <si>
    <t>Tích hợp thời gian crawl dữ liệu linh hoạt cho từng nhóm, không giới hạn ở 24 giờ/lần, phù hợp với yêu cầu thực tế.</t>
  </si>
  <si>
    <t>Giao nhiệm vụ cải tiến hệ thống Auto Post và xử lý Extension cũ cho Hoàng.</t>
  </si>
  <si>
    <t>Giao nhiệm vụ tạo giao diện thêm VPS và tối ưu hiển thị thông tin quản lý VPS cho Nguyên.</t>
  </si>
  <si>
    <t>Hiện tại thêm VPS thủ công, bắt buộc phải chỉnh sửa code, gây khó khăn trong việc mở rộng quy mô.</t>
  </si>
  <si>
    <t>VPS đang sử dụng tài khoản Facebook mặc định để crawl dữ liệu, nhưng chưa có cơ chế tự động bảo vệ và chăm sóc tài khoản, dễ gây khóa tài khoản.</t>
  </si>
  <si>
    <t>Không có thông tin tổng quan về số lượng VPS, số nhóm được quản lý và hiệu năng của từng VPS, dẫn đến khó kiểm soát hiệu quả hoạt động.</t>
  </si>
  <si>
    <t>Giao diện thống kê nhóm và hệ thống thời gian crawl còn thiếu độ tùy biến cao.</t>
  </si>
  <si>
    <t>Cần đảm bảo Extension Facebook có thể hoạt động hiệu quả trên môi trường Linux và Windows VPS, tuy nhiên hiện chưa có phương án triển khai hoặc thử nghiệm cụ thể.</t>
  </si>
  <si>
    <t>Nguyên triển khai giao diện thống kê VPS và tính năng thêm VPS mới, đồng thời tích hợp thời gian crawl dữ liệu linh hoạt vào hệ thống.</t>
  </si>
  <si>
    <t>Hoàng nghiên cứu và cải tiến Extension Auto Post trên Facebook, đảm bảo tính ổn định khi sử dụng với các tài khoản Facebook mặc định.</t>
  </si>
  <si>
    <t>Phát triển script tự động deploy mã nguồn trên các VPS mới để đơn giản hóa quá trình mở rộng hệ thống.</t>
  </si>
  <si>
    <t>Đưa các liên kết nhóm Facebook và thông tin liên quan vào hệ thống database để quản lý.</t>
  </si>
  <si>
    <t>Xây dựng tài liệu và hướng dẫn chi tiết cho người dùng khi muốn deploy VPS mới.</t>
  </si>
  <si>
    <t>Triển khai giao diện kiểm soát task liên quan đến crawl dữ liệu (bao gồm thiết lập thời gian crawl, quản lý nhóm Facebook).</t>
  </si>
  <si>
    <t>Hỗ trợ đội marketing hoàn thiện các nhóm Facebook đã thêm và cấu hình thời gian crawl cụ thể cho từng nhóm.</t>
  </si>
  <si>
    <t>Phân bổ nhân sự cho các dự án:</t>
  </si>
  <si>
    <t>- **Maki App**: Tùng, Thanh, Tiên, Thảo.</t>
  </si>
  <si>
    <t>- **Maki Chat**: Thảo và Tiên đảm nhận chính.</t>
  </si>
  <si>
    <t>- **CDB**: Thục làm chính, Thanh hỗ trợ phần BA.</t>
  </si>
  <si>
    <t>- **Siding**: Hoàng làm chính.</t>
  </si>
  <si>
    <t>- **Villa Đà Nẵng**: Tiên, Thảo, Tùng xử lý cùng nhau.</t>
  </si>
  <si>
    <t>- **MyKey Agency**: Thảo làm chính, phối hợp với Tiên.</t>
  </si>
  <si>
    <t>Hoàn thành 6 landing page cho dự án Villa theo yêu cầu của anh Đức</t>
  </si>
  <si>
    <t>Tháng 06 (cần xác nhận lại từ anh Đức).</t>
  </si>
  <si>
    <t>Gặp trực tiếp anh Đức để chốt scope công việc về các trang Villa</t>
  </si>
  <si>
    <t>Sắp xếp thời gian gặp sớm nhất.</t>
  </si>
  <si>
    <t>Phân tích lại dữ liệu quảng cáo từ MyKey Agency và Cao Sơn để tích hợp với CDB và Maki App.</t>
  </si>
  <si>
    <t>Remotely sửa code trực tiếp trên server, thay vì làm việc trên máy cá nhân. Cung cấp thêm tài khoản cloud để hỗ trợ công việc.</t>
  </si>
  <si>
    <t>Kiểm tra tính tương thích và hiệu suất giữa các nền tảng như BossHot, Tradika, và Portos trước khi tích hợp vào CDB.</t>
  </si>
  <si>
    <t>Xem xét ngôn ngữ lập trình backend, frontend phù hợp cho các module mới trên Maki App và các ứng dụng liên quan.</t>
  </si>
  <si>
    <t>Tổng hợp KPI và phân chia dự án rõ ràng trên bảng KPI team marketing.</t>
  </si>
  <si>
    <t>Sử dụng Cloud Code để tối ưu hiệu suất làm việc.</t>
  </si>
  <si>
    <t>Tất cả các số liệu quảng cáo sẽ được tích hợp vào CDB trước khi đồng bộ hóa với Maki App.</t>
  </si>
  <si>
    <t>Tiếp tục duy trì sử dụng chung các ngôn ngữ lập trình giữa các ứng dụng nội bộ (Maki App, Maki Settings).</t>
  </si>
  <si>
    <t>Thảo và Tiên chịu trách nhiệm chính dự án Villa Đà Nẵng và phối hợp với Tùng khi cần.</t>
  </si>
  <si>
    <t>Một số máy tính cá nhân của nhân viên không đủ cấu hình để chạy môi trường làm việc hiện tại, gây gián đoạn công việc.</t>
  </si>
  <si>
    <t>Vấn đề phân bổ công việc chưa chặt chẽ dẫn đến tình trạng chồng chéo dự án.</t>
  </si>
  <si>
    <t>Dữ liệu từ BossHot, Tradika, và các nền tảng khác cần kiểm tra kỹ tính tương thích với CDB.</t>
  </si>
  <si>
    <t>Một số yêu cầu từ khách hàng (ví dụ: yêu cầu demo và báo giá) chưa được xử lý kịp thời.</t>
  </si>
  <si>
    <t>Tiên và Thảo lên danh sách công việc cần hoàn thành, gặp trực tiếp anh Đức để chốt yêu cầu dự án Villa.</t>
  </si>
  <si>
    <t>Hoàn chỉnh bảng KPI team để sắp xếp lại trách nhiệm từng thành viên, tránh chồng chéo dự án.</t>
  </si>
  <si>
    <t>Cung cấp tài khoản Cloud Code và chuẩn bị server remote để hỗ trợ nhân sự trong quá trình làm việc.</t>
  </si>
  <si>
    <t>Kiểm tra và update thông tin từ BossHot, Tradika, và Portos, đồng thời xem ngôn ngữ lập trình phù hợp cho các module mới.</t>
  </si>
  <si>
    <t>Nhóm họp bổ sung để thống nhất các thay đổi về công việc và dự án đang triển khai.</t>
  </si>
  <si>
    <t>Phối hợp với chị Hiền để cập nhật tiến độ và lịch trình demo dự án mới cho khách hàng.</t>
  </si>
  <si>
    <t>Tạo tài khoản Google Tag Manager cho website Zenfood | Không đề cập deadline.</t>
  </si>
  <si>
    <t>Tạo và tích hợp các tài khoản Google Analytics và Google Search Console cho Zenfood | Không đề cập deadline.</t>
  </si>
  <si>
    <t>Tạo và phân quyền quản trị cho khách hàng trên các công cụ phân tích | Không đề cập deadline.</t>
  </si>
  <si>
    <t>Thiết lập các chiến dịch mới trong nhóm khách hàng để tích hợp thông số Google Analytics và Google Search Console | Không đề cập deadline.</t>
  </si>
  <si>
    <t>Thêm email của anh Minh với quyền admin để quản lý các chiến dịch | Không đề cập deadline.</t>
  </si>
  <si>
    <t>Sử dụng Google Tag Manager làm công cụ chính để dễ dàng tích hợp và quản lý script của Google Analytics và Google Search Console.</t>
  </si>
  <si>
    <t>Mail khách hàng sẽ được kết nối với chiến dịch, không sử dụng mail chung để tránh thấy toàn bộ dữ liệu.</t>
  </si>
  <si>
    <t>Hoàn thành việc tạo và thiết lập tài khoản cho khách hàng Zenfood theo hướng dẫn.</t>
  </si>
  <si>
    <t>Tích hợp thông số và dữ liệu từ Google Analytics và Google Search Console vào các chiến dịch.</t>
  </si>
  <si>
    <t>Xem xét lại việc kết nối các hệ thống CDB khác như BoxHop và Vodastack qua Google Tag Manager.</t>
  </si>
  <si>
    <t>Cuộc họp ngày 2026-06-05 tập trung vào việc triển khai các tính năng mới trên hệ thống quản lý đặt phòng ứng dụng cho dự án Gâu Đà Nẵng, xử lý vấn đề crawl dữ liệu và tối ưu hóa giao diện, hệ thống quản lý. Mục tiêu chính là đẩy nhanh tiến độ triển khai các tính năng quan trọng, bao gồm booking và quản lý thông tin khách hàng.</t>
  </si>
  <si>
    <t>Thêm tính năng đặt phòng trực tuyến (booking), bao gồm nút bấm đơn giản hóa quá trình đặt phòng, gửi thông tin booking đến Telegram và cập nhật vào trang quản trị.</t>
  </si>
  <si>
    <t>Tạo và triển khai crawl dữ liệu tự động (data crawl) từ Zalo, bao gồm giá phòng và ngày phòng trống.</t>
  </si>
  <si>
    <t>Sửa lại hệ thống quản lý booking, cập nhật các trường dữ liệu gồm giá nhập, phần trăm hoa hồng, giá bán, ngày trống.</t>
  </si>
  <si>
    <t>Xử lý vấn đề giao diện lưu trú của website, tạo trang riêng cho Villa và Resort, tối ưu hóa các menu hiển thị.</t>
  </si>
  <si>
    <t>Triển khai tính năng phóng to hình ảnh trong phần quản lý phòng lưu trú.</t>
  </si>
  <si>
    <t>Phân bổ công việc cho team Dev triển khai ứng dụng Maki Sơn Thương, tiến hành setup API key, dịch vụ cho việc sử dụng LLM và các phần liên quan.</t>
  </si>
  <si>
    <t>Thêm bot để tổng hợp thông tin các nhiệm vụ cuối cùng của cuộc họp (task summary), tự động hóa ghi nhận thông tin cho project plan.</t>
  </si>
  <si>
    <t>Tích hợp nút booking trên website, kết nối với Telegram và trang quản lý admin.</t>
  </si>
  <si>
    <t>Hệ thống crawl dữ liệu tự động từ Zalo sẽ được triển khai cho một nhóm thử nghiệm trước khi áp dụng diện rộng.</t>
  </si>
  <si>
    <t>Thiết kế lại bảng quản lý booking với các trường thông tin cần thiết (giá nhập, phần trăm hoa hồng, giá bán, ngày trống).</t>
  </si>
  <si>
    <t>Phân chia công việc cho team Dev vào đầu tuần sau để giải quyết các phần cụ thể trong dự án Maki Sơn Thương.</t>
  </si>
  <si>
    <t>Mỗi chủ sở hữu Homestay/Villa cần có một agent riêng để tối ưu hóa crawl data.</t>
  </si>
  <si>
    <t>Hiện tại chưa có cách tổ chức quản lý đồng bộ về crawl dữ liệu từ Zalo cho hệ thống, cần thêm thời gian xử lý và thử nghiệm.</t>
  </si>
  <si>
    <t>Phần phóng to ảnh và giao diện lưu trú còn chưa hoàn thiện, cần thêm người xử lý.</t>
  </si>
  <si>
    <t>Quản lý booking trên trang admin chưa đầy đủ và thiếu các cải tiến cần thiết (ví dụ: thông tin giá nhập, hoa hồng).</t>
  </si>
  <si>
    <t>Phần Maki Sơn Thương có nguy cơ bị chậm tiến độ nếu không setup API key và các dịch vụ cần thiết nhanh chóng.</t>
  </si>
  <si>
    <t>Đẩy nhanh việc hoàn thành tính năng booking và cập nhật hệ thống quản lý thông tin booking. Ưu tiên hoàn thành trong 2 ngày tới.</t>
  </si>
  <si>
    <t>Phối hợp với bạn Việt để hoàn chỉnh phần crawl data thử nghiệm trên một nhóm Zalo. Deadline set vào 2026-06-07.</t>
  </si>
  <si>
    <t>Phân công rõ công việc cho các thành viên trong team Dev liên quan đến dự án Maki Sơn Thương từ đầu tuần sau (2026-06-09).</t>
  </si>
  <si>
    <t>Liên tục update tiến độ, đặc biệt đối với các tính năng trọng yếu như phóng to hình ảnh, sửa giao diện lưu trú.</t>
  </si>
  <si>
    <t>Tích hợp bot ghi nhận thông tin summary trong cuộc họp để tự động hóa dự án và tránh bỏ sót nhiệm vụ.</t>
  </si>
  <si>
    <t>Cuộc họp thảo luận về giao diện và các tính năng liên quan đến việc quản lý, hiển thị "skill" (kỹ năng) trên nền tảng. Các thành viên tập trung làm rõ các lỗi tồn đọng, cải tiến chức năng đăng nhập, tải xuống file, và lưu trữ dữ liệu. Ngoài ra, cũng có kế hoạch điều chỉnh và gắn file hướng dẫn người dùng.</t>
  </si>
  <si>
    <t>Kiểm tra và sửa lỗi trên giao diện người dùng và quản trị viên.</t>
  </si>
  <si>
    <t>Điều chỉnh tên các kỹ năng cho gọn gàng, dễ hiểu.</t>
  </si>
  <si>
    <t>Tạo tài liệu hướng dẫn cài đặt extension và gắn trực tiếp trên giao diện.</t>
  </si>
  <si>
    <t>Đưa file kỹ năng vào Google Drive (Public) và liên kết tải xuống trên giao diện nền tảng.</t>
  </si>
  <si>
    <t>Đẩy toàn bộ mã nguồn lên GitHub repo chung và thiết lập quyền chỉnh sửa để các thành viên có thể đóng góp.</t>
  </si>
  <si>
    <t>Báo cáo tiến độ hoàn thành vào ngày thứ 3 (2026-06-09).</t>
  </si>
  <si>
    <t>Tập trung cải thiện giao diện quản trị viên và người dùng liên quan đến việc hiển thị kỹ năng, dữ liệu.</t>
  </si>
  <si>
    <t>Tải file kỹ năng trực tiếp trên giao diện và kèm hướng dẫn cài đặt extension.</t>
  </si>
  <si>
    <t>Sử dụng Google Drive Public để lưu trữ và chia sẻ file, tránh nặng server.</t>
  </si>
  <si>
    <t>Quyết định sử dụng một repo GitHub chung để quản lý mã nguồn.</t>
  </si>
  <si>
    <t>Một số lỗi trong việc đặt tên kỹ năng chưa chuẩn bị được xử lý dứt điểm.</t>
  </si>
  <si>
    <t>Vấn đề với việc đẩy lên GitHub: cấu hình hiện tại đôi khi gặp trục trặc.</t>
  </si>
  <si>
    <t>Việc cập nhật hoặc sửa đổi mã nguồn yêu cầu tất cả thành viên tuân thủ quy trình để tránh xung đột code.</t>
  </si>
  <si>
    <t>Tiếp tục kiểm tra và sửa lỗi giao diện cho cả người dùng và quản trị viên.</t>
  </si>
  <si>
    <t>Đổi tên và kiểm tra hiển thị tên kỹ năng cho chính xác, gọn gàng.</t>
  </si>
  <si>
    <t>Hoàn thiện tài liệu, hướng dẫn cài đặt extension, và liên kết chúng trên giao diện.</t>
  </si>
  <si>
    <t>Đẩy mã nguồn lên repo GitHub, thiết lập quyền chỉnh sửa, thông báo cho các thành viên.</t>
  </si>
  <si>
    <t>Chuẩn bị báo cáo tiến độ và cập nhật ngày 2026-06-09.</t>
  </si>
  <si>
    <t>Kiểm tra và sửa lỗi giao diện bị đổ khi chạy trên các giao diện khác nhau.</t>
  </si>
  <si>
    <t>Hoàn thiện giao diện bao gồm cả các thay đổi về màu sắc và cách bố trí khung.</t>
  </si>
  <si>
    <t>Triển khai tính năng mới, trong đó tập trung vào dạng "2 người chọn" với một người chính và một người hỗ trợ.</t>
  </si>
  <si>
    <t>Thực hiện bảng chia KPI theo phần trăm cho từng người trong dự án dựa trên thiết kế mới.</t>
  </si>
  <si>
    <t>Chạy thử nghiệm lần 2 theo file đã được cung cấp (deadline: 4 ngày, từ thứ 2 đến thứ 5).</t>
  </si>
  <si>
    <t>Gửi kết quả chạy thử nghiệm lên hệ thống hoặc lên VCL để kiểm tra chung.</t>
  </si>
  <si>
    <t>Chú trọng vào việc hoàn thiện tính năng chia KPI và cấu trúc giao diện đơn giản hóa cho web.</t>
  </si>
  <si>
    <t>Áp dụng phương thức "live" (thử nghiệm trực tiếp) kéo dài 4 ngày từ thứ 2 đến thứ 5 để kiểm tra hoàn chỉnh.</t>
  </si>
  <si>
    <t>Lỗi đăng nhập trên môi trường local (cổng localhost) và cần sửa đổi trong trường hợp sử dụng Ubuntu Desktop.</t>
  </si>
  <si>
    <t>Giao diện bị lỗi khi thay đổi màu sắc hoặc khung.</t>
  </si>
  <si>
    <t>Một số tính năng khi chạy thử trên local chưa tương thích hoặc không tích hợp được với các file mẫu gửi từ quản lý.</t>
  </si>
  <si>
    <t>Tiếp tục sửa lỗi giao diện và hoàn chỉnh tính năng chuyển đổi màu sắc và khung.</t>
  </si>
  <si>
    <t>Triển khai thử nghiệm tính năng mới về chia KPI trên giao diện web với cấu trúc đã được đồng ý.</t>
  </si>
  <si>
    <t>Thực hiện file chạy thử nghiệm dựa trên hướng dẫn và nộp kết quả trước ngày thứ 5.</t>
  </si>
  <si>
    <t>Đảm bảo kiểm tra kỹ lại tất cả các lỗi đăng nhập và nguyên nhân gây xung đột trên môi trường local trước khi thử nghiệm đồng bộ.</t>
  </si>
  <si>
    <t>Lên kế hoạch họp đánh giá kết quả live-testing sau tuần thử nghiệm.</t>
  </si>
  <si>
    <t>Liên lạc với Bình để tham khảo cách chạy các service.</t>
  </si>
  <si>
    <t>Tải mã nguồn (bản code) của Chatwood về để thực hiện sửa đổi giao diện.</t>
  </si>
  <si>
    <t>Đổi toàn bộ phần màu xanh trong giao diện hiện tại thành màu đỏ, theo tông màu thương hiệu.</t>
  </si>
  <si>
    <t>Thay đổi logo từ Chatwood thành logo mới của dự án.</t>
  </si>
  <si>
    <t>Đổi các vị trí hiển thị chữ "Chatwood" thành "MarkerAI" hoặc "MarkerChat".</t>
  </si>
  <si>
    <t>Kiểm tra lại cấu hình Docker và chia sẻ cách thực hiện với các thành viên khác.</t>
  </si>
  <si>
    <t>Tiếp tục sử dụng Docker để cấu hình các service.</t>
  </si>
  <si>
    <t>Thay logo và giao diện Chatwood theo mẫu do quản lý cung cấp.</t>
  </si>
  <si>
    <t>Toàn bộ phần màu xanh trong giao diện phải được chuyển sang màu đỏ theo phong cách thương hiệu.</t>
  </si>
  <si>
    <t>Một số thành viên chưa hoàn thành việc chạy các service cần thiết.</t>
  </si>
  <si>
    <t>Chưa có thông báo đầy đủ từ hệ thống khiến một số người không nhận được thông tin (cần xử lý vấn đề notification).</t>
  </si>
  <si>
    <t>Các thành viên hoàn thành việc chạy các service cơ bản, liên hệ với Bình để được hỗ trợ nếu gặp vấn đề.</t>
  </si>
  <si>
    <t>Tải toàn bộ mã nguồn Chatwood về để thực hiện các chỉnh sửa dự kiến.</t>
  </si>
  <si>
    <t>Thay đổi giao diện và logo theo các yêu cầu đã thống nhất.</t>
  </si>
  <si>
    <t>Chia sẻ lại các cách cấu hình và chạy service để đồng bộ trong nhóm.</t>
  </si>
  <si>
    <t>Tổ chức kiểm tra lại toàn bộ hệ thống sau khi hoàn thành các thay đổi để đảm bảo mọi thứ hoạt động ổn định.</t>
  </si>
  <si>
    <t>Cuộc họp tập trung vào các yêu cầu kỹ thuật và cải tiến cho một hệ thống quản lý dữ liệu nội bộ, bao gồm các biểu mẫu, tính năng hẹn giờ, xử lý tương tác trên nhiều nền tảng (Facebook, Zalo, LinkedIn), và hệ thống báo cáo KPI. Điểm nhấn chính là tối ưu quy trình theo hướng tự động hóa và giảm thủ công.</t>
  </si>
  <si>
    <t>Sửa đổi Google Sheets:</t>
  </si>
  <si>
    <t>- Đổi tên các cột như "Intent" thành "Lĩnh vực".</t>
  </si>
  <si>
    <t>- Tinh chỉnh vùng Industry (kéo qua trái, chuẩn hóa sử dụng song ngữ Anh - Việt).</t>
  </si>
  <si>
    <t>Bổ sung tính năng quản lý thời gian:</t>
  </si>
  <si>
    <t>- Cho phép người dùng đặt giờ chạy (hàng ngày hoặc hàng tuần) với thời gian bắt đầu và kết thúc.</t>
  </si>
  <si>
    <t>- Cung cấp tùy chọn đặt tần suất (30 phút, 1 tiếng, 2 tiếng, 4 tiếng).</t>
  </si>
  <si>
    <t>Tính năng nhóm (T1 Group):</t>
  </si>
  <si>
    <t>- Cập nhật chức năng thêm team và cài đặt chi tiết cho từng nhóm.</t>
  </si>
  <si>
    <t>- Cho phép thêm nhiều người phụ trách trong một nhóm.</t>
  </si>
  <si>
    <t>Tính năng dashboard KPI:</t>
  </si>
  <si>
    <t>- Lấy dữ liệu từ các cột trong Google Sheets để tự động tính toán KPI theo tuần (Boss, Comment, Inbox).</t>
  </si>
  <si>
    <t>- Lưu trữ lịch sử KPI trong cơ sở dữ liệu để theo dõi tiến độ.</t>
  </si>
  <si>
    <t>- Xây dựng công thức thưởng dựa trên KPI đạt được.</t>
  </si>
  <si>
    <t>Xây dựng tính năng Inbox:</t>
  </si>
  <si>
    <t>- Hỗ trợ theo dõi số lượng inbox và nội dung tin nhắn từ các nền tảng (Facebook, Zalo).</t>
  </si>
  <si>
    <t>- Kết hợp dữ liệu Inbox vào bảng KPI.</t>
  </si>
  <si>
    <t>Tích hợp với các tài khoản Facebook, Zalo và LinkedIn:</t>
  </si>
  <si>
    <t>- Phân bổ ngẫu nhiên dữ liệu từ 10 nhóm trên 3 VPS và 3 tài khoản Facebook được định trước để lấy dữ liệu.</t>
  </si>
  <si>
    <t>- Xem xét khả năng thu thập dữ liệu tự động từ Facebook Messenger.</t>
  </si>
  <si>
    <t>Cộng tác với các thành viên:</t>
  </si>
  <si>
    <t>- Làm việc với Nguyên để tích hợp 3 VPS cho tài khoản Facebook.</t>
  </si>
  <si>
    <t>- Làm việc với các thành viên phụ trách Zalo (Việt, Quỳ Tho) để tích hợp dữ liệu từ Zalo vào hệ thống.</t>
  </si>
  <si>
    <t>Tiến hành test và hoàn thiện các tính năng đã hoàn thành (tính năng nhóm T1, phần hẹn giờ, dashboard KPI).</t>
  </si>
  <si>
    <t>Tập trung hoàn thành các tính năng chính: hẹn giờ chạy, T1 Group, và dashboard KPI trước cuối tuần.</t>
  </si>
  <si>
    <t>Nhập dữ liệu thủ công trước khi có thể tự động hóa việc thu thập dữ liệu từ Inbox.</t>
  </si>
  <si>
    <t>Sử dụng ngẫu nhiên các tài khoản Facebook qua VPS cho việc lấy dữ liệu nhóm.</t>
  </si>
  <si>
    <t>Chưa rõ khả năng tự động thu thập dữ liệu từ Facebook Messenger.</t>
  </si>
  <si>
    <t>Tính năng Inbox có tính phức tạp cao, cần thêm thời gian và nguồn lực để triển khai.</t>
  </si>
  <si>
    <t>Việc phụ thuộc vào nhiều tài khoản Facebook qua VPS có thể gây rủi ro kỹ thuật nếu không quản lý tốt.</t>
  </si>
  <si>
    <t>Tính năng thu thập dữ liệu từ các nền tảng khác (LinkedIn, Zalo) chưa được tích hợp đầy đủ, cần thêm xác nhận từ các thành viên liên quan.</t>
  </si>
  <si>
    <t>Hoàn thành tính năng sửa đổi Google Sheets, T1 Group, và chức năng hẹn giờ vào ngày mai (06/06/2026).</t>
  </si>
  <si>
    <t>Xử lý các yêu cầu liên quan đến dashboard KPI và dữ liệu nhóm vào cuối tuần (07/06/2026).</t>
  </si>
  <si>
    <t>Tập trung trao đổi với Nguyên để hoàn tất tích hợp VPS cho Facebook, xử lý số lượng nhóm và người phụ trách.</t>
  </si>
  <si>
    <t>Phát triển tính năng Inbox (Facebook/Zalo) với ưu tiên xử lý dữ liệu liên quan đến danh sách khách hàng (list).</t>
  </si>
  <si>
    <t>Tiếp tục thử nghiệm và sử dụng hệ thống để phát hiện thêm các vấn đề cần cải tiến.</t>
  </si>
  <si>
    <t>Gửi file environment để mọi người cập nhật và chạy thử trên localhost.</t>
  </si>
  <si>
    <t>Test thêm các chức năng backend và frontend trên phần Marquee.</t>
  </si>
  <si>
    <t>Xem xét sử dụng Docker để mở rộng hỗ trợ thêm các function liên quan đến server.</t>
  </si>
  <si>
    <t>Kiểm tra việc chạy môi trường local và tích hợp các tính năng phù hợp để tối ưu hóa.</t>
  </si>
  <si>
    <t>Gửi email để mời các thành viên tham gia vào dự án trên GitHub hoặc công cụ lưu trữ (mời "COVID").</t>
  </si>
  <si>
    <t>Nghiên cứu và cập nhật thêm các tính năng AI cho ứng dụng digital marketing, tham khảo từ các đối thủ như Jasper hoặc Copy AI.</t>
  </si>
  <si>
    <t>Kiểm tra và cập nhật trạng thái các biến môi trường còn thiếu để dự án hoạt động trơn tru.</t>
  </si>
  <si>
    <t>Tiếp tục kiểm thử và phát triển các tính năng mới liên quan đến game trên HiLab.</t>
  </si>
  <si>
    <t>Sử dụng môi trường local để kiểm tra ban đầu trước khi đẩy lên production.</t>
  </si>
  <si>
    <t>Cần tích hợp thêm công cụ hỗ trợ cho việc đọc hiểu hình ảnh và embedding để trích xuất dữ liệu hiệu quả.</t>
  </si>
  <si>
    <t>Chạy các chức năng hiện tại trên VM trước khi triển khai Docker cho những hạng mục phức tạp hơn.</t>
  </si>
  <si>
    <t>Tiếp tục sử dụng mô hình Gemini 2.5 Flat cho việc xử lý bài toán thử nghiệm hiện tại.</t>
  </si>
  <si>
    <t>Các biến môi trường hiện tại đang thiếu và chưa được cấu hình đầy đủ, dẫn đến việc một số chức năng chưa hoạt động ổn định.</t>
  </si>
  <si>
    <t>Olama Environment hiện tại chưa rõ liệu đã được sử dụng hiệu quả trên hạ tầng nội bộ hay chưa.</t>
  </si>
  <si>
    <t>Hạ tầng cần được nâng cấp để đáp ứng truy vấn lớn từ nhiều đối tác cùng lúc nhằm đảm bảo hiệu suất.</t>
  </si>
  <si>
    <t>Một số tính năng đang trong giai đoạn phát triển (chưa hoàn thành), gây gián đoạn khi vận hành thử nghiệm.</t>
  </si>
  <si>
    <t>Gửi file environment cho các thành viên để chuẩn bị chạy thử nghiệm trên localhost.</t>
  </si>
  <si>
    <t>Thực hiện test các chức năng trong phần Marquee, ưu tiên kiểm tra backend và frontend.</t>
  </si>
  <si>
    <t>Hoàn thiện cấu hình các biến môi trường còn thiếu và tối ưu hóa kết nối với database.</t>
  </si>
  <si>
    <t>Đánh giá mức độ khả thi của việc sử dụng Docker và triển khai nếu cần thiết.</t>
  </si>
  <si>
    <t>Nghiên cứu và bổ sung tính năng AI cho ứng dụng digital marketing, tham khảo từ Jasper và Copy AI.</t>
  </si>
  <si>
    <t>Xác minh hạ tầng phục vụ cho các truy vấn lớn, đặc biệt khi kết nối với nhiều đối tác cùng lúc.</t>
  </si>
  <si>
    <t>Mời các thành viên vào dự án để hỗ trợ triển khai trên các nền tảng được yêu cầu.</t>
  </si>
  <si>
    <t>Lên kế hoạch họp lần tiếp theo để cập nhật tiến độ và giải quyết các vấn đề phát sinh.</t>
  </si>
  <si>
    <t>Kiểm tra lại giao diện meeting và chuyển đổi lên web Marquee.</t>
  </si>
  <si>
    <t>Tích hợp AI chatbot với Yellow cá nhân và hệ thống Umi.</t>
  </si>
  <si>
    <t>Xây dựng giải pháp để tích hợp Facebook cá nhân với một trang quản lý chung.</t>
  </si>
  <si>
    <t>Phân bổ công việc làm báo giá cho Tiên và Thanh để cải thiện tốc độ xử lý.</t>
  </si>
  <si>
    <t>Tích hợp inbox từ Facebook cá nhân, LinkedIn cá nhân vào một nền tảng như Marquee hoặc tương tự.</t>
  </si>
  <si>
    <t>Bổ sung 2-3 thành viên mới để nghiên cứu về Facebook cá nhân và cách tích hợp inbox vào hệ thống chung.</t>
  </si>
  <si>
    <t>Rà soát tình trạng làm việc của các nhóm thành viên để chia lại công việc rõ ràng, theo từng giai đoạn.</t>
  </si>
  <si>
    <t>Đưa các tính năng mới của các dự án lên từng nhóm xử lý.</t>
  </si>
  <si>
    <t>Đánh giá giao thác của Dashbot và cải tiến quy trình.</t>
  </si>
  <si>
    <t>Đảm bảo các công cụ check code và boost code hoạt động tự động, thành viên tự thực hiện được.</t>
  </si>
  <si>
    <t>Phân nhóm cụ thể cho các bạn làm phần network và các dự án liên quan như Shading.</t>
  </si>
  <si>
    <t>Thêm Tiên và Thanh vào nhóm báo giá và chịu trách nhiệm chính trong việc estimate mandate các dự án.</t>
  </si>
  <si>
    <t>Chia công việc cụ thể cho từng nhóm để follow đúng tiến độ các giai đoạn nhỏ.</t>
  </si>
  <si>
    <t>Các thành viên sẽ tự động xử lý việc boost code mà không cần thông qua quản lý.</t>
  </si>
  <si>
    <t>Tích hợp Yellow cá nhân gặp khó khăn do yêu cầu gói dịch vụ phù hợp chưa được đáp ứng đầy đủ.</t>
  </si>
  <si>
    <t>Việc quản lý nhiều tài khoản Facebook cá nhân và đồng bộ hóa inbox có thể phức tạp và cần giải pháp đơn giản, hiệu quả hơn.</t>
  </si>
  <si>
    <t>Một số thành viên có xu hướng làm việc một mình, thiếu phối hợp và chia sẻ công việc, gây ảnh hưởng đến tiến độ chung.</t>
  </si>
  <si>
    <t>Kiểm tra và hoàn thiện giao diện meeting để chuyển đổi lên Marquee.</t>
  </si>
  <si>
    <t>Thực hiện nghiên cứu và xây dựng giải pháp tích hợp Yellow cá nhân, chatbot, cũng như Facebook cá nhân vào hệ thống.</t>
  </si>
  <si>
    <t>Phân công cụ thể cho Tiên và Thanh để xử lý báo giá nhanh và hiệu quả hơn.</t>
  </si>
  <si>
    <t>Tuyển thêm 2-3 thành viên mới cho nhóm nghiên cứu vấn đề tích hợp.</t>
  </si>
  <si>
    <t>Thiết lập quy trình phối hợp nhóm rõ ràng để cải thiện năng suất và phân công nhiệm vụ cụ thể cho từng thành viên.</t>
  </si>
  <si>
    <t>Rà soát các chức năng và kiểm tra tiến độ các nhóm để đảm bảo việc triển khai đúng kế hoạch.</t>
  </si>
  <si>
    <t>Đảm bảo các công cụ check và boost code hoạt động tốt để tăng tính tự động hóa.</t>
  </si>
  <si>
    <t>Cuộc họp ngày 08/06/2026 tập trung vào việc triển khai và theo dõi tiến độ các dự án/dịch vụ liên quan đến các nền tảng như Zalo, Facebook, Google Ads, TikTok, Shopee và tích hợp các công cụ phục vụ marketing. Ngoài ra, một số vấn đề kỹ thuật trong việc cào dữ liệu, xử lý đa tài khoản và tích hợp kênh Omnichannel cũng được thảo luận chi tiết.</t>
  </si>
  <si>
    <t>Hoàn thiện logic cào dữ liệu Zalo, xử lý vấn đề đa tài khoản.</t>
  </si>
  <si>
    <t>Xử lý cào dữ liệu từ Jalourook và lưu vào database. | Người phụ trách: Việt &amp; nhóm liên quan.</t>
  </si>
  <si>
    <t>Cào tin nhắn Facebook (Inbox) và đẩy cho team Lan. | Người phụ trách: Nguyễn. Deadline: Tự ước lượng.</t>
  </si>
  <si>
    <t>Triển khai phần Facebook Messenger liên quan Omnichannel.</t>
  </si>
  <si>
    <t>Xử lý và phân chia công việc CDP (Customer Data Platform) trên các nền tảng:</t>
  </si>
  <si>
    <t>- Facebook: Thanh phụ trách.</t>
  </si>
  <si>
    <t>- Google Ads: Hoàng phụ trách.</t>
  </si>
  <si>
    <t>- TikTok, Shopee, LinkedIn: Các thành viên nhóm thục hiện (chưa phân rõ người).</t>
  </si>
  <si>
    <t>Hoàn thành hướng dẫn và video hướng dẫn tải app Maki lên YouTube và website.</t>
  </si>
  <si>
    <t>Hoàn thành giao diện Omnichannel dưới sự hỗ trợ của Thảo và Tiên.</t>
  </si>
  <si>
    <t>Tiếp tục test và hoàn chỉnh tính năng của Maki Chat, do Tùng phụ trách.</t>
  </si>
  <si>
    <t>Update notification từ đa kênh (Zalo, Telegram, WhatsApp...) theo yêu cầu.</t>
  </si>
  <si>
    <t>Triển khai các tính năng liên quan đến khách hàng Cao Sơn.</t>
  </si>
  <si>
    <t>Gửi toàn bộ thông báo qua Telegram cho marketing trong khi khách hàng sẽ được chat qua các kênh cụ thể (KakaoTalk, WhatsApp, Zalo theo ngôn ngữ).</t>
  </si>
  <si>
    <t>Các công việc hoàn thành từng bước cần được đẩy lên nhóm ngay, không chờ toàn bộ tính năng hoàn thiện.</t>
  </si>
  <si>
    <t>Logic cào dữ liệu Zalo chưa xử lý triệt để đa tài khoản.</t>
  </si>
  <si>
    <t>Vấn đề cào tin nhắn trên Facebook Messenger cần xử lý login tài khoản nhiều account.</t>
  </si>
  <si>
    <t>Công việc CDP bị chậm trễ do chưa phân chia rõ công việc và có nhiều người tham gia.</t>
  </si>
  <si>
    <t>Một số tính năng của Omnichannel chưa hoàn chỉnh và cần điều phối nhân lực hiệu quả hơn.</t>
  </si>
  <si>
    <t>Việt và nhóm liên quan hoàn thiện xử lý dữ liệu từ Jalourook và đảm bảo tích hợp logic đa tài khoản trên Zalo.</t>
  </si>
  <si>
    <t>Nguyễn hoàn thành việc cào tin nhắn Facebook và gửi cho Lan.</t>
  </si>
  <si>
    <t>Hoàn thành phần giao diện Omnichannel, do Thảo và Tiên phụ trách.</t>
  </si>
  <si>
    <t>Tùng phụ trách triển khai các tính năng còn lại trên Maki Chat và đẩy bản test lên nhóm.</t>
  </si>
  <si>
    <t>Phân chia rõ ràng công việc CDP cho từng nền tảng, đảm bảo tính khả thi và thống nhất deadline cụ thể.</t>
  </si>
  <si>
    <t>Thanh và Hoàng tiếp tục thực hiện các phần CDP đã nhận và báo cáo tiến độ thường xuyên.</t>
  </si>
  <si>
    <t>Các nhóm tiếp tục update công việc từng bước lên nhóm chung ngay khi hoàn thành một phần công việc.</t>
  </si>
  <si>
    <t>Phối hợp giải quyết câu hỏi hoặc khúc mắc từ phía khách hàng (đặc biệt là Cao Sơn) nhanh chóng và hiệu quả.</t>
  </si>
  <si>
    <t>Thực hiện đồng bộ tất cả các trang tuyển dụng về một hệ thống tập trung.</t>
  </si>
  <si>
    <t>Phân bổ thêm 2-3 bạn dev intern để phát triển tính năng liên quan đến phần Sabo.</t>
  </si>
  <si>
    <t>BA nghiên cứu các tính năng của Sabo và Gâu Đà Nẵng, đồng thời bổ sung 2 bạn intern để triển khai.</t>
  </si>
  <si>
    <t>Đẩy nhanh tiến độ làm một tool đồng bộ nền tảng lên OTA.</t>
  </si>
  <si>
    <t>Hoàn thiện các cột và giao diện theo dõi KPI trên hệ thống, đảm bảo có đầy đủ thông tin người quản lý, Mentor, Leader, và các trạng thái công việc.</t>
  </si>
  <si>
    <t>Import dữ liệu KPI từ hệ thống Google Sheets vào giao diện quản lý tập trung và tạo filter linh hoạt.</t>
  </si>
  <si>
    <t>Đồng bộ dữ liệu liên quan đến “tích cơm” từ GoSeed lên hệ thống quản lý tập trung thông qua API.</t>
  </si>
  <si>
    <t>Phân quyền truy cập dữ liệu hợp lý trên hệ thống sau khi đồng bộ thành công.</t>
  </si>
  <si>
    <t>Chuẩn bị và ký kết hợp đồng thực tập với đối tác mới (bao gồm công ty Maki) và liên hệ rõ ràng với phía đối tác.</t>
  </si>
  <si>
    <t>Xử lý vấn đề chỗ ngồi và ghế tại văn phòng, đảm bảo đủ chỗ cho 5 bạn nhân sự mới.</t>
  </si>
  <si>
    <t>Tạo group làm việc chung với bên liên quan trong dự án để trao đổi và phân bổ công việc hợp lý.</t>
  </si>
  <si>
    <t>Sắp xếp và tối ưu lại danh sách công việc và các bản kế hoạch hiện tại.</t>
  </si>
  <si>
    <t>Đồng bộ toàn bộ thông tin, dữ liệu ứng tuyển và KPI lên hệ thống tập trung, không sử dụng Google Sheets để quản lý.</t>
  </si>
  <si>
    <t>Chuyển toàn bộ công việc liên quan đến “tích cơm” lên hệ thống tập trung.</t>
  </si>
  <si>
    <t>Ký hợp đồng thực tập với đối tác Maki và các công ty liên quan tới marketing và AI.</t>
  </si>
  <si>
    <t>Dành ưu tiên cho các bạn intern nghiên cứu và phát triển tính năng mới, trong khi các bạn chính chịu trách nhiệm khách hàng.</t>
  </si>
  <si>
    <t>Đảm bảo việc phân bổ và tổ chức lại chỗ làm việc để hỗ trợ số lượng nhân sự tăng lên.</t>
  </si>
  <si>
    <t>Chưa có đủ chỗ ngồi và ghế tại văn phòng để đáp ứng nhu cầu của 5 bạn mới.</t>
  </si>
  <si>
    <t>Các hệ thống cũ như Google Sheets và GoSeed tiềm ẩn nguy cơ thiếu đồng bộ dữ liệu.</t>
  </si>
  <si>
    <t>Quy trình quản lý ứng dụng và phân bổ trạng thái công việc còn rời rạc và cần cải thiện.</t>
  </si>
  <si>
    <t>Hợp đồng thực tập yêu cầu nhiều thủ tục (như báo cáo thực tập hàng tuần) gây cồng kềnh cho nhân sự.</t>
  </si>
  <si>
    <t>Hoàn tất việc phân bổ intern cho phần Sabo và Gâu Đà Nẵng, đồng bộ các dữ liệu liên quan lên hệ thống tập trung.</t>
  </si>
  <si>
    <t>Thực hiện việc import KPI từ Google Sheets sang hệ thống mới, đồng thời tinh chỉnh giao diện và tính năng filter.</t>
  </si>
  <si>
    <t>Phân quyền hợp lý trên hệ thống và triển khai đồng bộ dữ liệu tích cơm từ GoSeed qua.</t>
  </si>
  <si>
    <t>Hoàn thiện hợp đồng thực tập với đối tác Maki và công ty liên quan đến AI/marketing, kiểm tra khả năng ký kết thêm nhân sự.</t>
  </si>
  <si>
    <t>Xử lý tình trạng thiếu chỗ ngồi bằng cách nhắn lên group để sắp xếp ghế và vị trí làm việc cho 5 nhân sự mới.</t>
  </si>
  <si>
    <t>Lập group làm việc chung với các bên liên quan để đẩy nhanh tiến độ triển khai các dự án.</t>
  </si>
  <si>
    <t>Sắp xếp lại tài liệu, danh sách task và bản kế hoạch làm việc để đảm bảo tiến độ công việc hiệu quả.</t>
  </si>
  <si>
    <t>Soạn lại bản mô tả và báo giá cho nền tảng Maki AI với giá 6 triệu/tháng trong 1 tháng và gửi để phê duyệt.</t>
  </si>
  <si>
    <t>Điều chỉnh hệ thống cập nhật báo giá trên nền tảng CM để thuận tiện cho mọi người.</t>
  </si>
  <si>
    <t>Thanh kiểm tra và estimate lại Menday cho dự án "Vòng quay may mắn".</t>
  </si>
  <si>
    <t>Tính toán chi phí cụ thể cho dịch vụ Maki CDB với đơn giá 1.999.000 đồng/tháng, áp dụng cho 12 tháng.</t>
  </si>
  <si>
    <t>Thêm dòng giải thích rõ ràng trong file báo giá về chi phí tháng đầu tiên (15 triệu 300 ngàn) và chi phí duy trì hàng tháng (0.3 - 0.5 triệu).</t>
  </si>
  <si>
    <t>Kiểm tra lại và xác nhận bằng AI các thông số Estimate. Nếu cần, điều chỉnh để có đơn giá chính xác và lập bảng chốt chi phí cuối cùng.</t>
  </si>
  <si>
    <t>Soạn và gửi template báo giá đã chỉnh sửa cho các bạn Tiên và các thành viên khác liên quan.</t>
  </si>
  <si>
    <t>Đơn giá tích hợp nền tảng Maki AI và marketing CDB được chốt tạm thời ở mức 1.999.000 đồng/tháng, áp dụng giảm giá 15% nếu sử dụng 12 tháng.</t>
  </si>
  <si>
    <t>Báo giá cho "Vòng quay may mắn" sẽ được Thanh estimate lại với đơn giá mới, sau đó xác định Menday và chi phí cuối cùng.</t>
  </si>
  <si>
    <t>Trong báo giá, sẽ thêm giải thích chi phí chi tiết theo tháng đầu tiên và các tháng sau để khách hàng dễ dàng hiểu.</t>
  </si>
  <si>
    <t>Sử dụng template đã thống nhất để chỉnh sửa và gửi báo giá chính thức cho khách hàng.</t>
  </si>
  <si>
    <t>Các thông số Menday chưa được xác định chính xác, cần điều chỉnh bởi Thanh.</t>
  </si>
  <si>
    <t>Báo giá hiện tại chưa rõ ràng và gây hiểu lầm cho khách hàng về cách tính chi phí.</t>
  </si>
  <si>
    <t>Thanh cần nhanh chóng kiểm tra và estimate lại Menday cho các dự án, đặc biệt là "Vòng quay may mắn", và gửi lại để điều chỉnh đơn giá cuối cùng.</t>
  </si>
  <si>
    <t>Hoàn thiện báo giá các dịch vụ (Maki AI, Maki CDB, Vòng quay may mắn) với các dòng giải thích chi tiết và tính toán chi phí chính xác.</t>
  </si>
  <si>
    <t>Gửi template báo giá hoàn chỉnh đến các thành viên liên quan để xử lý và gửi khách hàng.</t>
  </si>
  <si>
    <t>Theo dõi phản hồi từ khách hàng và điều chỉnh (nếu cần).</t>
  </si>
  <si>
    <t>Cuộc họp ngày 2026-06-09 tập trung vào quản lý tiến độ các dự án như HelloGuide, Marquee Agency, WebSatTest; triển khai các công cụ hỗ trợ marketing và xử lý danh sách khách hàng (leads). Cuộc họp cũng bàn về cải tiến quy trình setting và shifting thông tin khách hàng, kèm theo việc đánh giá và phân bổ KPI cho các nhóm.</t>
  </si>
  <si>
    <t>Đẩy thông tin lên Google Sheets và Seeding Tool</t>
  </si>
  <si>
    <t>Hoàn thiện phần DM trên Seeding Tool và nhóm Dev hoàn thành tính năng tự động hóa</t>
  </si>
  <si>
    <t>trước tuần sau.</t>
  </si>
  <si>
    <t>Chốt và gửi báo giá cho khách hàng Đức</t>
  </si>
  <si>
    <t>chiều 2026-06-09.</t>
  </si>
  <si>
    <t>Chuẩn bị kế hoạch marketing cho khách hàng Đức, bao gồm lên các social, chạy ad, và hoàn thiện website</t>
  </si>
  <si>
    <t>trong tuần.</t>
  </si>
  <si>
    <t>Tạo bản Portfolio cho Marquee Agency, bao gồm hình ảnh và danh sách khách hàng, để sử dụng trên LinkedIn và Facebook</t>
  </si>
  <si>
    <t>không đề cập.</t>
  </si>
  <si>
    <t>Tạo chiến dịch marketing trên Marquee App theo từng tháng để kiểm soát KPI</t>
  </si>
  <si>
    <t>Tái cấu trúc các công cụ giao tiếp trực tuyến, tập trung sử dụng tài khoản Facebook chung thay vì cá nhân</t>
  </si>
  <si>
    <t>Lên KPI cụ thể, bao gồm comment, inbox, post trên hệ thống Shading và kiểm tra kết quả</t>
  </si>
  <si>
    <t>Đào tạo AI cho Ủy ban Nhân dân Phường Hải Vân (dạy trực tuyến) và chuẩn bị tài liệu</t>
  </si>
  <si>
    <t>2026-06-11 đến 2026-06-12.</t>
  </si>
  <si>
    <t>Gửi thông tin các nhóm đề xuất trong Google Sheets về setting group Shading cho các nhóm</t>
  </si>
  <si>
    <t>hôm nay (2026-06-09).</t>
  </si>
  <si>
    <t>Tiến hành giao tiếp với khách hàng khi có leads, đảm bảo phản hồi và gửi báo giá trong ngày</t>
  </si>
  <si>
    <t>ngay khi leads về.</t>
  </si>
  <si>
    <t>Ưu tiên xử lý task liên quan đến setting và shifting trước các công việc phụ khác</t>
  </si>
  <si>
    <t>Chuyển trọng tâm từ các kênh cá nhân sang tài khoản Facebook chung để cải thiện quy trình giao tiếp với khách hàng.</t>
  </si>
  <si>
    <t>Thiết lập hai KPI chính: quản lý đầu việc trên Marquee App và Shading Tool.</t>
  </si>
  <si>
    <t>Hạn chế thời gian xử lý thông tin khách hàng về từ marketing, đảm bảo thời gian phản hồi tối đa là trong ngày.</t>
  </si>
  <si>
    <t>Đặt ưu tiên hàng đầu cho tasks liên quan đến setting và shifting, các tasks khác có thể được thực hiện sau khi đạt KPI mục tiêu.</t>
  </si>
  <si>
    <t>Tỉ lệ đạt KPI hiện tại (23%) đang rất thấp, chưa đạt mục tiêu mong muốn.</t>
  </si>
  <si>
    <t>Lead về chưa được xử lý nhanh chóng do thiếu sự phối hợp hiệu quả giữa marketing và sales.</t>
  </si>
  <si>
    <t>Quy trình quản lý file dữ liệu khách hàng trên Google Sheets vẫn còn thủ công, gây mất thời gian.</t>
  </si>
  <si>
    <t>Việc chuyển đổi từ tài khoản Facebook cá nhân sang tài khoản chung có thể gặp trở ngại.</t>
  </si>
  <si>
    <t>Việc triển khai AI đào tạo cho Phường Hải Vân có thời gian ngắn để chuẩn bị, có thể gây áp lực.</t>
  </si>
  <si>
    <t>Theo dõi và kiểm tra KPI của từng team trên Marquee App và Shading Tool vào 2026-06-09.</t>
  </si>
  <si>
    <t>Đẩy nhanh công việc chuyển từ Google Sheets sang Seeding Tool, tham vấn nhóm Dev để giải quyết các khó khăn trong quá trình thực hiện.</t>
  </si>
  <si>
    <t>Lập kế hoạch và gửi báo giá rõ ràng cho khách hàng Đức, kèm theo kế hoạch hỗ trợ long-term (social, ad).</t>
  </si>
  <si>
    <t>Thống nhất các account chung (Facebook/Yaloo) từ tuần sau và cải tiến quy trình giao tiếp nội bộ.</t>
  </si>
  <si>
    <t>Hoàn tất kế hoạch đào tạo AI cho Phường Hải Vân trong thời gian quy định và chuẩn bị tài liệu hỗ trợ online.</t>
  </si>
  <si>
    <t>Đẩy mạnh xây dựng portfolio, kèm chi tiết các dự án thành công để tạo uy tín cho Marquee Agency.</t>
  </si>
  <si>
    <t>Ưu tiên giải quyết vấn đề xử lý chậm leads trong quá trình marketing – đánh giá, cải thiện kỹ năng sales và tự động hóa quy trình phản hồi khách hàng.</t>
  </si>
  <si>
    <t>Kiểm tra và duyệt giao diện do Thảo đảm nhận.</t>
  </si>
  <si>
    <t>Hoàng xử lý tiếp và chốt các hạng mục liên quan đến tính năng tích hợp hóa đơn.</t>
  </si>
  <si>
    <t>Xem xét và kiểm tra các tính năng của Sabo trước buổi họp với khách hàng ngày 2026-06-10.</t>
  </si>
  <si>
    <t>Hoàn thiện phần kho dữ liệu dựa trên dữ liệu scan hóa đơn, phối hợp giữa Hoàng và các thành viên khác.</t>
  </si>
  <si>
    <t>Đóng tính năng scan hóa đơn sau khi xác nhận không có yêu cầu bổ sung và chuyển sang tính năng mới.</t>
  </si>
  <si>
    <t>Xem lại và triển khai kế hoạch với các khách hàng về tích hợp tính năng "quét căn cước công dân" trong các dự án bất động sản tại Seaholding.</t>
  </si>
  <si>
    <t>Đợi hoàn thiện tất cả các tính năng trước khi chỉnh sửa giao diện tổng thể.</t>
  </si>
  <si>
    <t>Dựa vào tính năng của Sabo để phát triển thêm các yêu cầu cho khách hàng.</t>
  </si>
  <si>
    <t>Giao tiếp với khách hàng Seaholding để hoàn thiện các yêu cầu mới về tích hợp căn cước công dân.</t>
  </si>
  <si>
    <t>Chưa đầy đủ thông tin về một số quyền và tài khoản cần thiết để triển khai Sabo và "quét căn cước công dân".</t>
  </si>
  <si>
    <t>Cần đảm bảo kiểm tra tính chính xác của kết quả từ tính năng quét hóa đơn (hình hoặc pdf).</t>
  </si>
  <si>
    <t>Vấn đề phối hợp giữa các thành viên lập trình UI/UX và back-end chưa được tối ưu hóa.</t>
  </si>
  <si>
    <t>Hoàn thiện tính năng scan hóa đơn, kiểm tra kết quả và đóng lại hạng mục để chuyển sang chức năng tiếp theo.</t>
  </si>
  <si>
    <t>Phối hợp giữa Thảo và Hoàng trong việc xử lý giao diện sau khi các tính năng khác hoàn tất.</t>
  </si>
  <si>
    <t>Tìm hiểu rõ các yêu cầu của Sabo để kịp thời chuẩn bị cho buổi họp ngày 2026-06-10 với khách hàng.</t>
  </si>
  <si>
    <t>Hoàng tiếp tục triển khai và hoàn thiện phần kho dữ liệu dựa trên scan hóa đơn.</t>
  </si>
  <si>
    <t>Chuẩn bị danh sách các thông tin và yêu cầu liên quan đến tích hợp tính năng "quét căn cước công dân" trong các dự án bất động sản tại Seaholding.</t>
  </si>
  <si>
    <t>Tiếp tục liên hệ và rà soát quyền tài khoản cần thiết cho việc triển khai các hạng mục tích hợp như Sabo và căn cước công dân.</t>
  </si>
  <si>
    <t>Không có bước tiếp theo cụ thể.</t>
  </si>
  <si>
    <t>Chỉnh sửa trang tuyển dụng cho Security Zone và Cloud Guide, đảm bảo hai trang này có thiết kế tương tự nhưng sử dụng logo riêng từng trang.</t>
  </si>
  <si>
    <t>Tích hợp dữ liệu từ các form điền tuyển dụng về một admin duy nhất của hệ thống Marquee.</t>
  </si>
  <si>
    <t>Làm lại phần hiển thị cột “Leader phụ trách” (bao gồm: Ngày bắt đầu, Level, Target, Nhận xét) ra giao diện ngoài để quản lý trực quan hơn; trong khi dữ liệu chi tiết (Target và Nhận xét) vẫn được điền trong giao diện nội bộ.</t>
  </si>
  <si>
    <t>Sửa mẫu trang Admin của Marquee để tương tự hệ thống cũ, bao gồm các trường dữ liệu mới.</t>
  </si>
  <si>
    <t>Dữ liệu từ các form tuyển dụng của Security Zone và Cloud Guide sẽ được gửi về một admin chung của Marquee.</t>
  </si>
  <si>
    <t>Giao diện từng trang (Security Zone, Cloud Guide) cần phải tuân thủ đặc điểm riêng về logo nhưng có thiết kế chức năng tương tự nhau.</t>
  </si>
  <si>
    <t>Hoàn thiện việc chỉnh sửa giao diện trang tuyển dụng cho Security Zone và Cloud Guide, đảm bảo các trang đồng bộ về chức năng nhưng có thiết kế tùy chỉnh riêng biệt.</t>
  </si>
  <si>
    <t>Điều chỉnh tính năng tích hợp dữ liệu để tất cả form tuyển dụng chỉ gửi về admin duy nhất của hệ thống Marquee.</t>
  </si>
  <si>
    <t>Phát triển và hiển thị cột thông tin “Leader phụ trách” ra trang ngoài, kết hợp hoàn thiện giao diện admin theo yêu cầu đã thảo luận.</t>
  </si>
  <si>
    <t>Tiếp tục trao đổi qua tin nhắn nếu có thắc mắc hoặc vấn đề cần làm rõ.</t>
  </si>
  <si>
    <t>Hoàn thiện tính năng scan hóa đơn:</t>
  </si>
  <si>
    <t>- Scan liên tục, tự động lưu vào file tổng hợp khi người dùng nhấn "lưu."</t>
  </si>
  <si>
    <t>- Thêm tính năng xuất Excel cho các hóa đơn đã scan để sử dụng độc lập.</t>
  </si>
  <si>
    <t>- Cập nhật hóa đơn vào danh sách tổng hợp với tùy chọn tạo sản phẩm hoặc nhập kho.</t>
  </si>
  <si>
    <t>| Deadline: Không đề cập.</t>
  </si>
  <si>
    <t>Phát triển phần mềm bán hàng với các chức năng cơ bản:</t>
  </si>
  <si>
    <t>- Quản lý sản phẩm, tồn kho theo chi nhánh.</t>
  </si>
  <si>
    <t>- Tạo đơn hàng với đầy đủ quy trình (chờ duyệt, đóng gói, xuất kho, thanh toán).</t>
  </si>
  <si>
    <t>- Hỗ trợ giám sát trạng thái đơn hàng và quyền phân nhóm nhân viên.</t>
  </si>
  <si>
    <t>- Hỗ trợ nhập đơn hàng từ file Excel Sapo để kiểm tra tính tương thích.</t>
  </si>
  <si>
    <t>Xây dựng website bán hàng tối ưu hóa cho giao diện trên thiết bị di động và đồng bộ với phần mềm bán hàng:</t>
  </si>
  <si>
    <t>- Đồng bộ sản phẩm và tồn kho từ phần mềm bán hàng lên website.</t>
  </si>
  <si>
    <t>- Hỗ trợ khách hàng tạo đơn hàng trực tiếp trên web và đồng bộ về phần mềm.</t>
  </si>
  <si>
    <t>Phân tích và triển khai giải pháp xuất hóa đơn:</t>
  </si>
  <si>
    <t>- Đưa tên hàng hóa đúng định dạng chỉnh sửa theo nhu cầu xuất hóa đơn.</t>
  </si>
  <si>
    <t>- Tích hợp chức năng xuất file Excel để nhập dữ liệu lên phần mềm Vininvoi.</t>
  </si>
  <si>
    <t>Triển khai kế hoạch làm việc (Project Plan) cho dự án.</t>
  </si>
  <si>
    <t>Ưu tiên triển khai hệ thống phần mềm bán hàng và website trước khi bắt đầu phần xuất hóa đơn.</t>
  </si>
  <si>
    <t>Phần mềm quản lý bán hàng sẽ hỗ trợ nhiều chi nhánh.</t>
  </si>
  <si>
    <t>Tập trung tối ưu hóa giao diện website bán hàng trên thiết bị di động để tăng trải nghiệm người dùng.</t>
  </si>
  <si>
    <t>Việc xuất hóa đơn sẽ triển khai sau cùng, nếu cần, bổ sung hoặc tinh chỉnh từng bước khi các tính năng chính hoàn thiện.</t>
  </si>
  <si>
    <t>Chức năng scan hóa đơn sẽ có thao tác bổ sung gồm "lưu vào tổng hợp" và "tạo sản phẩm," thao tác bằng tay để đảm bảo đồng bộ với kho.</t>
  </si>
  <si>
    <t>Khả năng tích hợp đồng bộ tự động giữa phần mềm bán hàng và phần mềm Vininvoi cần xác nhận thêm từ phía nhà cung cấp Vininvoi.</t>
  </si>
  <si>
    <t>Việc chuyển đổi từ Sapo sang phần mềm bán hàng mới có thể phát sinh lỗi hoặc khó khăn khi đồng bộ dữ liệu.</t>
  </si>
  <si>
    <t>Thanh và Hòa lập kế hoạch triển khai dự án (Project Plan), bao gồm các giai đoạn và deadlines chi tiết, gửi cho các thành viên.</t>
  </si>
  <si>
    <t>Phát triển và kiểm tra tính năng scan hóa đơn trước, đảm bảo có thể sử dụng độc lập và thực hiện đúng quy trình từ tạo sản phẩm đến thêm kho.</t>
  </si>
  <si>
    <t>Bắt đầu viết và thiết kế phần mềm quản lý bán hàng:</t>
  </si>
  <si>
    <t>- Dựa theo yêu cầu đã đề xuất (UI giống Sapo với ưu tiên cho quy trình từng bước).</t>
  </si>
  <si>
    <t>- Cho phép nhập dữ liệu bằng Excel để kiểm tra tính tương thích trong giai đoạn thử nghiệm.</t>
  </si>
  <si>
    <t>Bắt đầu triển khai, thử nghiệm giao diện website bán hàng (theo mẫu Denfood).</t>
  </si>
  <si>
    <t>Trao đổi thêm với phía Vininvoi về khả năng tích hợp liên kết hoặc giải pháp nhập dữ liệu từ file Excel vào Vininvoi.</t>
  </si>
  <si>
    <t>Cuộc họp ngày 10/06/2026 là buổi thảo luận về tiến độ và kế hoạch triển khai các tính năng liên quan đến phần mềm AI bao gồm Autobot Facebook cá nhân, Artistic AI, bot đa nền tảng, tích hợp Omnichannel, và phân bổ thiết kế giao diện cùng các yêu cầu kỹ thuật hỗ trợ. Cuộc họp tập trung vào việc xử lý các tính năng quan trọng, phân công nhiệm vụ cụ thể và chuẩn bị review trong các buổi họp tiếp theo.</t>
  </si>
  <si>
    <t>Xử lý tính năng "Autobot Facebook cá nhân" | Người phụ trách: Thanh và Việt</t>
  </si>
  <si>
    <t>3 ngày (thứ 6, 13/06/2026).</t>
  </si>
  <si>
    <t>Phát triển và kiểm tra tính năng "Artistic AI" | Người phụ trách: Tùng và Tiên</t>
  </si>
  <si>
    <t>3 ngày (thứ 7, 14/06/2026).</t>
  </si>
  <si>
    <t>Tích hợp tính năng Facebook Ads và Google Ads vào CDP | Người phụ trách: Thuật và team</t>
  </si>
  <si>
    <t>Phát triển nội dung "Bot đa nền tảng" và khả năng tạo nội dung khác nhau trên Fanpage | Người phụ trách: Thảo, Nhi và Quân</t>
  </si>
  <si>
    <t>đầu tuần sau.</t>
  </si>
  <si>
    <t>Xem xét lại các agent model LM sử dụng trên platform Maki | Người phụ trách: Tùng và team</t>
  </si>
  <si>
    <t>Update bản app Autobot với các tính năng đã hoàn thiện và push lên hệ thống | Người phụ trách: Đình Minh</t>
  </si>
  <si>
    <t>kiểm tra và báo cáo tiến độ ngay.</t>
  </si>
  <si>
    <t>Research và chỉnh sửa giao diện MagiApp dựa trên đối thủ cạnh tranh | Người phụ trách: đội BA và Thảo</t>
  </si>
  <si>
    <t>Đang xử lý.</t>
  </si>
  <si>
    <t>Tích hợp tính năng Omnichannel với Yaloo cá nhân | Người phụ trách: team Shading Tool</t>
  </si>
  <si>
    <t>chưa nêu cụ thể.</t>
  </si>
  <si>
    <t>Cập nhật và cấu hình lại CDB với các nền tảng tích hợp như Jadinko, Podhub | Người phụ trách: Thuật và system team</t>
  </si>
  <si>
    <t>Thanh và Việt chịu trách nhiệm xử lý tính năng Autobot Facebook cá nhân với thời gian hoàn thành là 3 ngày.</t>
  </si>
  <si>
    <t>Tùng và Tiên phụ trách tính năng Artistic AI và sẽ báo cáo lại tiến độ trong buổi review vào thứ 7.</t>
  </si>
  <si>
    <t>Facebook Ads và Google Ads là các tính năng critical, cần thiết kế và tích hợp sớm với CDP.</t>
  </si>
  <si>
    <t>Nội dung bot đa nền tảng phải hỗ trợ đăng bài với nội dung khác nhau trên các Fanpage. Người dùng cần có tùy chọn đăng giống hoặc khác nội dung.</t>
  </si>
  <si>
    <t>Các agent LM trên Maki cần được kiểm tra và điều chỉnh model phù hợp để tối ưu hiệu quả hoạt động.</t>
  </si>
  <si>
    <t>Thêm hai bạn BA hỗ trợ Thảo trong việc nghiên cứu giao diện của các đối thủ nhằm cải thiện MagiApp.</t>
  </si>
  <si>
    <t>Phần Shading Tool sẽ được tích hợp thêm giao diện Yaloo cá nhân vào hệ thống Omnichannel.</t>
  </si>
  <si>
    <t>Thảo và đội sẽ chịu trách nhiệm chính trong việc cải tiến giao diện Jackpot với sự hỗ trợ của BA.</t>
  </si>
  <si>
    <t>Các thông số hệ thống như app ID, app secret, và các token sẽ được thay thế bằng các thông số của Maki để đảm bảo tính nhất quán.</t>
  </si>
  <si>
    <t>Chưa xác định rõ team và tiến độ triển khai ở một số tính năng bổ sung (ví dụ: bot đa nền tảng).</t>
  </si>
  <si>
    <t>Một số thông tin cần kiểm tra lại, như trạng thái hoàn thiện của các tính năng đẩy qua app hoặc trạng thái cấu hình trong CDB.</t>
  </si>
  <si>
    <t>Giao diện MagiApp chưa có định hướng rõ ràng vì thiếu feedback chi tiết được lưu trữ từ trước.</t>
  </si>
  <si>
    <t>Vẫn chưa thiết lập đầy đủ các thông số cấu hình như app ID, app secret và API key cho một số hệ thống.</t>
  </si>
  <si>
    <t>Thanh và Việt báo cáo tiến độ tính năng Autobot Facebook cá nhân vào thứ 6.</t>
  </si>
  <si>
    <t>Tùng và Tiên hoàn thiện tính năng Artistic AI, chuẩn bị báo cáo trong buổi họp thứ 7.</t>
  </si>
  <si>
    <t>Thảo làm việc với team Shading Tool để đảm bảo tích hợp Yaloo cá nhân vào Omnichannel.</t>
  </si>
  <si>
    <t>Thuật và team cần kiểm tra lại toàn bộ trạng thái cấu hình hệ thống CDB và báo cáo trong buổi họp thứ 7.</t>
  </si>
  <si>
    <t>Đội BA bắt đầu research các đối thủ cạnh tranh và báo cáo những đề xuất thiết kế mới liên quan đến giao diện MagiApp.</t>
  </si>
  <si>
    <t>Đình Minh cần đẩy tất cả các tính năng đã hoàn tất lên bản app và báo cáo lại sớm nhất.</t>
  </si>
  <si>
    <t>Team có buổi review chung vào chiều thứ 5 để rà soát tiến độ agent model LM và các đầu việc khác.</t>
  </si>
  <si>
    <t>Cung cấp fanpage riêng cho team Dev</t>
  </si>
  <si>
    <t>Ridicule Tab cần tối ưu hóa công cụ setting và thực hiện tự động hóa một số công việc thủ công.</t>
  </si>
  <si>
    <t>Các đội phải hoàn thành setup KPI trên ứng dụng Marquee.</t>
  </si>
  <si>
    <t>Đưa ra danh sách account Facebook cá nhân đầy đủ trong tuần để phục vụ công tác marketing.</t>
  </si>
  <si>
    <t>Phân chia nhóm làm việc theo chủ đề hoặc lĩnh vực cụ thể để tránh trùng lặp nhiệm vụ trong group.</t>
  </si>
  <si>
    <t>Tăng tỷ lệ inbox KPI lên 50% để tối ưu hóa danh sách tiềm năng</t>
  </si>
  <si>
    <t>Hoàn thiện format báo giá (phase 1/phase 2) và điều chỉnh giá thành phù hợp với thị trường</t>
  </si>
  <si>
    <t>Trong tuần.</t>
  </si>
  <si>
    <t>Thiết lập hệ thống báo giá tự động dựa trên các thông số đã chuẩn bị</t>
  </si>
  <si>
    <t>Tuần sau.</t>
  </si>
  <si>
    <t>Tạo project và chiến dịch KPI cho từng tháng trên Marquee với hai nhóm chính: Maki Agency và Flow AI.</t>
  </si>
  <si>
    <t>Hoàn tất thông tin CRM: cập nhật lại status, deal handoff và pipeline</t>
  </si>
  <si>
    <t>Chốt báo giá và xử lý các yêu cầu liên quan đến các dự án đang mở (Healthy Food, bất động sản, e-learning)</t>
  </si>
  <si>
    <t>Theo dõi tiến độ dự án Flow AI và xử lý nhân sự tham gia</t>
  </si>
  <si>
    <t>Hôm nay hoặc ngày mai.</t>
  </si>
  <si>
    <t>Tích cực hoàn thiện công việc trên hệ thống và báo cáo bất kỳ vướng mắc nào để chỉnh sửa.</t>
  </si>
  <si>
    <t>Team Dev sử dụng fanpage độc lập và tập trung tăng tương tác trên đó.</t>
  </si>
  <si>
    <t>KPI inbox được tăng lên 50%, giảm bớt focus vào comment và bài viết Boss.</t>
  </si>
  <si>
    <t>Mỗi group nên có tối thiểu hai người theo dõi để đảm bảo quản lý hiệu quả.</t>
  </si>
  <si>
    <t>Format báo giá sẽ ưu tiên chia nhỏ thành hai giai đoạn (phase 1 và 2).</t>
  </si>
  <si>
    <t>Chỉ tập trung triển khai mạnh dự án Maki Agency; các dự án khác như Gold Đà Nẵng chỉ cần duy trì với mục tiêu tối thiểu 1-2 bài Boss/tuần.</t>
  </si>
  <si>
    <t>Dự án Flow AI sẽ được tích hợp vào kế hoạch chung với KPI tối thiểu 1 bài Boss/tuần.</t>
  </si>
  <si>
    <t>Hệ thống báo giá sẽ tự động hóa để giảm thời gian xử lý xuống 30 phút/bản.</t>
  </si>
  <si>
    <t>Đội sale chịu trách nhiệm trực tiếp về việc gửi và theo dõi báo giá khách hàng, không chuyển trách nhiệm hoàn toàn cho bộ phận khác.</t>
  </si>
  <si>
    <t>Có sự chồng chéo trong việc đăng bài và quản lý nhóm/khách hàng trên các group.</t>
  </si>
  <si>
    <t>Việc phân phối KPI chưa đồng bộ và hiệu quả trên hệ thống.</t>
  </si>
  <si>
    <t>Báo giá và hệ thống báo giá hiện tại còn nhiều thao tác thủ công, gây tốn thời gian.</t>
  </si>
  <si>
    <t>Một số dự án (như dự án e-learning) vẫn chưa có tiến triển rõ ràng.</t>
  </si>
  <si>
    <t>Quản lý CRM phức tạp, cần tinh chỉnh để tối ưu.</t>
  </si>
  <si>
    <t>Cấp phát fanpage riêng cho team Dev và kiểm tra hoạt động trên đó.</t>
  </si>
  <si>
    <t>Hoàn thiện KPI trên hệ thống Marquee, tạo các chiến dịch cho từng project.</t>
  </si>
  <si>
    <t>Cập nhật thông tin và trạng thái cho tất cả các khách hàng/dự án trên hệ thống CRM.</t>
  </si>
  <si>
    <t>Tập trung xây dựng và tự động hóa hệ thống báo giá.</t>
  </si>
  <si>
    <t>Theo sát các dự án Flow AI, Gold Đà Nẵng và Healthy Food để đảm bảo ít nhất 1 bài Boss/tuần từ mỗi dự án.</t>
  </si>
  <si>
    <t>Xem xét, điều chỉnh và triển khai format báo giá cho khách hàng.</t>
  </si>
  <si>
    <t>Phân chia rõ ràng nhóm làm việc theo lĩnh vực để tránh chồng chéo và mất hiệu quả.</t>
  </si>
  <si>
    <t>Tăng focus cho các chỉ số KPI inbox, kiểm soát và theo dõi sát sao kết quả hàng ngày qua CRM.</t>
  </si>
</sst>
</file>

<file path=xl/styles.xml><?xml version="1.0" encoding="utf-8"?>
<styleSheet xmlns="http://schemas.openxmlformats.org/spreadsheetml/2006/main" xmlns:x14ac="http://schemas.microsoft.com/office/spreadsheetml/2009/9/ac" xmlns:mc="http://schemas.openxmlformats.org/markup-compatibility/2006">
  <numFmts count="8">
    <numFmt numFmtId="164" formatCode="yyyy-mm-dd"/>
    <numFmt numFmtId="165" formatCode="dd/MM/yyyy"/>
    <numFmt numFmtId="166" formatCode="dd/mm/yyyy"/>
    <numFmt numFmtId="167" formatCode="dd/mm/yyyy."/>
    <numFmt numFmtId="168" formatCode="&quot;Ngày &quot;dd/mm/yyyy."/>
    <numFmt numFmtId="169" formatCode="ddd, dd/mm/yyyy."/>
    <numFmt numFmtId="170" formatCode="yyyy-mm-dd."/>
    <numFmt numFmtId="171" formatCode="ddd, yyyy-mm-dd."/>
  </numFmts>
  <fonts count="15">
    <font>
      <sz val="10.0"/>
      <color rgb="FF000000"/>
      <name val="Arial"/>
      <scheme val="minor"/>
    </font>
    <font>
      <color theme="1"/>
      <name val="Arial"/>
      <scheme val="minor"/>
    </font>
    <font>
      <color rgb="FF000000"/>
      <name val="Arial"/>
      <scheme val="minor"/>
    </font>
    <font>
      <u/>
      <color rgb="FF0000FF"/>
      <name val="Roboto"/>
    </font>
    <font>
      <u/>
      <color rgb="FF0000FF"/>
      <name val="Roboto"/>
    </font>
    <font>
      <sz val="11.0"/>
      <color rgb="FF000000"/>
      <name val="Arial"/>
    </font>
    <font>
      <sz val="11.0"/>
      <color theme="1"/>
      <name val="Arial"/>
    </font>
    <font>
      <b/>
      <sz val="11.0"/>
      <color rgb="FFFFFFFF"/>
      <name val="Arial"/>
      <scheme val="minor"/>
    </font>
    <font>
      <b/>
      <sz val="10.0"/>
      <color theme="1"/>
      <name val="Arial"/>
      <scheme val="minor"/>
    </font>
    <font>
      <u/>
      <color rgb="FF0000FF"/>
    </font>
    <font>
      <b/>
      <color theme="1"/>
      <name val="Arial"/>
    </font>
    <font>
      <color theme="1"/>
      <name val="Arial"/>
    </font>
    <font>
      <u/>
      <color rgb="FF0000FF"/>
      <name val="Roboto"/>
    </font>
    <font>
      <u/>
      <color rgb="FF0000FF"/>
      <name val="Roboto"/>
    </font>
    <font>
      <u/>
      <color rgb="FF0000FF"/>
    </font>
  </fonts>
  <fills count="6">
    <fill>
      <patternFill patternType="none"/>
    </fill>
    <fill>
      <patternFill patternType="lightGray"/>
    </fill>
    <fill>
      <patternFill patternType="solid">
        <fgColor rgb="FFFFFF00"/>
        <bgColor rgb="FFFFFF00"/>
      </patternFill>
    </fill>
    <fill>
      <patternFill patternType="solid">
        <fgColor rgb="FFFFFFFF"/>
        <bgColor rgb="FFFFFFFF"/>
      </patternFill>
    </fill>
    <fill>
      <patternFill patternType="solid">
        <fgColor rgb="FF335487"/>
        <bgColor rgb="FF335487"/>
      </patternFill>
    </fill>
    <fill>
      <patternFill patternType="solid">
        <fgColor rgb="FFE5EAF2"/>
        <bgColor rgb="FFE5EAF2"/>
      </patternFill>
    </fill>
  </fills>
  <borders count="21">
    <border/>
    <border>
      <left style="medium">
        <color rgb="FF000000"/>
      </left>
      <right style="dotted">
        <color rgb="FF000000"/>
      </right>
      <top style="medium">
        <color rgb="FF000000"/>
      </top>
      <bottom style="dotted">
        <color rgb="FF000000"/>
      </bottom>
    </border>
    <border>
      <left style="dotted">
        <color rgb="FF000000"/>
      </left>
      <right style="dotted">
        <color rgb="FF000000"/>
      </right>
      <top style="medium">
        <color rgb="FF000000"/>
      </top>
      <bottom style="dotted">
        <color rgb="FF000000"/>
      </bottom>
    </border>
    <border>
      <left style="dotted">
        <color rgb="FF000000"/>
      </left>
      <right style="medium">
        <color rgb="FF000000"/>
      </right>
      <top style="medium">
        <color rgb="FF000000"/>
      </top>
      <bottom style="dotted">
        <color rgb="FF000000"/>
      </bottom>
    </border>
    <border>
      <left style="medium">
        <color rgb="FF000000"/>
      </left>
      <right style="dotted">
        <color rgb="FF000000"/>
      </right>
      <top style="dotted">
        <color rgb="FF000000"/>
      </top>
      <bottom style="dotted">
        <color rgb="FF000000"/>
      </bottom>
    </border>
    <border>
      <left style="dotted">
        <color rgb="FF000000"/>
      </left>
      <right style="dotted">
        <color rgb="FF000000"/>
      </right>
      <top style="dotted">
        <color rgb="FF000000"/>
      </top>
      <bottom style="dotted">
        <color rgb="FF000000"/>
      </bottom>
    </border>
    <border>
      <left style="dotted">
        <color rgb="FF000000"/>
      </left>
      <right style="medium">
        <color rgb="FF000000"/>
      </right>
      <top style="dotted">
        <color rgb="FF000000"/>
      </top>
      <bottom style="dotted">
        <color rgb="FF000000"/>
      </bottom>
    </border>
    <border>
      <left style="medium">
        <color rgb="FF000000"/>
      </left>
      <right style="dotted">
        <color rgb="FF000000"/>
      </right>
      <top style="dotted">
        <color rgb="FF000000"/>
      </top>
      <bottom style="medium">
        <color rgb="FF000000"/>
      </bottom>
    </border>
    <border>
      <left style="dotted">
        <color rgb="FF000000"/>
      </left>
      <right style="dotted">
        <color rgb="FF000000"/>
      </right>
      <top style="dotted">
        <color rgb="FF000000"/>
      </top>
      <bottom style="medium">
        <color rgb="FF000000"/>
      </bottom>
    </border>
    <border>
      <left style="dotted">
        <color rgb="FF000000"/>
      </left>
      <right style="medium">
        <color rgb="FF000000"/>
      </right>
      <top style="dotted">
        <color rgb="FF000000"/>
      </top>
      <bottom style="medium">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bottom style="thin">
        <color rgb="FF000000"/>
      </bottom>
    </border>
    <border>
      <left style="thin">
        <color rgb="FFCCCCCC"/>
      </left>
      <right style="thin">
        <color rgb="FFE5E5E5"/>
      </right>
      <top style="thin">
        <color rgb="FFCCCCCC"/>
      </top>
      <bottom style="thin">
        <color rgb="FFE5E5E5"/>
      </bottom>
    </border>
    <border>
      <left style="thin">
        <color rgb="FFE5E5E5"/>
      </left>
      <right style="thin">
        <color rgb="FFE5E5E5"/>
      </right>
      <top style="thin">
        <color rgb="FFCCCCCC"/>
      </top>
      <bottom style="thin">
        <color rgb="FFE5E5E5"/>
      </bottom>
    </border>
    <border>
      <left style="thin">
        <color rgb="FFE5E5E5"/>
      </left>
      <right style="thin">
        <color rgb="FFCCCCCC"/>
      </right>
      <top style="thin">
        <color rgb="FFCCCCCC"/>
      </top>
      <bottom style="thin">
        <color rgb="FFE5E5E5"/>
      </bottom>
    </border>
    <border>
      <left style="thin">
        <color rgb="FFCCCCCC"/>
      </left>
      <right style="thin">
        <color rgb="FFE5E5E5"/>
      </right>
      <top style="thin">
        <color rgb="FFE5E5E5"/>
      </top>
      <bottom style="thin">
        <color rgb="FFE5E5E5"/>
      </bottom>
    </border>
    <border>
      <left style="thin">
        <color rgb="FFE5E5E5"/>
      </left>
      <right style="thin">
        <color rgb="FFE5E5E5"/>
      </right>
      <top style="thin">
        <color rgb="FFE5E5E5"/>
      </top>
      <bottom style="thin">
        <color rgb="FFE5E5E5"/>
      </bottom>
    </border>
    <border>
      <left style="thin">
        <color rgb="FFE5E5E5"/>
      </left>
      <right style="thin">
        <color rgb="FFCCCCCC"/>
      </right>
      <top style="thin">
        <color rgb="FFE5E5E5"/>
      </top>
      <bottom style="thin">
        <color rgb="FFE5E5E5"/>
      </bottom>
    </border>
    <border>
      <left style="thin">
        <color rgb="FFCCCCCC"/>
      </left>
      <right style="thin">
        <color rgb="FFE5E5E5"/>
      </right>
      <top style="thin">
        <color rgb="FFE5E5E5"/>
      </top>
      <bottom style="thin">
        <color rgb="FFCCCCCC"/>
      </bottom>
    </border>
    <border>
      <left style="thin">
        <color rgb="FFE5E5E5"/>
      </left>
      <right style="thin">
        <color rgb="FFE5E5E5"/>
      </right>
      <top style="thin">
        <color rgb="FFE5E5E5"/>
      </top>
      <bottom style="thin">
        <color rgb="FFCCCCCC"/>
      </bottom>
    </border>
    <border>
      <left style="thin">
        <color rgb="FFE5E5E5"/>
      </left>
      <right style="thin">
        <color rgb="FFCCCCCC"/>
      </right>
      <top style="thin">
        <color rgb="FFE5E5E5"/>
      </top>
      <bottom style="thin">
        <color rgb="FFCCCCCC"/>
      </bottom>
    </border>
  </borders>
  <cellStyleXfs count="1">
    <xf borderId="0" fillId="0" fontId="0" numFmtId="0" applyAlignment="1" applyFont="1"/>
  </cellStyleXfs>
  <cellXfs count="83">
    <xf borderId="0" fillId="0" fontId="0" numFmtId="0" xfId="0" applyAlignment="1" applyFont="1">
      <alignment readingOrder="0" shrinkToFit="0" vertical="bottom" wrapText="0"/>
    </xf>
    <xf borderId="1" fillId="0" fontId="1" numFmtId="0" xfId="0" applyAlignment="1" applyBorder="1" applyFont="1">
      <alignment horizontal="left" readingOrder="0" shrinkToFit="0" vertical="center" wrapText="0"/>
    </xf>
    <xf borderId="2" fillId="0" fontId="1" numFmtId="49" xfId="0" applyAlignment="1" applyBorder="1" applyFont="1" applyNumberFormat="1">
      <alignment horizontal="left" readingOrder="0" shrinkToFit="0" vertical="center" wrapText="0"/>
    </xf>
    <xf borderId="2" fillId="2" fontId="2" numFmtId="49" xfId="0" applyAlignment="1" applyBorder="1" applyFill="1" applyFont="1" applyNumberFormat="1">
      <alignment horizontal="left" readingOrder="0" shrinkToFit="0" vertical="center" wrapText="0"/>
    </xf>
    <xf borderId="2" fillId="2" fontId="2" numFmtId="0" xfId="0" applyAlignment="1" applyBorder="1" applyFont="1">
      <alignment horizontal="left" readingOrder="0" shrinkToFit="0" vertical="center" wrapText="0"/>
    </xf>
    <xf borderId="2" fillId="0" fontId="1" numFmtId="0" xfId="0" applyAlignment="1" applyBorder="1" applyFont="1">
      <alignment horizontal="left" readingOrder="0" shrinkToFit="0" vertical="center" wrapText="0"/>
    </xf>
    <xf borderId="3" fillId="0" fontId="1" numFmtId="0" xfId="0" applyAlignment="1" applyBorder="1" applyFont="1">
      <alignment horizontal="left" readingOrder="0" shrinkToFit="0" vertical="center" wrapText="0"/>
    </xf>
    <xf borderId="4" fillId="0" fontId="1" numFmtId="0" xfId="0" applyAlignment="1" applyBorder="1" applyFont="1">
      <alignment readingOrder="0" shrinkToFit="0" vertical="center" wrapText="1"/>
    </xf>
    <xf borderId="5" fillId="0" fontId="1" numFmtId="164" xfId="0" applyAlignment="1" applyBorder="1" applyFont="1" applyNumberFormat="1">
      <alignment readingOrder="0" shrinkToFit="0" vertical="center" wrapText="1"/>
    </xf>
    <xf borderId="5" fillId="0" fontId="1" numFmtId="0" xfId="0" applyAlignment="1" applyBorder="1" applyFont="1">
      <alignment readingOrder="0" shrinkToFit="0" vertical="center" wrapText="1"/>
    </xf>
    <xf borderId="5" fillId="0" fontId="1" numFmtId="0" xfId="0" applyAlignment="1" applyBorder="1" applyFont="1">
      <alignment readingOrder="0" shrinkToFit="0" vertical="center" wrapText="1"/>
    </xf>
    <xf borderId="5" fillId="0" fontId="1" numFmtId="0" xfId="0" applyAlignment="1" applyBorder="1" applyFont="1">
      <alignment readingOrder="0" shrinkToFit="0" vertical="center" wrapText="1"/>
    </xf>
    <xf borderId="5" fillId="0" fontId="3" numFmtId="0" xfId="0" applyAlignment="1" applyBorder="1" applyFont="1">
      <alignment readingOrder="0" shrinkToFit="0" vertical="center" wrapText="1"/>
    </xf>
    <xf borderId="6" fillId="0" fontId="4" numFmtId="0" xfId="0" applyAlignment="1" applyBorder="1" applyFont="1">
      <alignment readingOrder="0" shrinkToFit="0" vertical="center" wrapText="1"/>
    </xf>
    <xf borderId="5" fillId="0" fontId="1" numFmtId="0" xfId="0" applyAlignment="1" applyBorder="1" applyFont="1">
      <alignment shrinkToFit="0" vertical="center" wrapText="1"/>
    </xf>
    <xf borderId="5" fillId="0" fontId="1" numFmtId="0" xfId="0" applyAlignment="1" applyBorder="1" applyFont="1">
      <alignment shrinkToFit="0" vertical="center" wrapText="1"/>
    </xf>
    <xf borderId="5" fillId="0" fontId="1" numFmtId="0" xfId="0" applyAlignment="1" applyBorder="1" applyFont="1">
      <alignment shrinkToFit="0" vertical="center" wrapText="1"/>
    </xf>
    <xf borderId="4" fillId="0" fontId="1" numFmtId="0" xfId="0" applyAlignment="1" applyBorder="1" applyFont="1">
      <alignment shrinkToFit="0" vertical="center" wrapText="1"/>
    </xf>
    <xf borderId="5" fillId="0" fontId="1" numFmtId="0" xfId="0" applyAlignment="1" applyBorder="1" applyFont="1">
      <alignment shrinkToFit="0" vertical="center" wrapText="1"/>
    </xf>
    <xf borderId="6" fillId="0" fontId="1" numFmtId="0" xfId="0" applyAlignment="1" applyBorder="1" applyFont="1">
      <alignment shrinkToFit="0" vertical="center" wrapText="1"/>
    </xf>
    <xf borderId="7" fillId="0" fontId="1" numFmtId="0" xfId="0" applyAlignment="1" applyBorder="1" applyFont="1">
      <alignment shrinkToFit="0" vertical="center" wrapText="1"/>
    </xf>
    <xf borderId="8" fillId="0" fontId="1" numFmtId="0" xfId="0" applyAlignment="1" applyBorder="1" applyFont="1">
      <alignment shrinkToFit="0" vertical="center" wrapText="1"/>
    </xf>
    <xf borderId="8" fillId="0" fontId="1" numFmtId="0" xfId="0" applyAlignment="1" applyBorder="1" applyFont="1">
      <alignment shrinkToFit="0" vertical="center" wrapText="1"/>
    </xf>
    <xf borderId="8" fillId="0" fontId="1" numFmtId="0" xfId="0" applyAlignment="1" applyBorder="1" applyFont="1">
      <alignment shrinkToFit="0" vertical="center" wrapText="1"/>
    </xf>
    <xf borderId="8" fillId="0" fontId="1" numFmtId="0" xfId="0" applyAlignment="1" applyBorder="1" applyFont="1">
      <alignment shrinkToFit="0" vertical="center" wrapText="1"/>
    </xf>
    <xf borderId="9" fillId="0" fontId="1" numFmtId="0" xfId="0" applyAlignment="1" applyBorder="1" applyFont="1">
      <alignment shrinkToFit="0" vertical="center" wrapText="1"/>
    </xf>
    <xf borderId="0" fillId="0" fontId="1" numFmtId="164" xfId="0" applyAlignment="1" applyFont="1" applyNumberFormat="1">
      <alignment readingOrder="0"/>
    </xf>
    <xf borderId="0" fillId="0" fontId="1" numFmtId="0" xfId="0" applyAlignment="1" applyFont="1">
      <alignment readingOrder="0"/>
    </xf>
    <xf borderId="10" fillId="3" fontId="5" numFmtId="0" xfId="0" applyAlignment="1" applyBorder="1" applyFill="1" applyFont="1">
      <alignment readingOrder="0" shrinkToFit="0" wrapText="1"/>
    </xf>
    <xf borderId="11" fillId="3" fontId="5" numFmtId="0" xfId="0" applyAlignment="1" applyBorder="1" applyFont="1">
      <alignment readingOrder="0" shrinkToFit="0" wrapText="1"/>
    </xf>
    <xf borderId="11" fillId="3" fontId="5" numFmtId="0" xfId="0" applyAlignment="1" applyBorder="1" applyFont="1">
      <alignment readingOrder="0" shrinkToFit="0" vertical="bottom" wrapText="1"/>
    </xf>
    <xf borderId="10" fillId="3" fontId="6" numFmtId="0" xfId="0" applyAlignment="1" applyBorder="1" applyFont="1">
      <alignment shrinkToFit="0" wrapText="1"/>
    </xf>
    <xf borderId="0" fillId="0" fontId="1" numFmtId="0" xfId="0" applyFont="1"/>
    <xf borderId="0" fillId="0" fontId="1" numFmtId="49" xfId="0" applyFont="1" applyNumberFormat="1"/>
    <xf borderId="0" fillId="4" fontId="7" numFmtId="0" xfId="0" applyAlignment="1" applyFill="1" applyFont="1">
      <alignment horizontal="left" readingOrder="0" shrinkToFit="0" vertical="center" wrapText="1"/>
    </xf>
    <xf borderId="0" fillId="0" fontId="1" numFmtId="0" xfId="0" applyAlignment="1" applyFont="1">
      <alignment shrinkToFit="0" wrapText="1"/>
    </xf>
    <xf borderId="12" fillId="5" fontId="8" numFmtId="0" xfId="0" applyAlignment="1" applyBorder="1" applyFill="1" applyFont="1">
      <alignment horizontal="left" readingOrder="0" shrinkToFit="0" wrapText="1"/>
    </xf>
    <xf borderId="13" fillId="5" fontId="8" numFmtId="0" xfId="0" applyAlignment="1" applyBorder="1" applyFont="1">
      <alignment horizontal="left" readingOrder="0" shrinkToFit="0" wrapText="1"/>
    </xf>
    <xf borderId="14" fillId="5" fontId="8" numFmtId="0" xfId="0" applyAlignment="1" applyBorder="1" applyFont="1">
      <alignment horizontal="left" shrinkToFit="0" wrapText="1"/>
    </xf>
    <xf borderId="15" fillId="0" fontId="1" numFmtId="0" xfId="0" applyAlignment="1" applyBorder="1" applyFont="1">
      <alignment readingOrder="0" shrinkToFit="0" wrapText="1"/>
    </xf>
    <xf borderId="16" fillId="0" fontId="1" numFmtId="0" xfId="0" applyAlignment="1" applyBorder="1" applyFont="1">
      <alignment readingOrder="0" shrinkToFit="0" wrapText="1"/>
    </xf>
    <xf borderId="17" fillId="0" fontId="1" numFmtId="0" xfId="0" applyAlignment="1" applyBorder="1" applyFont="1">
      <alignment shrinkToFit="0" wrapText="1"/>
    </xf>
    <xf borderId="16" fillId="0" fontId="1" numFmtId="164" xfId="0" applyAlignment="1" applyBorder="1" applyFont="1" applyNumberFormat="1">
      <alignment readingOrder="0" shrinkToFit="0" wrapText="1"/>
    </xf>
    <xf borderId="18" fillId="0" fontId="1" numFmtId="0" xfId="0" applyAlignment="1" applyBorder="1" applyFont="1">
      <alignment readingOrder="0" shrinkToFit="0" wrapText="1"/>
    </xf>
    <xf borderId="19" fillId="0" fontId="9" numFmtId="0" xfId="0" applyAlignment="1" applyBorder="1" applyFont="1">
      <alignment readingOrder="0" shrinkToFit="0" wrapText="1"/>
    </xf>
    <xf borderId="20" fillId="0" fontId="1" numFmtId="0" xfId="0" applyAlignment="1" applyBorder="1" applyFont="1">
      <alignment shrinkToFit="0" wrapText="1"/>
    </xf>
    <xf borderId="0" fillId="0" fontId="1" numFmtId="0" xfId="0" applyAlignment="1" applyFont="1">
      <alignment readingOrder="0" shrinkToFit="0" wrapText="1"/>
    </xf>
    <xf borderId="14" fillId="5" fontId="8" numFmtId="0" xfId="0" applyAlignment="1" applyBorder="1" applyFont="1">
      <alignment horizontal="left" readingOrder="0" shrinkToFit="0" wrapText="1"/>
    </xf>
    <xf borderId="17" fillId="0" fontId="1" numFmtId="0" xfId="0" applyAlignment="1" applyBorder="1" applyFont="1">
      <alignment readingOrder="0" shrinkToFit="0" wrapText="1"/>
    </xf>
    <xf borderId="19" fillId="0" fontId="1" numFmtId="0" xfId="0" applyAlignment="1" applyBorder="1" applyFont="1">
      <alignment readingOrder="0" shrinkToFit="0" wrapText="1"/>
    </xf>
    <xf borderId="20" fillId="0" fontId="1" numFmtId="0" xfId="0" applyAlignment="1" applyBorder="1" applyFont="1">
      <alignment readingOrder="0" shrinkToFit="0" wrapText="1"/>
    </xf>
    <xf borderId="12" fillId="5" fontId="10" numFmtId="0" xfId="0" applyAlignment="1" applyBorder="1" applyFont="1">
      <alignment shrinkToFit="0" vertical="bottom" wrapText="1"/>
    </xf>
    <xf borderId="13" fillId="5" fontId="10" numFmtId="0" xfId="0" applyAlignment="1" applyBorder="1" applyFont="1">
      <alignment shrinkToFit="0" vertical="bottom" wrapText="1"/>
    </xf>
    <xf borderId="14" fillId="5" fontId="10" numFmtId="0" xfId="0" applyAlignment="1" applyBorder="1" applyFont="1">
      <alignment shrinkToFit="0" vertical="bottom" wrapText="1"/>
    </xf>
    <xf borderId="14" fillId="0" fontId="8" numFmtId="0" xfId="0" applyAlignment="1" applyBorder="1" applyFont="1">
      <alignment horizontal="left" readingOrder="0" shrinkToFit="0" wrapText="1"/>
    </xf>
    <xf borderId="15" fillId="0" fontId="11" numFmtId="0" xfId="0" applyAlignment="1" applyBorder="1" applyFont="1">
      <alignment horizontal="right" shrinkToFit="0" vertical="bottom" wrapText="1"/>
    </xf>
    <xf borderId="16" fillId="0" fontId="11" numFmtId="0" xfId="0" applyAlignment="1" applyBorder="1" applyFont="1">
      <alignment shrinkToFit="0" vertical="bottom" wrapText="1"/>
    </xf>
    <xf borderId="17" fillId="0" fontId="11" numFmtId="0" xfId="0" applyAlignment="1" applyBorder="1" applyFont="1">
      <alignment shrinkToFit="0" vertical="bottom" wrapText="1"/>
    </xf>
    <xf borderId="0" fillId="0" fontId="1" numFmtId="0" xfId="0" applyAlignment="1" applyFont="1">
      <alignment horizontal="left" readingOrder="0" shrinkToFit="0" vertical="center" wrapText="1"/>
    </xf>
    <xf borderId="0" fillId="0" fontId="1" numFmtId="165" xfId="0" applyAlignment="1" applyFont="1" applyNumberFormat="1">
      <alignment horizontal="left" readingOrder="0" shrinkToFit="0" vertical="center" wrapText="1"/>
    </xf>
    <xf borderId="0" fillId="0" fontId="1" numFmtId="0" xfId="0" applyAlignment="1" applyFont="1">
      <alignment horizontal="left" readingOrder="0" shrinkToFit="0" vertical="center" wrapText="0"/>
    </xf>
    <xf borderId="10" fillId="0" fontId="1" numFmtId="0" xfId="0" applyAlignment="1" applyBorder="1" applyFont="1">
      <alignment readingOrder="0" shrinkToFit="0" vertical="center" wrapText="1"/>
    </xf>
    <xf borderId="10" fillId="0" fontId="1" numFmtId="0" xfId="0" applyAlignment="1" applyBorder="1" applyFont="1">
      <alignment readingOrder="0" shrinkToFit="0" vertical="center" wrapText="1"/>
    </xf>
    <xf borderId="10" fillId="0" fontId="1" numFmtId="165" xfId="0" applyAlignment="1" applyBorder="1" applyFont="1" applyNumberFormat="1">
      <alignment readingOrder="0" shrinkToFit="0" vertical="center" wrapText="1"/>
    </xf>
    <xf borderId="10" fillId="0" fontId="1" numFmtId="0" xfId="0" applyAlignment="1" applyBorder="1" applyFont="1">
      <alignment shrinkToFit="0" vertical="center" wrapText="1"/>
    </xf>
    <xf borderId="10" fillId="0" fontId="1" numFmtId="165" xfId="0" applyAlignment="1" applyBorder="1" applyFont="1" applyNumberFormat="1">
      <alignment shrinkToFit="0" vertical="center" wrapText="1"/>
    </xf>
    <xf borderId="10" fillId="0" fontId="12" numFmtId="0" xfId="0" applyAlignment="1" applyBorder="1" applyFont="1">
      <alignment readingOrder="0" shrinkToFit="0" vertical="center" wrapText="1"/>
    </xf>
    <xf borderId="10" fillId="0" fontId="13" numFmtId="0" xfId="0" applyAlignment="1" applyBorder="1" applyFont="1">
      <alignment readingOrder="0" shrinkToFit="0" vertical="center" wrapText="1"/>
    </xf>
    <xf borderId="10" fillId="0" fontId="1" numFmtId="0" xfId="0" applyAlignment="1" applyBorder="1" applyFont="1">
      <alignment readingOrder="0" shrinkToFit="0" vertical="center" wrapText="1"/>
    </xf>
    <xf borderId="10" fillId="0" fontId="1" numFmtId="165" xfId="0" applyAlignment="1" applyBorder="1" applyFont="1" applyNumberFormat="1">
      <alignment readingOrder="0" shrinkToFit="0" vertical="center" wrapText="1"/>
    </xf>
    <xf borderId="10" fillId="0" fontId="1" numFmtId="0" xfId="0" applyAlignment="1" applyBorder="1" applyFont="1">
      <alignment shrinkToFit="0" vertical="center" wrapText="1"/>
    </xf>
    <xf borderId="10" fillId="0" fontId="1" numFmtId="0" xfId="0" applyAlignment="1" applyBorder="1" applyFont="1">
      <alignment shrinkToFit="0" wrapText="1"/>
    </xf>
    <xf borderId="10" fillId="0" fontId="1" numFmtId="165" xfId="0" applyAlignment="1" applyBorder="1" applyFont="1" applyNumberFormat="1">
      <alignment shrinkToFit="0" wrapText="1"/>
    </xf>
    <xf borderId="16" fillId="0" fontId="14" numFmtId="0" xfId="0" applyAlignment="1" applyBorder="1" applyFont="1">
      <alignment readingOrder="0" shrinkToFit="0" wrapText="1"/>
    </xf>
    <xf borderId="17" fillId="0" fontId="1" numFmtId="166" xfId="0" applyAlignment="1" applyBorder="1" applyFont="1" applyNumberFormat="1">
      <alignment readingOrder="0" shrinkToFit="0" wrapText="1"/>
    </xf>
    <xf borderId="17" fillId="0" fontId="1" numFmtId="167" xfId="0" applyAlignment="1" applyBorder="1" applyFont="1" applyNumberFormat="1">
      <alignment readingOrder="0" shrinkToFit="0" wrapText="1"/>
    </xf>
    <xf borderId="17" fillId="0" fontId="1" numFmtId="168" xfId="0" applyAlignment="1" applyBorder="1" applyFont="1" applyNumberFormat="1">
      <alignment readingOrder="0" shrinkToFit="0" wrapText="1"/>
    </xf>
    <xf borderId="17" fillId="0" fontId="1" numFmtId="169" xfId="0" applyAlignment="1" applyBorder="1" applyFont="1" applyNumberFormat="1">
      <alignment readingOrder="0" shrinkToFit="0" wrapText="1"/>
    </xf>
    <xf borderId="17" fillId="0" fontId="1" numFmtId="170" xfId="0" applyAlignment="1" applyBorder="1" applyFont="1" applyNumberFormat="1">
      <alignment readingOrder="0" shrinkToFit="0" wrapText="1"/>
    </xf>
    <xf borderId="17" fillId="0" fontId="1" numFmtId="171" xfId="0" applyAlignment="1" applyBorder="1" applyFont="1" applyNumberFormat="1">
      <alignment readingOrder="0" shrinkToFit="0" wrapText="1"/>
    </xf>
    <xf borderId="20" fillId="0" fontId="1" numFmtId="167" xfId="0" applyAlignment="1" applyBorder="1" applyFont="1" applyNumberFormat="1">
      <alignment readingOrder="0" shrinkToFit="0" wrapText="1"/>
    </xf>
    <xf borderId="17" fillId="0" fontId="1" numFmtId="164" xfId="0" applyAlignment="1" applyBorder="1" applyFont="1" applyNumberFormat="1">
      <alignment readingOrder="0" shrinkToFit="0" wrapText="1"/>
    </xf>
    <xf borderId="20" fillId="0" fontId="1" numFmtId="164" xfId="0" applyAlignment="1" applyBorder="1" applyFont="1" applyNumberFormat="1">
      <alignment readingOrder="0" shrinkToFit="0" wrapText="1"/>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2">
    <tableStyle count="4" pivot="0" name="Meeting Log-style">
      <tableStyleElement dxfId="1" type="headerRow"/>
      <tableStyleElement dxfId="2" type="firstRowStripe"/>
      <tableStyleElement dxfId="3" type="secondRowStripe"/>
      <tableStyleElement dxfId="4" size="0" type="wholeTable"/>
    </tableStyle>
    <tableStyle count="4" pivot="0" name="26-04-09 - 095330-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40" Type="http://schemas.openxmlformats.org/officeDocument/2006/relationships/worksheet" Target="worksheets/sheet36.xml"/><Relationship Id="rId42" Type="http://schemas.openxmlformats.org/officeDocument/2006/relationships/worksheet" Target="worksheets/sheet38.xml"/><Relationship Id="rId41" Type="http://schemas.openxmlformats.org/officeDocument/2006/relationships/worksheet" Target="worksheets/sheet37.xml"/><Relationship Id="rId44" Type="http://schemas.openxmlformats.org/officeDocument/2006/relationships/worksheet" Target="worksheets/sheet40.xml"/><Relationship Id="rId43" Type="http://schemas.openxmlformats.org/officeDocument/2006/relationships/worksheet" Target="worksheets/sheet39.xml"/><Relationship Id="rId46" Type="http://schemas.openxmlformats.org/officeDocument/2006/relationships/worksheet" Target="worksheets/sheet42.xml"/><Relationship Id="rId45" Type="http://schemas.openxmlformats.org/officeDocument/2006/relationships/worksheet" Target="worksheets/sheet41.xml"/><Relationship Id="rId48" Type="http://schemas.openxmlformats.org/officeDocument/2006/relationships/worksheet" Target="worksheets/sheet44.xml"/><Relationship Id="rId47" Type="http://schemas.openxmlformats.org/officeDocument/2006/relationships/worksheet" Target="worksheets/sheet43.xml"/><Relationship Id="rId49" Type="http://schemas.openxmlformats.org/officeDocument/2006/relationships/worksheet" Target="worksheets/sheet45.xml"/><Relationship Id="rId31" Type="http://schemas.openxmlformats.org/officeDocument/2006/relationships/worksheet" Target="worksheets/sheet27.xml"/><Relationship Id="rId30" Type="http://schemas.openxmlformats.org/officeDocument/2006/relationships/worksheet" Target="worksheets/sheet26.xml"/><Relationship Id="rId33" Type="http://schemas.openxmlformats.org/officeDocument/2006/relationships/worksheet" Target="worksheets/sheet29.xml"/><Relationship Id="rId32" Type="http://schemas.openxmlformats.org/officeDocument/2006/relationships/worksheet" Target="worksheets/sheet28.xml"/><Relationship Id="rId35" Type="http://schemas.openxmlformats.org/officeDocument/2006/relationships/worksheet" Target="worksheets/sheet31.xml"/><Relationship Id="rId34" Type="http://schemas.openxmlformats.org/officeDocument/2006/relationships/worksheet" Target="worksheets/sheet30.xml"/><Relationship Id="rId37" Type="http://schemas.openxmlformats.org/officeDocument/2006/relationships/worksheet" Target="worksheets/sheet33.xml"/><Relationship Id="rId36" Type="http://schemas.openxmlformats.org/officeDocument/2006/relationships/worksheet" Target="worksheets/sheet32.xml"/><Relationship Id="rId39" Type="http://schemas.openxmlformats.org/officeDocument/2006/relationships/worksheet" Target="worksheets/sheet35.xml"/><Relationship Id="rId38" Type="http://schemas.openxmlformats.org/officeDocument/2006/relationships/worksheet" Target="worksheets/sheet34.xml"/><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26" Type="http://schemas.openxmlformats.org/officeDocument/2006/relationships/worksheet" Target="worksheets/sheet22.xml"/><Relationship Id="rId25" Type="http://schemas.openxmlformats.org/officeDocument/2006/relationships/worksheet" Target="worksheets/sheet21.xml"/><Relationship Id="rId28" Type="http://schemas.openxmlformats.org/officeDocument/2006/relationships/worksheet" Target="worksheets/sheet24.xml"/><Relationship Id="rId27" Type="http://schemas.openxmlformats.org/officeDocument/2006/relationships/worksheet" Target="worksheets/sheet23.xml"/><Relationship Id="rId29" Type="http://schemas.openxmlformats.org/officeDocument/2006/relationships/worksheet" Target="worksheets/sheet25.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 Id="rId84" Type="http://schemas.openxmlformats.org/officeDocument/2006/relationships/worksheet" Target="worksheets/sheet80.xml"/><Relationship Id="rId83" Type="http://schemas.openxmlformats.org/officeDocument/2006/relationships/worksheet" Target="worksheets/sheet79.xml"/><Relationship Id="rId86" Type="http://schemas.openxmlformats.org/officeDocument/2006/relationships/worksheet" Target="worksheets/sheet82.xml"/><Relationship Id="rId85" Type="http://schemas.openxmlformats.org/officeDocument/2006/relationships/worksheet" Target="worksheets/sheet81.xml"/><Relationship Id="rId88" Type="http://schemas.openxmlformats.org/officeDocument/2006/relationships/worksheet" Target="worksheets/sheet84.xml"/><Relationship Id="rId150" Type="http://schemas.openxmlformats.org/officeDocument/2006/relationships/worksheet" Target="worksheets/sheet146.xml"/><Relationship Id="rId87" Type="http://schemas.openxmlformats.org/officeDocument/2006/relationships/worksheet" Target="worksheets/sheet83.xml"/><Relationship Id="rId89" Type="http://schemas.openxmlformats.org/officeDocument/2006/relationships/worksheet" Target="worksheets/sheet85.xml"/><Relationship Id="rId80" Type="http://schemas.openxmlformats.org/officeDocument/2006/relationships/worksheet" Target="worksheets/sheet76.xml"/><Relationship Id="rId82" Type="http://schemas.openxmlformats.org/officeDocument/2006/relationships/worksheet" Target="worksheets/sheet78.xml"/><Relationship Id="rId81" Type="http://schemas.openxmlformats.org/officeDocument/2006/relationships/worksheet" Target="worksheets/sheet77.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149" Type="http://schemas.openxmlformats.org/officeDocument/2006/relationships/worksheet" Target="worksheets/sheet145.xml"/><Relationship Id="rId4" Type="http://schemas.microsoft.com/office/2017/10/relationships/person" Target="persons/person.xml"/><Relationship Id="rId148" Type="http://schemas.openxmlformats.org/officeDocument/2006/relationships/worksheet" Target="worksheets/sheet144.xml"/><Relationship Id="rId9" Type="http://schemas.openxmlformats.org/officeDocument/2006/relationships/worksheet" Target="worksheets/sheet5.xml"/><Relationship Id="rId143" Type="http://schemas.openxmlformats.org/officeDocument/2006/relationships/worksheet" Target="worksheets/sheet139.xml"/><Relationship Id="rId142" Type="http://schemas.openxmlformats.org/officeDocument/2006/relationships/worksheet" Target="worksheets/sheet138.xml"/><Relationship Id="rId141" Type="http://schemas.openxmlformats.org/officeDocument/2006/relationships/worksheet" Target="worksheets/sheet137.xml"/><Relationship Id="rId140" Type="http://schemas.openxmlformats.org/officeDocument/2006/relationships/worksheet" Target="worksheets/sheet136.xml"/><Relationship Id="rId5" Type="http://schemas.openxmlformats.org/officeDocument/2006/relationships/worksheet" Target="worksheets/sheet1.xml"/><Relationship Id="rId147" Type="http://schemas.openxmlformats.org/officeDocument/2006/relationships/worksheet" Target="worksheets/sheet143.xml"/><Relationship Id="rId6" Type="http://schemas.openxmlformats.org/officeDocument/2006/relationships/worksheet" Target="worksheets/sheet2.xml"/><Relationship Id="rId146" Type="http://schemas.openxmlformats.org/officeDocument/2006/relationships/worksheet" Target="worksheets/sheet142.xml"/><Relationship Id="rId7" Type="http://schemas.openxmlformats.org/officeDocument/2006/relationships/worksheet" Target="worksheets/sheet3.xml"/><Relationship Id="rId145" Type="http://schemas.openxmlformats.org/officeDocument/2006/relationships/worksheet" Target="worksheets/sheet141.xml"/><Relationship Id="rId8" Type="http://schemas.openxmlformats.org/officeDocument/2006/relationships/worksheet" Target="worksheets/sheet4.xml"/><Relationship Id="rId144" Type="http://schemas.openxmlformats.org/officeDocument/2006/relationships/worksheet" Target="worksheets/sheet140.xml"/><Relationship Id="rId73" Type="http://schemas.openxmlformats.org/officeDocument/2006/relationships/worksheet" Target="worksheets/sheet69.xml"/><Relationship Id="rId72" Type="http://schemas.openxmlformats.org/officeDocument/2006/relationships/worksheet" Target="worksheets/sheet68.xml"/><Relationship Id="rId75" Type="http://schemas.openxmlformats.org/officeDocument/2006/relationships/worksheet" Target="worksheets/sheet71.xml"/><Relationship Id="rId74" Type="http://schemas.openxmlformats.org/officeDocument/2006/relationships/worksheet" Target="worksheets/sheet70.xml"/><Relationship Id="rId77" Type="http://schemas.openxmlformats.org/officeDocument/2006/relationships/worksheet" Target="worksheets/sheet73.xml"/><Relationship Id="rId76" Type="http://schemas.openxmlformats.org/officeDocument/2006/relationships/worksheet" Target="worksheets/sheet72.xml"/><Relationship Id="rId79" Type="http://schemas.openxmlformats.org/officeDocument/2006/relationships/worksheet" Target="worksheets/sheet75.xml"/><Relationship Id="rId78" Type="http://schemas.openxmlformats.org/officeDocument/2006/relationships/worksheet" Target="worksheets/sheet74.xml"/><Relationship Id="rId71" Type="http://schemas.openxmlformats.org/officeDocument/2006/relationships/worksheet" Target="worksheets/sheet67.xml"/><Relationship Id="rId70" Type="http://schemas.openxmlformats.org/officeDocument/2006/relationships/worksheet" Target="worksheets/sheet66.xml"/><Relationship Id="rId139" Type="http://schemas.openxmlformats.org/officeDocument/2006/relationships/worksheet" Target="worksheets/sheet135.xml"/><Relationship Id="rId138" Type="http://schemas.openxmlformats.org/officeDocument/2006/relationships/worksheet" Target="worksheets/sheet134.xml"/><Relationship Id="rId137" Type="http://schemas.openxmlformats.org/officeDocument/2006/relationships/worksheet" Target="worksheets/sheet133.xml"/><Relationship Id="rId132" Type="http://schemas.openxmlformats.org/officeDocument/2006/relationships/worksheet" Target="worksheets/sheet128.xml"/><Relationship Id="rId131" Type="http://schemas.openxmlformats.org/officeDocument/2006/relationships/worksheet" Target="worksheets/sheet127.xml"/><Relationship Id="rId130" Type="http://schemas.openxmlformats.org/officeDocument/2006/relationships/worksheet" Target="worksheets/sheet126.xml"/><Relationship Id="rId136" Type="http://schemas.openxmlformats.org/officeDocument/2006/relationships/worksheet" Target="worksheets/sheet132.xml"/><Relationship Id="rId135" Type="http://schemas.openxmlformats.org/officeDocument/2006/relationships/worksheet" Target="worksheets/sheet131.xml"/><Relationship Id="rId134" Type="http://schemas.openxmlformats.org/officeDocument/2006/relationships/worksheet" Target="worksheets/sheet130.xml"/><Relationship Id="rId133" Type="http://schemas.openxmlformats.org/officeDocument/2006/relationships/worksheet" Target="worksheets/sheet129.xml"/><Relationship Id="rId62" Type="http://schemas.openxmlformats.org/officeDocument/2006/relationships/worksheet" Target="worksheets/sheet58.xml"/><Relationship Id="rId61" Type="http://schemas.openxmlformats.org/officeDocument/2006/relationships/worksheet" Target="worksheets/sheet57.xml"/><Relationship Id="rId64" Type="http://schemas.openxmlformats.org/officeDocument/2006/relationships/worksheet" Target="worksheets/sheet60.xml"/><Relationship Id="rId63" Type="http://schemas.openxmlformats.org/officeDocument/2006/relationships/worksheet" Target="worksheets/sheet59.xml"/><Relationship Id="rId66" Type="http://schemas.openxmlformats.org/officeDocument/2006/relationships/worksheet" Target="worksheets/sheet62.xml"/><Relationship Id="rId65" Type="http://schemas.openxmlformats.org/officeDocument/2006/relationships/worksheet" Target="worksheets/sheet61.xml"/><Relationship Id="rId68" Type="http://schemas.openxmlformats.org/officeDocument/2006/relationships/worksheet" Target="worksheets/sheet64.xml"/><Relationship Id="rId67" Type="http://schemas.openxmlformats.org/officeDocument/2006/relationships/worksheet" Target="worksheets/sheet63.xml"/><Relationship Id="rId60" Type="http://schemas.openxmlformats.org/officeDocument/2006/relationships/worksheet" Target="worksheets/sheet56.xml"/><Relationship Id="rId69" Type="http://schemas.openxmlformats.org/officeDocument/2006/relationships/worksheet" Target="worksheets/sheet65.xml"/><Relationship Id="rId51" Type="http://schemas.openxmlformats.org/officeDocument/2006/relationships/worksheet" Target="worksheets/sheet47.xml"/><Relationship Id="rId50" Type="http://schemas.openxmlformats.org/officeDocument/2006/relationships/worksheet" Target="worksheets/sheet46.xml"/><Relationship Id="rId53" Type="http://schemas.openxmlformats.org/officeDocument/2006/relationships/worksheet" Target="worksheets/sheet49.xml"/><Relationship Id="rId52" Type="http://schemas.openxmlformats.org/officeDocument/2006/relationships/worksheet" Target="worksheets/sheet48.xml"/><Relationship Id="rId55" Type="http://schemas.openxmlformats.org/officeDocument/2006/relationships/worksheet" Target="worksheets/sheet51.xml"/><Relationship Id="rId54" Type="http://schemas.openxmlformats.org/officeDocument/2006/relationships/worksheet" Target="worksheets/sheet50.xml"/><Relationship Id="rId57" Type="http://schemas.openxmlformats.org/officeDocument/2006/relationships/worksheet" Target="worksheets/sheet53.xml"/><Relationship Id="rId56" Type="http://schemas.openxmlformats.org/officeDocument/2006/relationships/worksheet" Target="worksheets/sheet52.xml"/><Relationship Id="rId59" Type="http://schemas.openxmlformats.org/officeDocument/2006/relationships/worksheet" Target="worksheets/sheet55.xml"/><Relationship Id="rId58" Type="http://schemas.openxmlformats.org/officeDocument/2006/relationships/worksheet" Target="worksheets/sheet54.xml"/><Relationship Id="rId107" Type="http://schemas.openxmlformats.org/officeDocument/2006/relationships/worksheet" Target="worksheets/sheet103.xml"/><Relationship Id="rId106" Type="http://schemas.openxmlformats.org/officeDocument/2006/relationships/worksheet" Target="worksheets/sheet102.xml"/><Relationship Id="rId105" Type="http://schemas.openxmlformats.org/officeDocument/2006/relationships/worksheet" Target="worksheets/sheet101.xml"/><Relationship Id="rId104" Type="http://schemas.openxmlformats.org/officeDocument/2006/relationships/worksheet" Target="worksheets/sheet100.xml"/><Relationship Id="rId109" Type="http://schemas.openxmlformats.org/officeDocument/2006/relationships/worksheet" Target="worksheets/sheet105.xml"/><Relationship Id="rId108" Type="http://schemas.openxmlformats.org/officeDocument/2006/relationships/worksheet" Target="worksheets/sheet104.xml"/><Relationship Id="rId103" Type="http://schemas.openxmlformats.org/officeDocument/2006/relationships/worksheet" Target="worksheets/sheet99.xml"/><Relationship Id="rId102" Type="http://schemas.openxmlformats.org/officeDocument/2006/relationships/worksheet" Target="worksheets/sheet98.xml"/><Relationship Id="rId101" Type="http://schemas.openxmlformats.org/officeDocument/2006/relationships/worksheet" Target="worksheets/sheet97.xml"/><Relationship Id="rId100" Type="http://schemas.openxmlformats.org/officeDocument/2006/relationships/worksheet" Target="worksheets/sheet96.xml"/><Relationship Id="rId129" Type="http://schemas.openxmlformats.org/officeDocument/2006/relationships/worksheet" Target="worksheets/sheet125.xml"/><Relationship Id="rId128" Type="http://schemas.openxmlformats.org/officeDocument/2006/relationships/worksheet" Target="worksheets/sheet124.xml"/><Relationship Id="rId127" Type="http://schemas.openxmlformats.org/officeDocument/2006/relationships/worksheet" Target="worksheets/sheet123.xml"/><Relationship Id="rId126" Type="http://schemas.openxmlformats.org/officeDocument/2006/relationships/worksheet" Target="worksheets/sheet122.xml"/><Relationship Id="rId121" Type="http://schemas.openxmlformats.org/officeDocument/2006/relationships/worksheet" Target="worksheets/sheet117.xml"/><Relationship Id="rId120" Type="http://schemas.openxmlformats.org/officeDocument/2006/relationships/worksheet" Target="worksheets/sheet116.xml"/><Relationship Id="rId125" Type="http://schemas.openxmlformats.org/officeDocument/2006/relationships/worksheet" Target="worksheets/sheet121.xml"/><Relationship Id="rId124" Type="http://schemas.openxmlformats.org/officeDocument/2006/relationships/worksheet" Target="worksheets/sheet120.xml"/><Relationship Id="rId123" Type="http://schemas.openxmlformats.org/officeDocument/2006/relationships/worksheet" Target="worksheets/sheet119.xml"/><Relationship Id="rId122" Type="http://schemas.openxmlformats.org/officeDocument/2006/relationships/worksheet" Target="worksheets/sheet118.xml"/><Relationship Id="rId95" Type="http://schemas.openxmlformats.org/officeDocument/2006/relationships/worksheet" Target="worksheets/sheet91.xml"/><Relationship Id="rId94" Type="http://schemas.openxmlformats.org/officeDocument/2006/relationships/worksheet" Target="worksheets/sheet90.xml"/><Relationship Id="rId97" Type="http://schemas.openxmlformats.org/officeDocument/2006/relationships/worksheet" Target="worksheets/sheet93.xml"/><Relationship Id="rId96" Type="http://schemas.openxmlformats.org/officeDocument/2006/relationships/worksheet" Target="worksheets/sheet92.xml"/><Relationship Id="rId99" Type="http://schemas.openxmlformats.org/officeDocument/2006/relationships/worksheet" Target="worksheets/sheet95.xml"/><Relationship Id="rId98" Type="http://schemas.openxmlformats.org/officeDocument/2006/relationships/worksheet" Target="worksheets/sheet94.xml"/><Relationship Id="rId91" Type="http://schemas.openxmlformats.org/officeDocument/2006/relationships/worksheet" Target="worksheets/sheet87.xml"/><Relationship Id="rId90" Type="http://schemas.openxmlformats.org/officeDocument/2006/relationships/worksheet" Target="worksheets/sheet86.xml"/><Relationship Id="rId93" Type="http://schemas.openxmlformats.org/officeDocument/2006/relationships/worksheet" Target="worksheets/sheet89.xml"/><Relationship Id="rId92" Type="http://schemas.openxmlformats.org/officeDocument/2006/relationships/worksheet" Target="worksheets/sheet88.xml"/><Relationship Id="rId118" Type="http://schemas.openxmlformats.org/officeDocument/2006/relationships/worksheet" Target="worksheets/sheet114.xml"/><Relationship Id="rId117" Type="http://schemas.openxmlformats.org/officeDocument/2006/relationships/worksheet" Target="worksheets/sheet113.xml"/><Relationship Id="rId116" Type="http://schemas.openxmlformats.org/officeDocument/2006/relationships/worksheet" Target="worksheets/sheet112.xml"/><Relationship Id="rId115" Type="http://schemas.openxmlformats.org/officeDocument/2006/relationships/worksheet" Target="worksheets/sheet111.xml"/><Relationship Id="rId119" Type="http://schemas.openxmlformats.org/officeDocument/2006/relationships/worksheet" Target="worksheets/sheet115.xml"/><Relationship Id="rId110" Type="http://schemas.openxmlformats.org/officeDocument/2006/relationships/worksheet" Target="worksheets/sheet106.xml"/><Relationship Id="rId114" Type="http://schemas.openxmlformats.org/officeDocument/2006/relationships/worksheet" Target="worksheets/sheet110.xml"/><Relationship Id="rId113" Type="http://schemas.openxmlformats.org/officeDocument/2006/relationships/worksheet" Target="worksheets/sheet109.xml"/><Relationship Id="rId112" Type="http://schemas.openxmlformats.org/officeDocument/2006/relationships/worksheet" Target="worksheets/sheet108.xml"/><Relationship Id="rId111" Type="http://schemas.openxmlformats.org/officeDocument/2006/relationships/worksheet" Target="worksheets/sheet107.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K221" displayName="Meeting_log" name="Meeting_log" id="1">
  <tableColumns count="11">
    <tableColumn name="Tuần" id="1"/>
    <tableColumn name="Thời gian họp" id="2"/>
    <tableColumn name="Customer ID" id="3"/>
    <tableColumn name="Project ID" id="4"/>
    <tableColumn name="Team" id="5"/>
    <tableColumn name="Leader tham gia họp" id="6"/>
    <tableColumn name="Tên cuộc họp" id="7"/>
    <tableColumn name="Thời lượng" id="8"/>
    <tableColumn name="Link video" id="9"/>
    <tableColumn name="Summary" id="10"/>
    <tableColumn name="Link summary" id="11"/>
  </tableColumns>
  <tableStyleInfo name="Meeting Log-style" showColumnStripes="0" showFirstColumn="1" showLastColumn="1" showRowStripes="1"/>
</table>
</file>

<file path=xl/tables/table2.xml><?xml version="1.0" encoding="utf-8"?>
<table xmlns="http://schemas.openxmlformats.org/spreadsheetml/2006/main" ref="E17:H27" displayName="Task" name="Task" id="2">
  <tableColumns count="4">
    <tableColumn name="Task" id="1"/>
    <tableColumn name="Member" id="2"/>
    <tableColumn name="Deadline" id="3"/>
    <tableColumn name="Note" id="4"/>
  </tableColumns>
  <tableStyleInfo name="26-04-09 - 095330-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docs.google.com/spreadsheets/d/12lhXE87vYPpYwXjT63f0GqBLJKSF49f5hwN5iJ0w4IY/edit" TargetMode="External"/><Relationship Id="rId190" Type="http://schemas.openxmlformats.org/officeDocument/2006/relationships/hyperlink" Target="https://docs.google.com/spreadsheets/d/12lhXE87vYPpYwXjT63f0GqBLJKSF49f5hwN5iJ0w4IY/edit" TargetMode="External"/><Relationship Id="rId42" Type="http://schemas.openxmlformats.org/officeDocument/2006/relationships/hyperlink" Target="https://docs.google.com/spreadsheets/d/12lhXE87vYPpYwXjT63f0GqBLJKSF49f5hwN5iJ0w4IY/edit" TargetMode="External"/><Relationship Id="rId41" Type="http://schemas.openxmlformats.org/officeDocument/2006/relationships/hyperlink" Target="https://drive.google.com/file/d/1WZvWYGiR7DTrTLjKke81DaexBXTEZASa/view" TargetMode="External"/><Relationship Id="rId44" Type="http://schemas.openxmlformats.org/officeDocument/2006/relationships/hyperlink" Target="https://docs.google.com/spreadsheets/d/12lhXE87vYPpYwXjT63f0GqBLJKSF49f5hwN5iJ0w4IY/edit" TargetMode="External"/><Relationship Id="rId194" Type="http://schemas.openxmlformats.org/officeDocument/2006/relationships/hyperlink" Target="https://docs.google.com/spreadsheets/d/12lhXE87vYPpYwXjT63f0GqBLJKSF49f5hwN5iJ0w4IY/edit" TargetMode="External"/><Relationship Id="rId43" Type="http://schemas.openxmlformats.org/officeDocument/2006/relationships/hyperlink" Target="https://drive.google.com/file/d/1G_sP5X2DJ5cSb8Yrysnr35n2HLrGF61p/view" TargetMode="External"/><Relationship Id="rId193" Type="http://schemas.openxmlformats.org/officeDocument/2006/relationships/hyperlink" Target="https://drive.google.com/file/d/1FCohpx5WTfP5uA2pnx-C6WverDNL2o9y/view" TargetMode="External"/><Relationship Id="rId46" Type="http://schemas.openxmlformats.org/officeDocument/2006/relationships/hyperlink" Target="https://docs.google.com/spreadsheets/d/12lhXE87vYPpYwXjT63f0GqBLJKSF49f5hwN5iJ0w4IY/edit" TargetMode="External"/><Relationship Id="rId192" Type="http://schemas.openxmlformats.org/officeDocument/2006/relationships/hyperlink" Target="https://docs.google.com/spreadsheets/d/12lhXE87vYPpYwXjT63f0GqBLJKSF49f5hwN5iJ0w4IY/edit" TargetMode="External"/><Relationship Id="rId45" Type="http://schemas.openxmlformats.org/officeDocument/2006/relationships/hyperlink" Target="https://drive.google.com/file/d/1DH-IwdgSbLYNf3cXUFMXYiuBHPKdWope/view" TargetMode="External"/><Relationship Id="rId191" Type="http://schemas.openxmlformats.org/officeDocument/2006/relationships/hyperlink" Target="https://drive.google.com/file/d/1gYW5ZILEf0HqBvSudWNEO4vlYAYSswGi/view" TargetMode="External"/><Relationship Id="rId48" Type="http://schemas.openxmlformats.org/officeDocument/2006/relationships/hyperlink" Target="https://docs.google.com/spreadsheets/d/12lhXE87vYPpYwXjT63f0GqBLJKSF49f5hwN5iJ0w4IY/edit" TargetMode="External"/><Relationship Id="rId187" Type="http://schemas.openxmlformats.org/officeDocument/2006/relationships/hyperlink" Target="https://drive.google.com/file/d/1IVxldxW9abo6nmcsidplcpM3mE10XWTZ/view" TargetMode="External"/><Relationship Id="rId47" Type="http://schemas.openxmlformats.org/officeDocument/2006/relationships/hyperlink" Target="https://drive.google.com/file/d/1MlYsydeNsgUs8uN1i7v8rn4wxCZZiWvL/view" TargetMode="External"/><Relationship Id="rId186" Type="http://schemas.openxmlformats.org/officeDocument/2006/relationships/hyperlink" Target="https://docs.google.com/spreadsheets/d/12lhXE87vYPpYwXjT63f0GqBLJKSF49f5hwN5iJ0w4IY/edit" TargetMode="External"/><Relationship Id="rId185" Type="http://schemas.openxmlformats.org/officeDocument/2006/relationships/hyperlink" Target="https://drive.google.com/file/d/1OvYF-BBGcMXtNOQnKdK-7MfeDq07DVxN/view" TargetMode="External"/><Relationship Id="rId49" Type="http://schemas.openxmlformats.org/officeDocument/2006/relationships/hyperlink" Target="https://drive.google.com/file/d/1dfjwogjfFQGj0prLq4HcR63M7o68WcdB/view" TargetMode="External"/><Relationship Id="rId184" Type="http://schemas.openxmlformats.org/officeDocument/2006/relationships/hyperlink" Target="https://docs.google.com/spreadsheets/d/12lhXE87vYPpYwXjT63f0GqBLJKSF49f5hwN5iJ0w4IY/edit" TargetMode="External"/><Relationship Id="rId189" Type="http://schemas.openxmlformats.org/officeDocument/2006/relationships/hyperlink" Target="https://drive.google.com/file/d/1RTJ80_fUDhZfadPcqsTD6CalX5THiG3m/view" TargetMode="External"/><Relationship Id="rId188" Type="http://schemas.openxmlformats.org/officeDocument/2006/relationships/hyperlink" Target="https://docs.google.com/spreadsheets/d/12lhXE87vYPpYwXjT63f0GqBLJKSF49f5hwN5iJ0w4IY/edit" TargetMode="External"/><Relationship Id="rId31" Type="http://schemas.openxmlformats.org/officeDocument/2006/relationships/hyperlink" Target="https://drive.google.com/file/d/1AEx8XdxK96hgqE0sAVoP1p0szZp-h3Xf/view" TargetMode="External"/><Relationship Id="rId30" Type="http://schemas.openxmlformats.org/officeDocument/2006/relationships/hyperlink" Target="https://docs.google.com/spreadsheets/d/12lhXE87vYPpYwXjT63f0GqBLJKSF49f5hwN5iJ0w4IY/edit" TargetMode="External"/><Relationship Id="rId33" Type="http://schemas.openxmlformats.org/officeDocument/2006/relationships/hyperlink" Target="https://drive.google.com/file/d/1GErmKECgJp7mvkqXAhmBUGVLufDrHj4V/view" TargetMode="External"/><Relationship Id="rId183" Type="http://schemas.openxmlformats.org/officeDocument/2006/relationships/hyperlink" Target="https://drive.google.com/file/d/1j2nA534lttAEeeP3RZbGpZGFt9vioDB9/view" TargetMode="External"/><Relationship Id="rId32" Type="http://schemas.openxmlformats.org/officeDocument/2006/relationships/hyperlink" Target="https://docs.google.com/spreadsheets/d/12lhXE87vYPpYwXjT63f0GqBLJKSF49f5hwN5iJ0w4IY/edit" TargetMode="External"/><Relationship Id="rId182" Type="http://schemas.openxmlformats.org/officeDocument/2006/relationships/hyperlink" Target="https://docs.google.com/spreadsheets/d/12lhXE87vYPpYwXjT63f0GqBLJKSF49f5hwN5iJ0w4IY/edit" TargetMode="External"/><Relationship Id="rId35" Type="http://schemas.openxmlformats.org/officeDocument/2006/relationships/hyperlink" Target="https://drive.google.com/file/d/1-ES6CXeqB3vXzkuAUbqYPxfmSKx5xmDH/view" TargetMode="External"/><Relationship Id="rId181" Type="http://schemas.openxmlformats.org/officeDocument/2006/relationships/hyperlink" Target="https://drive.google.com/file/d/15sVasj0VtY7XQU6gD1W3Yfnaqq0XH0Ro/view" TargetMode="External"/><Relationship Id="rId34" Type="http://schemas.openxmlformats.org/officeDocument/2006/relationships/hyperlink" Target="https://docs.google.com/spreadsheets/d/12lhXE87vYPpYwXjT63f0GqBLJKSF49f5hwN5iJ0w4IY/edit" TargetMode="External"/><Relationship Id="rId180" Type="http://schemas.openxmlformats.org/officeDocument/2006/relationships/hyperlink" Target="https://docs.google.com/spreadsheets/d/12lhXE87vYPpYwXjT63f0GqBLJKSF49f5hwN5iJ0w4IY/edit" TargetMode="External"/><Relationship Id="rId37" Type="http://schemas.openxmlformats.org/officeDocument/2006/relationships/hyperlink" Target="https://drive.google.com/file/d/13N0Yuj2PpzXr9eXI7T3KYUFLJ9G5RckD/view" TargetMode="External"/><Relationship Id="rId176" Type="http://schemas.openxmlformats.org/officeDocument/2006/relationships/hyperlink" Target="https://docs.google.com/spreadsheets/d/12lhXE87vYPpYwXjT63f0GqBLJKSF49f5hwN5iJ0w4IY/edit" TargetMode="External"/><Relationship Id="rId36" Type="http://schemas.openxmlformats.org/officeDocument/2006/relationships/hyperlink" Target="https://docs.google.com/spreadsheets/d/12lhXE87vYPpYwXjT63f0GqBLJKSF49f5hwN5iJ0w4IY/edit" TargetMode="External"/><Relationship Id="rId175" Type="http://schemas.openxmlformats.org/officeDocument/2006/relationships/hyperlink" Target="https://drive.google.com/file/d/1ikhxgL2ziXEvi6TTpgAwLI0PhQDnH3Ni/view" TargetMode="External"/><Relationship Id="rId39" Type="http://schemas.openxmlformats.org/officeDocument/2006/relationships/hyperlink" Target="https://drive.google.com/file/d/1qXKMs2gTrCtIt_rfMycKHZfA5eTV7k67/view" TargetMode="External"/><Relationship Id="rId174" Type="http://schemas.openxmlformats.org/officeDocument/2006/relationships/hyperlink" Target="https://docs.google.com/spreadsheets/d/12lhXE87vYPpYwXjT63f0GqBLJKSF49f5hwN5iJ0w4IY/edit" TargetMode="External"/><Relationship Id="rId38" Type="http://schemas.openxmlformats.org/officeDocument/2006/relationships/hyperlink" Target="https://docs.google.com/spreadsheets/d/12lhXE87vYPpYwXjT63f0GqBLJKSF49f5hwN5iJ0w4IY/edit" TargetMode="External"/><Relationship Id="rId173" Type="http://schemas.openxmlformats.org/officeDocument/2006/relationships/hyperlink" Target="https://drive.google.com/file/d/12J_UdGHAslBAKgNT7wIRYPLRr3o2k7NK/view" TargetMode="External"/><Relationship Id="rId179" Type="http://schemas.openxmlformats.org/officeDocument/2006/relationships/hyperlink" Target="https://drive.google.com/file/d/1WkOgJUMKp0EE5X-7pvUBV4j-lgzLvgwE/view" TargetMode="External"/><Relationship Id="rId178" Type="http://schemas.openxmlformats.org/officeDocument/2006/relationships/hyperlink" Target="https://docs.google.com/spreadsheets/d/12lhXE87vYPpYwXjT63f0GqBLJKSF49f5hwN5iJ0w4IY/edit" TargetMode="External"/><Relationship Id="rId177" Type="http://schemas.openxmlformats.org/officeDocument/2006/relationships/hyperlink" Target="https://drive.google.com/file/d/1hoMeYo3VgOw6k8Pyrb2_u0Pyyd_wTkpN/view" TargetMode="External"/><Relationship Id="rId20" Type="http://schemas.openxmlformats.org/officeDocument/2006/relationships/hyperlink" Target="https://docs.google.com/spreadsheets/d/12lhXE87vYPpYwXjT63f0GqBLJKSF49f5hwN5iJ0w4IY/edit" TargetMode="External"/><Relationship Id="rId22" Type="http://schemas.openxmlformats.org/officeDocument/2006/relationships/hyperlink" Target="https://docs.google.com/spreadsheets/d/12lhXE87vYPpYwXjT63f0GqBLJKSF49f5hwN5iJ0w4IY/edit" TargetMode="External"/><Relationship Id="rId21" Type="http://schemas.openxmlformats.org/officeDocument/2006/relationships/hyperlink" Target="https://drive.google.com/file/d/1ai8cUYF37bI0yh-lGP8pehUP1ODRl4v_/view" TargetMode="External"/><Relationship Id="rId24" Type="http://schemas.openxmlformats.org/officeDocument/2006/relationships/hyperlink" Target="https://docs.google.com/spreadsheets/d/12lhXE87vYPpYwXjT63f0GqBLJKSF49f5hwN5iJ0w4IY/edit" TargetMode="External"/><Relationship Id="rId23" Type="http://schemas.openxmlformats.org/officeDocument/2006/relationships/hyperlink" Target="https://drive.google.com/file/d/1nXJ14va6f5kKJHUlbT4xOVFVYVVSvZsU/view" TargetMode="External"/><Relationship Id="rId26" Type="http://schemas.openxmlformats.org/officeDocument/2006/relationships/hyperlink" Target="https://docs.google.com/spreadsheets/d/12lhXE87vYPpYwXjT63f0GqBLJKSF49f5hwN5iJ0w4IY/edit" TargetMode="External"/><Relationship Id="rId25" Type="http://schemas.openxmlformats.org/officeDocument/2006/relationships/hyperlink" Target="https://drive.google.com/file/d/1bB7_WO_REYujtO_YHO_mxvpiO0WX_F0X/view" TargetMode="External"/><Relationship Id="rId28" Type="http://schemas.openxmlformats.org/officeDocument/2006/relationships/hyperlink" Target="https://docs.google.com/spreadsheets/d/12lhXE87vYPpYwXjT63f0GqBLJKSF49f5hwN5iJ0w4IY/edit" TargetMode="External"/><Relationship Id="rId27" Type="http://schemas.openxmlformats.org/officeDocument/2006/relationships/hyperlink" Target="https://drive.google.com/file/d/1O-pmLtGbg6JktwZYDD4yfhjR6J1KDWDZ/view" TargetMode="External"/><Relationship Id="rId29" Type="http://schemas.openxmlformats.org/officeDocument/2006/relationships/hyperlink" Target="https://drive.google.com/file/d/1Y78c5QSeg9Wfkh8RNY4QduTkaCXvyx07/view" TargetMode="External"/><Relationship Id="rId11" Type="http://schemas.openxmlformats.org/officeDocument/2006/relationships/hyperlink" Target="https://drive.google.com/file/d/1B2RSNXxALN0azB8C3u46pc4h9bfSrDvr/view" TargetMode="External"/><Relationship Id="rId10" Type="http://schemas.openxmlformats.org/officeDocument/2006/relationships/hyperlink" Target="https://docs.google.com/spreadsheets/d/12lhXE87vYPpYwXjT63f0GqBLJKSF49f5hwN5iJ0w4IY/edit" TargetMode="External"/><Relationship Id="rId13" Type="http://schemas.openxmlformats.org/officeDocument/2006/relationships/hyperlink" Target="https://drive.google.com/file/d/1f0hmWLK7HI1xzJexXGPBlRfQj9Au6K_J/view" TargetMode="External"/><Relationship Id="rId12" Type="http://schemas.openxmlformats.org/officeDocument/2006/relationships/hyperlink" Target="https://docs.google.com/spreadsheets/d/12lhXE87vYPpYwXjT63f0GqBLJKSF49f5hwN5iJ0w4IY/edit" TargetMode="External"/><Relationship Id="rId15" Type="http://schemas.openxmlformats.org/officeDocument/2006/relationships/hyperlink" Target="https://drive.google.com/file/d/1IjDtJ7Q3sMK3y0IHj_i888PWgUdgRSol/view" TargetMode="External"/><Relationship Id="rId198" Type="http://schemas.openxmlformats.org/officeDocument/2006/relationships/hyperlink" Target="https://docs.google.com/spreadsheets/d/12lhXE87vYPpYwXjT63f0GqBLJKSF49f5hwN5iJ0w4IY/edit" TargetMode="External"/><Relationship Id="rId14" Type="http://schemas.openxmlformats.org/officeDocument/2006/relationships/hyperlink" Target="https://docs.google.com/spreadsheets/d/12lhXE87vYPpYwXjT63f0GqBLJKSF49f5hwN5iJ0w4IY/edit" TargetMode="External"/><Relationship Id="rId197" Type="http://schemas.openxmlformats.org/officeDocument/2006/relationships/hyperlink" Target="https://drive.google.com/file/d/1s3D-yY5u4Em1ioQpZe8-By8CXa5UEKB7/view" TargetMode="External"/><Relationship Id="rId17" Type="http://schemas.openxmlformats.org/officeDocument/2006/relationships/hyperlink" Target="https://drive.google.com/file/d/1qLqAMN6YYi0_oweCVMYrzMV8d-Sem-xi/view" TargetMode="External"/><Relationship Id="rId196" Type="http://schemas.openxmlformats.org/officeDocument/2006/relationships/hyperlink" Target="https://docs.google.com/spreadsheets/d/12lhXE87vYPpYwXjT63f0GqBLJKSF49f5hwN5iJ0w4IY/edit" TargetMode="External"/><Relationship Id="rId16" Type="http://schemas.openxmlformats.org/officeDocument/2006/relationships/hyperlink" Target="https://docs.google.com/spreadsheets/d/12lhXE87vYPpYwXjT63f0GqBLJKSF49f5hwN5iJ0w4IY/edit" TargetMode="External"/><Relationship Id="rId195" Type="http://schemas.openxmlformats.org/officeDocument/2006/relationships/hyperlink" Target="https://drive.google.com/file/d/1BHsvID3p-2wvBTXjvBgn72cHDa-W-ReK/view" TargetMode="External"/><Relationship Id="rId19" Type="http://schemas.openxmlformats.org/officeDocument/2006/relationships/hyperlink" Target="https://drive.google.com/file/d/1iK2_psXDe8E9X4cVdr79ccLHXTZ7_sCl/view" TargetMode="External"/><Relationship Id="rId18" Type="http://schemas.openxmlformats.org/officeDocument/2006/relationships/hyperlink" Target="https://docs.google.com/spreadsheets/d/12lhXE87vYPpYwXjT63f0GqBLJKSF49f5hwN5iJ0w4IY/edit" TargetMode="External"/><Relationship Id="rId199" Type="http://schemas.openxmlformats.org/officeDocument/2006/relationships/hyperlink" Target="https://drive.google.com/file/d/1tmlgo3isTgHNAg1ruLfIXA90eqW9z5ax/view" TargetMode="External"/><Relationship Id="rId84" Type="http://schemas.openxmlformats.org/officeDocument/2006/relationships/hyperlink" Target="https://docs.google.com/spreadsheets/d/12lhXE87vYPpYwXjT63f0GqBLJKSF49f5hwN5iJ0w4IY/edit" TargetMode="External"/><Relationship Id="rId83" Type="http://schemas.openxmlformats.org/officeDocument/2006/relationships/hyperlink" Target="https://drive.google.com/file/d/1eX0_2ftIZVobcn0iKbQMXpfGyk9aBYvi/view" TargetMode="External"/><Relationship Id="rId86" Type="http://schemas.openxmlformats.org/officeDocument/2006/relationships/hyperlink" Target="https://docs.google.com/spreadsheets/d/12lhXE87vYPpYwXjT63f0GqBLJKSF49f5hwN5iJ0w4IY/edit" TargetMode="External"/><Relationship Id="rId85" Type="http://schemas.openxmlformats.org/officeDocument/2006/relationships/hyperlink" Target="https://drive.google.com/file/d/12LK-yuOlpG1jBO4bj4yx4xv0UmTSThVv/view" TargetMode="External"/><Relationship Id="rId88" Type="http://schemas.openxmlformats.org/officeDocument/2006/relationships/hyperlink" Target="https://docs.google.com/spreadsheets/d/12lhXE87vYPpYwXjT63f0GqBLJKSF49f5hwN5iJ0w4IY/edit" TargetMode="External"/><Relationship Id="rId150" Type="http://schemas.openxmlformats.org/officeDocument/2006/relationships/hyperlink" Target="https://docs.google.com/spreadsheets/d/12lhXE87vYPpYwXjT63f0GqBLJKSF49f5hwN5iJ0w4IY/edit" TargetMode="External"/><Relationship Id="rId271" Type="http://schemas.openxmlformats.org/officeDocument/2006/relationships/hyperlink" Target="https://drive.google.com/file/d/1p8BOt9kZ-vFlTRBL0tlP7oqSofq9lQB1/view" TargetMode="External"/><Relationship Id="rId87" Type="http://schemas.openxmlformats.org/officeDocument/2006/relationships/hyperlink" Target="https://drive.google.com/file/d/1U_cJTai6M9kWoGr6eoAbtN8Xqrn1m3XM/view" TargetMode="External"/><Relationship Id="rId270" Type="http://schemas.openxmlformats.org/officeDocument/2006/relationships/hyperlink" Target="https://docs.google.com/spreadsheets/d/12lhXE87vYPpYwXjT63f0GqBLJKSF49f5hwN5iJ0w4IY/edit" TargetMode="External"/><Relationship Id="rId89" Type="http://schemas.openxmlformats.org/officeDocument/2006/relationships/hyperlink" Target="https://drive.google.com/file/d/1MhzzG2JkbV0oAo_IrSLcF6DdL-xsiOs_/view" TargetMode="External"/><Relationship Id="rId80" Type="http://schemas.openxmlformats.org/officeDocument/2006/relationships/hyperlink" Target="https://docs.google.com/spreadsheets/d/12lhXE87vYPpYwXjT63f0GqBLJKSF49f5hwN5iJ0w4IY/edit" TargetMode="External"/><Relationship Id="rId82" Type="http://schemas.openxmlformats.org/officeDocument/2006/relationships/hyperlink" Target="https://docs.google.com/spreadsheets/d/12lhXE87vYPpYwXjT63f0GqBLJKSF49f5hwN5iJ0w4IY/edit" TargetMode="External"/><Relationship Id="rId81" Type="http://schemas.openxmlformats.org/officeDocument/2006/relationships/hyperlink" Target="https://drive.google.com/file/d/1ncNvizKqrJYoYH2OvV824rT8g1LNWkp-/view" TargetMode="External"/><Relationship Id="rId1" Type="http://schemas.openxmlformats.org/officeDocument/2006/relationships/hyperlink" Target="https://drive.google.com/file/d/1HtQ2F5v-ltqNmogLJDiH0Nb2x84ga1sD/view" TargetMode="External"/><Relationship Id="rId2" Type="http://schemas.openxmlformats.org/officeDocument/2006/relationships/hyperlink" Target="https://docs.google.com/spreadsheets/d/12lhXE87vYPpYwXjT63f0GqBLJKSF49f5hwN5iJ0w4IY/edit" TargetMode="External"/><Relationship Id="rId3" Type="http://schemas.openxmlformats.org/officeDocument/2006/relationships/hyperlink" Target="https://drive.google.com/file/d/1MJp6uxIK7IZUOqHk2CpoIaUKLUqGo202/view" TargetMode="External"/><Relationship Id="rId149" Type="http://schemas.openxmlformats.org/officeDocument/2006/relationships/hyperlink" Target="https://drive.google.com/file/d/1NoynM5eVtyw1lIv6ASgmn_W3iUxq-GXa/view" TargetMode="External"/><Relationship Id="rId4" Type="http://schemas.openxmlformats.org/officeDocument/2006/relationships/hyperlink" Target="https://docs.google.com/spreadsheets/d/12lhXE87vYPpYwXjT63f0GqBLJKSF49f5hwN5iJ0w4IY/edit" TargetMode="External"/><Relationship Id="rId148" Type="http://schemas.openxmlformats.org/officeDocument/2006/relationships/hyperlink" Target="https://docs.google.com/spreadsheets/d/12lhXE87vYPpYwXjT63f0GqBLJKSF49f5hwN5iJ0w4IY/edit" TargetMode="External"/><Relationship Id="rId269" Type="http://schemas.openxmlformats.org/officeDocument/2006/relationships/hyperlink" Target="https://drive.google.com/file/d/1YeBh3NHdy6Wu4813HuIVYstFWUhsS-wr/view" TargetMode="External"/><Relationship Id="rId9" Type="http://schemas.openxmlformats.org/officeDocument/2006/relationships/hyperlink" Target="https://drive.google.com/file/d/1n_31MrVCXHBtMc-W229Ks7266zaiEn1h/view" TargetMode="External"/><Relationship Id="rId143" Type="http://schemas.openxmlformats.org/officeDocument/2006/relationships/hyperlink" Target="https://drive.google.com/file/d/1JuL3i-XfmPp_gmIlfh7MUk0WtsQ6uWmp/view" TargetMode="External"/><Relationship Id="rId264" Type="http://schemas.openxmlformats.org/officeDocument/2006/relationships/hyperlink" Target="https://docs.google.com/spreadsheets/d/12lhXE87vYPpYwXjT63f0GqBLJKSF49f5hwN5iJ0w4IY/edit" TargetMode="External"/><Relationship Id="rId142" Type="http://schemas.openxmlformats.org/officeDocument/2006/relationships/hyperlink" Target="https://docs.google.com/spreadsheets/d/12lhXE87vYPpYwXjT63f0GqBLJKSF49f5hwN5iJ0w4IY/edit" TargetMode="External"/><Relationship Id="rId263" Type="http://schemas.openxmlformats.org/officeDocument/2006/relationships/hyperlink" Target="https://drive.google.com/file/d/1i1Q4G_qxQlyuY6y17BQHUqkcrqGojsJv/view" TargetMode="External"/><Relationship Id="rId141" Type="http://schemas.openxmlformats.org/officeDocument/2006/relationships/hyperlink" Target="https://drive.google.com/file/d/1HZ45iEkYnkETBehekKazr9LbSaBR2Cp7/view" TargetMode="External"/><Relationship Id="rId262" Type="http://schemas.openxmlformats.org/officeDocument/2006/relationships/hyperlink" Target="https://docs.google.com/spreadsheets/d/12lhXE87vYPpYwXjT63f0GqBLJKSF49f5hwN5iJ0w4IY/edit" TargetMode="External"/><Relationship Id="rId140" Type="http://schemas.openxmlformats.org/officeDocument/2006/relationships/hyperlink" Target="https://docs.google.com/spreadsheets/d/12lhXE87vYPpYwXjT63f0GqBLJKSF49f5hwN5iJ0w4IY/edit" TargetMode="External"/><Relationship Id="rId261" Type="http://schemas.openxmlformats.org/officeDocument/2006/relationships/hyperlink" Target="https://drive.google.com/file/d/1cYueR9_BWTlw8i0bK8b_qWJle0f0MMgG/view" TargetMode="External"/><Relationship Id="rId5" Type="http://schemas.openxmlformats.org/officeDocument/2006/relationships/hyperlink" Target="https://drive.google.com/file/d/1a5o7qbQvD1tpvSXqehvkBZt0VzSf94H6/view" TargetMode="External"/><Relationship Id="rId147" Type="http://schemas.openxmlformats.org/officeDocument/2006/relationships/hyperlink" Target="https://drive.google.com/file/d/1P2giqrV2hUToSnil4vldFkjCPZcuCFdj/view" TargetMode="External"/><Relationship Id="rId268" Type="http://schemas.openxmlformats.org/officeDocument/2006/relationships/hyperlink" Target="https://docs.google.com/spreadsheets/d/12lhXE87vYPpYwXjT63f0GqBLJKSF49f5hwN5iJ0w4IY/edit" TargetMode="External"/><Relationship Id="rId6" Type="http://schemas.openxmlformats.org/officeDocument/2006/relationships/hyperlink" Target="https://docs.google.com/spreadsheets/d/12lhXE87vYPpYwXjT63f0GqBLJKSF49f5hwN5iJ0w4IY/edit" TargetMode="External"/><Relationship Id="rId146" Type="http://schemas.openxmlformats.org/officeDocument/2006/relationships/hyperlink" Target="https://docs.google.com/spreadsheets/d/12lhXE87vYPpYwXjT63f0GqBLJKSF49f5hwN5iJ0w4IY/edit" TargetMode="External"/><Relationship Id="rId267" Type="http://schemas.openxmlformats.org/officeDocument/2006/relationships/hyperlink" Target="https://drive.google.com/file/d/1nJg-f2Zz3yRvRWGi6QeMZJt9RvpmM730/view" TargetMode="External"/><Relationship Id="rId7" Type="http://schemas.openxmlformats.org/officeDocument/2006/relationships/hyperlink" Target="https://drive.google.com/file/d/1yVME0-mzTpAKSAwPwOyRstGs7yY4qHws/view" TargetMode="External"/><Relationship Id="rId145" Type="http://schemas.openxmlformats.org/officeDocument/2006/relationships/hyperlink" Target="https://drive.google.com/file/d/1Q1pL4C7qCZPalzmOQX0_tCHeav4_3ru-/view" TargetMode="External"/><Relationship Id="rId266" Type="http://schemas.openxmlformats.org/officeDocument/2006/relationships/hyperlink" Target="https://docs.google.com/spreadsheets/d/12lhXE87vYPpYwXjT63f0GqBLJKSF49f5hwN5iJ0w4IY/edit" TargetMode="External"/><Relationship Id="rId8" Type="http://schemas.openxmlformats.org/officeDocument/2006/relationships/hyperlink" Target="https://docs.google.com/spreadsheets/d/12lhXE87vYPpYwXjT63f0GqBLJKSF49f5hwN5iJ0w4IY/edit" TargetMode="External"/><Relationship Id="rId144" Type="http://schemas.openxmlformats.org/officeDocument/2006/relationships/hyperlink" Target="https://docs.google.com/spreadsheets/d/12lhXE87vYPpYwXjT63f0GqBLJKSF49f5hwN5iJ0w4IY/edit" TargetMode="External"/><Relationship Id="rId265" Type="http://schemas.openxmlformats.org/officeDocument/2006/relationships/hyperlink" Target="https://drive.google.com/file/d/1_Yyyc4vszsoXb4kiMHurrO68HVPFArO9/view" TargetMode="External"/><Relationship Id="rId73" Type="http://schemas.openxmlformats.org/officeDocument/2006/relationships/hyperlink" Target="https://drive.google.com/file/d/1bm39Z6XypDiVjh_kDy8YMRV4013fFtiL/view" TargetMode="External"/><Relationship Id="rId72" Type="http://schemas.openxmlformats.org/officeDocument/2006/relationships/hyperlink" Target="https://docs.google.com/spreadsheets/d/12lhXE87vYPpYwXjT63f0GqBLJKSF49f5hwN5iJ0w4IY/edit" TargetMode="External"/><Relationship Id="rId75" Type="http://schemas.openxmlformats.org/officeDocument/2006/relationships/hyperlink" Target="https://drive.google.com/file/d/1TKddrQF69QjiMuSkIh-VXENbazaJXyMV/view" TargetMode="External"/><Relationship Id="rId74" Type="http://schemas.openxmlformats.org/officeDocument/2006/relationships/hyperlink" Target="https://docs.google.com/spreadsheets/d/12lhXE87vYPpYwXjT63f0GqBLJKSF49f5hwN5iJ0w4IY/edit" TargetMode="External"/><Relationship Id="rId77" Type="http://schemas.openxmlformats.org/officeDocument/2006/relationships/hyperlink" Target="https://drive.google.com/file/d/1KnKt2fSsYqLNqGxD50n-K5EZq2fAWFKg/view" TargetMode="External"/><Relationship Id="rId260" Type="http://schemas.openxmlformats.org/officeDocument/2006/relationships/hyperlink" Target="https://docs.google.com/spreadsheets/d/12lhXE87vYPpYwXjT63f0GqBLJKSF49f5hwN5iJ0w4IY/edit" TargetMode="External"/><Relationship Id="rId76" Type="http://schemas.openxmlformats.org/officeDocument/2006/relationships/hyperlink" Target="https://docs.google.com/spreadsheets/d/12lhXE87vYPpYwXjT63f0GqBLJKSF49f5hwN5iJ0w4IY/edit" TargetMode="External"/><Relationship Id="rId79" Type="http://schemas.openxmlformats.org/officeDocument/2006/relationships/hyperlink" Target="https://drive.google.com/file/d/1YdKsABksKpHSiW4VunG_QLN7mIZxFmsb/view" TargetMode="External"/><Relationship Id="rId78" Type="http://schemas.openxmlformats.org/officeDocument/2006/relationships/hyperlink" Target="https://docs.google.com/spreadsheets/d/12lhXE87vYPpYwXjT63f0GqBLJKSF49f5hwN5iJ0w4IY/edit" TargetMode="External"/><Relationship Id="rId71" Type="http://schemas.openxmlformats.org/officeDocument/2006/relationships/hyperlink" Target="https://drive.google.com/file/d/1WRlMGV6hk8Y-GwMUZNqsPQJ7Gz1totH-/view" TargetMode="External"/><Relationship Id="rId70" Type="http://schemas.openxmlformats.org/officeDocument/2006/relationships/hyperlink" Target="https://docs.google.com/spreadsheets/d/12lhXE87vYPpYwXjT63f0GqBLJKSF49f5hwN5iJ0w4IY/edit" TargetMode="External"/><Relationship Id="rId139" Type="http://schemas.openxmlformats.org/officeDocument/2006/relationships/hyperlink" Target="https://drive.google.com/file/d/1CAOaHdv8ccJqGXQu2RPbAce4BCmnZc91/view" TargetMode="External"/><Relationship Id="rId138" Type="http://schemas.openxmlformats.org/officeDocument/2006/relationships/hyperlink" Target="https://docs.google.com/spreadsheets/d/12lhXE87vYPpYwXjT63f0GqBLJKSF49f5hwN5iJ0w4IY/edit" TargetMode="External"/><Relationship Id="rId259" Type="http://schemas.openxmlformats.org/officeDocument/2006/relationships/hyperlink" Target="https://drive.google.com/file/d/133j5vCMuk01IVPRmQ8LpRBiPwgh5_tR9/view" TargetMode="External"/><Relationship Id="rId137" Type="http://schemas.openxmlformats.org/officeDocument/2006/relationships/hyperlink" Target="https://drive.google.com/file/d/1roqF5pxhcZ3ujMvI4-BLCZHCiP-UqP8k/view" TargetMode="External"/><Relationship Id="rId258" Type="http://schemas.openxmlformats.org/officeDocument/2006/relationships/hyperlink" Target="https://docs.google.com/spreadsheets/d/12lhXE87vYPpYwXjT63f0GqBLJKSF49f5hwN5iJ0w4IY/edit" TargetMode="External"/><Relationship Id="rId132" Type="http://schemas.openxmlformats.org/officeDocument/2006/relationships/hyperlink" Target="https://docs.google.com/spreadsheets/d/12lhXE87vYPpYwXjT63f0GqBLJKSF49f5hwN5iJ0w4IY/edit" TargetMode="External"/><Relationship Id="rId253" Type="http://schemas.openxmlformats.org/officeDocument/2006/relationships/hyperlink" Target="https://drive.google.com/file/d/1GZ6RTJjI1-H_HQ7vng7sW2IKdRGLCq59/view" TargetMode="External"/><Relationship Id="rId131" Type="http://schemas.openxmlformats.org/officeDocument/2006/relationships/hyperlink" Target="https://drive.google.com/file/d/14oaqDZOVTW9toJ-cFtfsa63MFsRfdf-l/view" TargetMode="External"/><Relationship Id="rId252" Type="http://schemas.openxmlformats.org/officeDocument/2006/relationships/hyperlink" Target="https://docs.google.com/spreadsheets/d/12lhXE87vYPpYwXjT63f0GqBLJKSF49f5hwN5iJ0w4IY/edit" TargetMode="External"/><Relationship Id="rId130" Type="http://schemas.openxmlformats.org/officeDocument/2006/relationships/hyperlink" Target="https://docs.google.com/spreadsheets/d/12lhXE87vYPpYwXjT63f0GqBLJKSF49f5hwN5iJ0w4IY/edit" TargetMode="External"/><Relationship Id="rId251" Type="http://schemas.openxmlformats.org/officeDocument/2006/relationships/hyperlink" Target="https://drive.google.com/file/d/1IHk8RxEKoNpmIqYEzwxAV6bfqxpjD_92/view" TargetMode="External"/><Relationship Id="rId250" Type="http://schemas.openxmlformats.org/officeDocument/2006/relationships/hyperlink" Target="https://docs.google.com/spreadsheets/d/12lhXE87vYPpYwXjT63f0GqBLJKSF49f5hwN5iJ0w4IY/edit" TargetMode="External"/><Relationship Id="rId136" Type="http://schemas.openxmlformats.org/officeDocument/2006/relationships/hyperlink" Target="https://docs.google.com/spreadsheets/d/12lhXE87vYPpYwXjT63f0GqBLJKSF49f5hwN5iJ0w4IY/edit" TargetMode="External"/><Relationship Id="rId257" Type="http://schemas.openxmlformats.org/officeDocument/2006/relationships/hyperlink" Target="https://drive.google.com/file/d/1HJ-ey1f3vOOjYyjvStb4UJXOahApYLAI/view" TargetMode="External"/><Relationship Id="rId135" Type="http://schemas.openxmlformats.org/officeDocument/2006/relationships/hyperlink" Target="https://drive.google.com/file/d/1Oi9bYsKNftbR_3vFn9_0yFSVDswRTQeG/view" TargetMode="External"/><Relationship Id="rId256" Type="http://schemas.openxmlformats.org/officeDocument/2006/relationships/hyperlink" Target="https://docs.google.com/spreadsheets/d/12lhXE87vYPpYwXjT63f0GqBLJKSF49f5hwN5iJ0w4IY/edit" TargetMode="External"/><Relationship Id="rId134" Type="http://schemas.openxmlformats.org/officeDocument/2006/relationships/hyperlink" Target="https://docs.google.com/spreadsheets/d/12lhXE87vYPpYwXjT63f0GqBLJKSF49f5hwN5iJ0w4IY/edit" TargetMode="External"/><Relationship Id="rId255" Type="http://schemas.openxmlformats.org/officeDocument/2006/relationships/hyperlink" Target="https://drive.google.com/file/d/17EGXqw0J3M0evuPXZDMm-PdZxwHpZ9i_/view" TargetMode="External"/><Relationship Id="rId133" Type="http://schemas.openxmlformats.org/officeDocument/2006/relationships/hyperlink" Target="https://drive.google.com/file/d/1N2w-R3o1jLgIVNB0rDVD2OphhHb5iMIF/view" TargetMode="External"/><Relationship Id="rId254" Type="http://schemas.openxmlformats.org/officeDocument/2006/relationships/hyperlink" Target="https://docs.google.com/spreadsheets/d/12lhXE87vYPpYwXjT63f0GqBLJKSF49f5hwN5iJ0w4IY/edit" TargetMode="External"/><Relationship Id="rId62" Type="http://schemas.openxmlformats.org/officeDocument/2006/relationships/hyperlink" Target="https://docs.google.com/spreadsheets/d/12lhXE87vYPpYwXjT63f0GqBLJKSF49f5hwN5iJ0w4IY/edit" TargetMode="External"/><Relationship Id="rId61" Type="http://schemas.openxmlformats.org/officeDocument/2006/relationships/hyperlink" Target="https://drive.google.com/file/d/1cVB3tUg8Iy9IDrajvVSG9J4ZEf6mLoYv/view" TargetMode="External"/><Relationship Id="rId64" Type="http://schemas.openxmlformats.org/officeDocument/2006/relationships/hyperlink" Target="https://docs.google.com/spreadsheets/d/12lhXE87vYPpYwXjT63f0GqBLJKSF49f5hwN5iJ0w4IY/edit" TargetMode="External"/><Relationship Id="rId63" Type="http://schemas.openxmlformats.org/officeDocument/2006/relationships/hyperlink" Target="https://drive.google.com/file/d/1I3mK_Zt77DK8fZKQCzovg4ZlJG6yIoon/view" TargetMode="External"/><Relationship Id="rId66" Type="http://schemas.openxmlformats.org/officeDocument/2006/relationships/hyperlink" Target="https://docs.google.com/spreadsheets/d/12lhXE87vYPpYwXjT63f0GqBLJKSF49f5hwN5iJ0w4IY/edit" TargetMode="External"/><Relationship Id="rId172" Type="http://schemas.openxmlformats.org/officeDocument/2006/relationships/hyperlink" Target="https://docs.google.com/spreadsheets/d/12lhXE87vYPpYwXjT63f0GqBLJKSF49f5hwN5iJ0w4IY/edit" TargetMode="External"/><Relationship Id="rId65" Type="http://schemas.openxmlformats.org/officeDocument/2006/relationships/hyperlink" Target="https://drive.google.com/file/d/1TQof6Bm0ElNpoXOAIxU65xXqg1aokDgb/view" TargetMode="External"/><Relationship Id="rId171" Type="http://schemas.openxmlformats.org/officeDocument/2006/relationships/hyperlink" Target="https://drive.google.com/file/d/1mt4i3G4W_d9eCrE5Bjcona3T-bZT1l4c/view" TargetMode="External"/><Relationship Id="rId68" Type="http://schemas.openxmlformats.org/officeDocument/2006/relationships/hyperlink" Target="https://docs.google.com/spreadsheets/d/12lhXE87vYPpYwXjT63f0GqBLJKSF49f5hwN5iJ0w4IY/edit" TargetMode="External"/><Relationship Id="rId170" Type="http://schemas.openxmlformats.org/officeDocument/2006/relationships/hyperlink" Target="https://docs.google.com/spreadsheets/d/12lhXE87vYPpYwXjT63f0GqBLJKSF49f5hwN5iJ0w4IY/edit" TargetMode="External"/><Relationship Id="rId67" Type="http://schemas.openxmlformats.org/officeDocument/2006/relationships/hyperlink" Target="https://drive.google.com/file/d/17fnEq9xZJqX9O_KtOz4crX1QUSUM7t4B/view" TargetMode="External"/><Relationship Id="rId60" Type="http://schemas.openxmlformats.org/officeDocument/2006/relationships/hyperlink" Target="https://docs.google.com/spreadsheets/d/12lhXE87vYPpYwXjT63f0GqBLJKSF49f5hwN5iJ0w4IY/edit" TargetMode="External"/><Relationship Id="rId165" Type="http://schemas.openxmlformats.org/officeDocument/2006/relationships/hyperlink" Target="https://drive.google.com/file/d/1RRSYwiZROA-N8JUh-r0Hu11ip9V66Ylw/view" TargetMode="External"/><Relationship Id="rId69" Type="http://schemas.openxmlformats.org/officeDocument/2006/relationships/hyperlink" Target="https://drive.google.com/file/d/1Oc4yBAMbL3AWAdCjG5KUfBcgdStS38_F/view" TargetMode="External"/><Relationship Id="rId164" Type="http://schemas.openxmlformats.org/officeDocument/2006/relationships/hyperlink" Target="https://docs.google.com/spreadsheets/d/12lhXE87vYPpYwXjT63f0GqBLJKSF49f5hwN5iJ0w4IY/edit" TargetMode="External"/><Relationship Id="rId285" Type="http://schemas.openxmlformats.org/officeDocument/2006/relationships/drawing" Target="../drawings/drawing1.xml"/><Relationship Id="rId163" Type="http://schemas.openxmlformats.org/officeDocument/2006/relationships/hyperlink" Target="https://drive.google.com/file/d/1vitPEFPV51Z6B8Gui4JtfTsLumLSO7BT/view" TargetMode="External"/><Relationship Id="rId284" Type="http://schemas.openxmlformats.org/officeDocument/2006/relationships/hyperlink" Target="https://docs.google.com/spreadsheets/d/12lhXE87vYPpYwXjT63f0GqBLJKSF49f5hwN5iJ0w4IY/edit" TargetMode="External"/><Relationship Id="rId162" Type="http://schemas.openxmlformats.org/officeDocument/2006/relationships/hyperlink" Target="https://docs.google.com/spreadsheets/d/12lhXE87vYPpYwXjT63f0GqBLJKSF49f5hwN5iJ0w4IY/edit" TargetMode="External"/><Relationship Id="rId283" Type="http://schemas.openxmlformats.org/officeDocument/2006/relationships/hyperlink" Target="https://drive.google.com/file/d/1dx_UqOYurMPXgzj-PwiTNKlyUdwsz_EB/view" TargetMode="External"/><Relationship Id="rId169" Type="http://schemas.openxmlformats.org/officeDocument/2006/relationships/hyperlink" Target="https://drive.google.com/file/d/1YxU9Gqk8RdRlwpKnib2L-lCqGxH0Vgak/view" TargetMode="External"/><Relationship Id="rId168" Type="http://schemas.openxmlformats.org/officeDocument/2006/relationships/hyperlink" Target="https://docs.google.com/spreadsheets/d/12lhXE87vYPpYwXjT63f0GqBLJKSF49f5hwN5iJ0w4IY/edit" TargetMode="External"/><Relationship Id="rId167" Type="http://schemas.openxmlformats.org/officeDocument/2006/relationships/hyperlink" Target="https://drive.google.com/file/d/1y20Dl40OWw-_0JX4lQDgS8LOYx6kTmdX/view" TargetMode="External"/><Relationship Id="rId166" Type="http://schemas.openxmlformats.org/officeDocument/2006/relationships/hyperlink" Target="https://docs.google.com/spreadsheets/d/12lhXE87vYPpYwXjT63f0GqBLJKSF49f5hwN5iJ0w4IY/edit" TargetMode="External"/><Relationship Id="rId287" Type="http://schemas.openxmlformats.org/officeDocument/2006/relationships/table" Target="../tables/table1.xml"/><Relationship Id="rId51" Type="http://schemas.openxmlformats.org/officeDocument/2006/relationships/hyperlink" Target="https://drive.google.com/file/d/1zQBTIhyLYFNb3YjXuwc5n35ADU3JDmWA/view" TargetMode="External"/><Relationship Id="rId50" Type="http://schemas.openxmlformats.org/officeDocument/2006/relationships/hyperlink" Target="https://docs.google.com/spreadsheets/d/12lhXE87vYPpYwXjT63f0GqBLJKSF49f5hwN5iJ0w4IY/edit" TargetMode="External"/><Relationship Id="rId53" Type="http://schemas.openxmlformats.org/officeDocument/2006/relationships/hyperlink" Target="https://drive.google.com/file/d/1md_uML2lwg6fT4JKqQIZR5npv005aCht/view" TargetMode="External"/><Relationship Id="rId52" Type="http://schemas.openxmlformats.org/officeDocument/2006/relationships/hyperlink" Target="https://docs.google.com/spreadsheets/d/12lhXE87vYPpYwXjT63f0GqBLJKSF49f5hwN5iJ0w4IY/edit" TargetMode="External"/><Relationship Id="rId55" Type="http://schemas.openxmlformats.org/officeDocument/2006/relationships/hyperlink" Target="https://drive.google.com/file/d/1uAZH3ZdlCuaXJYNUIYT5680KugMeTYnp/view" TargetMode="External"/><Relationship Id="rId161" Type="http://schemas.openxmlformats.org/officeDocument/2006/relationships/hyperlink" Target="https://drive.google.com/file/d/1qR8dyM4VZS2OefwAn2L_GgZ-Mvq164C1/view" TargetMode="External"/><Relationship Id="rId282" Type="http://schemas.openxmlformats.org/officeDocument/2006/relationships/hyperlink" Target="https://docs.google.com/spreadsheets/d/12lhXE87vYPpYwXjT63f0GqBLJKSF49f5hwN5iJ0w4IY/edit" TargetMode="External"/><Relationship Id="rId54" Type="http://schemas.openxmlformats.org/officeDocument/2006/relationships/hyperlink" Target="https://docs.google.com/spreadsheets/d/12lhXE87vYPpYwXjT63f0GqBLJKSF49f5hwN5iJ0w4IY/edit" TargetMode="External"/><Relationship Id="rId160" Type="http://schemas.openxmlformats.org/officeDocument/2006/relationships/hyperlink" Target="https://docs.google.com/spreadsheets/d/12lhXE87vYPpYwXjT63f0GqBLJKSF49f5hwN5iJ0w4IY/edit" TargetMode="External"/><Relationship Id="rId281" Type="http://schemas.openxmlformats.org/officeDocument/2006/relationships/hyperlink" Target="https://drive.google.com/file/d/17N-Oz9ol2ubbj0CdR0smQ28koCCiCjOq/view" TargetMode="External"/><Relationship Id="rId57" Type="http://schemas.openxmlformats.org/officeDocument/2006/relationships/hyperlink" Target="https://drive.google.com/file/d/1K-pS6BaEiOr6mYKmjASUtuCBTO-TuZfu/view" TargetMode="External"/><Relationship Id="rId280" Type="http://schemas.openxmlformats.org/officeDocument/2006/relationships/hyperlink" Target="https://docs.google.com/spreadsheets/d/12lhXE87vYPpYwXjT63f0GqBLJKSF49f5hwN5iJ0w4IY/edit" TargetMode="External"/><Relationship Id="rId56" Type="http://schemas.openxmlformats.org/officeDocument/2006/relationships/hyperlink" Target="https://docs.google.com/spreadsheets/d/12lhXE87vYPpYwXjT63f0GqBLJKSF49f5hwN5iJ0w4IY/edit" TargetMode="External"/><Relationship Id="rId159" Type="http://schemas.openxmlformats.org/officeDocument/2006/relationships/hyperlink" Target="https://drive.google.com/file/d/1ICCWr_e9cpt8refY9pKOL8GRGjbquXhV/view" TargetMode="External"/><Relationship Id="rId59" Type="http://schemas.openxmlformats.org/officeDocument/2006/relationships/hyperlink" Target="https://drive.google.com/file/d/1ikhWRGrJGdlmKX1xxQzhcbG_v2fG204y/view" TargetMode="External"/><Relationship Id="rId154" Type="http://schemas.openxmlformats.org/officeDocument/2006/relationships/hyperlink" Target="https://docs.google.com/spreadsheets/d/12lhXE87vYPpYwXjT63f0GqBLJKSF49f5hwN5iJ0w4IY/edit" TargetMode="External"/><Relationship Id="rId275" Type="http://schemas.openxmlformats.org/officeDocument/2006/relationships/hyperlink" Target="https://drive.google.com/file/d/1qA6iIMZAfsXxfwvbjIgcp72hneHgZyrB/view" TargetMode="External"/><Relationship Id="rId58" Type="http://schemas.openxmlformats.org/officeDocument/2006/relationships/hyperlink" Target="https://docs.google.com/spreadsheets/d/12lhXE87vYPpYwXjT63f0GqBLJKSF49f5hwN5iJ0w4IY/edit" TargetMode="External"/><Relationship Id="rId153" Type="http://schemas.openxmlformats.org/officeDocument/2006/relationships/hyperlink" Target="https://drive.google.com/file/d/1XYP0ME6CEvWr02ggTychOf58IdZqekAq/view" TargetMode="External"/><Relationship Id="rId274" Type="http://schemas.openxmlformats.org/officeDocument/2006/relationships/hyperlink" Target="https://docs.google.com/spreadsheets/d/12lhXE87vYPpYwXjT63f0GqBLJKSF49f5hwN5iJ0w4IY/edit" TargetMode="External"/><Relationship Id="rId152" Type="http://schemas.openxmlformats.org/officeDocument/2006/relationships/hyperlink" Target="https://docs.google.com/spreadsheets/d/12lhXE87vYPpYwXjT63f0GqBLJKSF49f5hwN5iJ0w4IY/edit" TargetMode="External"/><Relationship Id="rId273" Type="http://schemas.openxmlformats.org/officeDocument/2006/relationships/hyperlink" Target="https://drive.google.com/file/d/1h2kmOKqrV947zQd87p8HDDYneLBxQHws/view" TargetMode="External"/><Relationship Id="rId151" Type="http://schemas.openxmlformats.org/officeDocument/2006/relationships/hyperlink" Target="https://drive.google.com/file/d/1Bp6cvXj1p4d0Yx-5XUJNi5FKPnkgSxU_/view" TargetMode="External"/><Relationship Id="rId272" Type="http://schemas.openxmlformats.org/officeDocument/2006/relationships/hyperlink" Target="https://docs.google.com/spreadsheets/d/12lhXE87vYPpYwXjT63f0GqBLJKSF49f5hwN5iJ0w4IY/edit" TargetMode="External"/><Relationship Id="rId158" Type="http://schemas.openxmlformats.org/officeDocument/2006/relationships/hyperlink" Target="https://docs.google.com/spreadsheets/d/12lhXE87vYPpYwXjT63f0GqBLJKSF49f5hwN5iJ0w4IY/edit" TargetMode="External"/><Relationship Id="rId279" Type="http://schemas.openxmlformats.org/officeDocument/2006/relationships/hyperlink" Target="https://drive.google.com/file/d/1S8t4Z0cinSUJR9ylocL-Setlrng22TcP/view" TargetMode="External"/><Relationship Id="rId157" Type="http://schemas.openxmlformats.org/officeDocument/2006/relationships/hyperlink" Target="https://drive.google.com/file/d/12Ea4ER1QUoFCbCA1Wpg6wzcn_JCbYSSI/view" TargetMode="External"/><Relationship Id="rId278" Type="http://schemas.openxmlformats.org/officeDocument/2006/relationships/hyperlink" Target="https://docs.google.com/spreadsheets/d/12lhXE87vYPpYwXjT63f0GqBLJKSF49f5hwN5iJ0w4IY/edit" TargetMode="External"/><Relationship Id="rId156" Type="http://schemas.openxmlformats.org/officeDocument/2006/relationships/hyperlink" Target="https://docs.google.com/spreadsheets/d/12lhXE87vYPpYwXjT63f0GqBLJKSF49f5hwN5iJ0w4IY/edit" TargetMode="External"/><Relationship Id="rId277" Type="http://schemas.openxmlformats.org/officeDocument/2006/relationships/hyperlink" Target="https://drive.google.com/file/d/1GNw2W5-hXijLCTGGhCWD1iGkAPxfcF7C/view" TargetMode="External"/><Relationship Id="rId155" Type="http://schemas.openxmlformats.org/officeDocument/2006/relationships/hyperlink" Target="https://drive.google.com/file/d/1q0x6fmaA9e6bX15869dnKklH1BFK7wzi/view" TargetMode="External"/><Relationship Id="rId276" Type="http://schemas.openxmlformats.org/officeDocument/2006/relationships/hyperlink" Target="https://docs.google.com/spreadsheets/d/12lhXE87vYPpYwXjT63f0GqBLJKSF49f5hwN5iJ0w4IY/edit" TargetMode="External"/><Relationship Id="rId107" Type="http://schemas.openxmlformats.org/officeDocument/2006/relationships/hyperlink" Target="https://drive.google.com/file/d/1yDd4NcZDp103_sDOufOVtA8-cMM4OcBy/view" TargetMode="External"/><Relationship Id="rId228" Type="http://schemas.openxmlformats.org/officeDocument/2006/relationships/hyperlink" Target="https://docs.google.com/spreadsheets/d/12lhXE87vYPpYwXjT63f0GqBLJKSF49f5hwN5iJ0w4IY/edit" TargetMode="External"/><Relationship Id="rId106" Type="http://schemas.openxmlformats.org/officeDocument/2006/relationships/hyperlink" Target="https://docs.google.com/spreadsheets/d/12lhXE87vYPpYwXjT63f0GqBLJKSF49f5hwN5iJ0w4IY/edit" TargetMode="External"/><Relationship Id="rId227" Type="http://schemas.openxmlformats.org/officeDocument/2006/relationships/hyperlink" Target="https://drive.google.com/file/d/151bU4pK_dJKcrsz0MnvSoZ8SFJKvrnHq/view" TargetMode="External"/><Relationship Id="rId105" Type="http://schemas.openxmlformats.org/officeDocument/2006/relationships/hyperlink" Target="https://drive.google.com/file/d/1xvuJeXQ1Mqjljz0L5KczZWrZGGemjAep/view" TargetMode="External"/><Relationship Id="rId226" Type="http://schemas.openxmlformats.org/officeDocument/2006/relationships/hyperlink" Target="https://docs.google.com/spreadsheets/d/12lhXE87vYPpYwXjT63f0GqBLJKSF49f5hwN5iJ0w4IY/edit" TargetMode="External"/><Relationship Id="rId104" Type="http://schemas.openxmlformats.org/officeDocument/2006/relationships/hyperlink" Target="https://docs.google.com/spreadsheets/d/12lhXE87vYPpYwXjT63f0GqBLJKSF49f5hwN5iJ0w4IY/edit" TargetMode="External"/><Relationship Id="rId225" Type="http://schemas.openxmlformats.org/officeDocument/2006/relationships/hyperlink" Target="https://drive.google.com/file/d/1WD2Oc4HfjG5qWoNp4xCJWc5SkEz5f_gW/view" TargetMode="External"/><Relationship Id="rId109" Type="http://schemas.openxmlformats.org/officeDocument/2006/relationships/hyperlink" Target="https://drive.google.com/file/d/1FCUrcqPNdemUiECbAo36cMyBzDswrCBn/view" TargetMode="External"/><Relationship Id="rId108" Type="http://schemas.openxmlformats.org/officeDocument/2006/relationships/hyperlink" Target="https://docs.google.com/spreadsheets/d/12lhXE87vYPpYwXjT63f0GqBLJKSF49f5hwN5iJ0w4IY/edit" TargetMode="External"/><Relationship Id="rId229" Type="http://schemas.openxmlformats.org/officeDocument/2006/relationships/hyperlink" Target="https://drive.google.com/file/d/18n4ZG-Og8Kd7WcCsyuEtP0Qatrne61kW/view" TargetMode="External"/><Relationship Id="rId220" Type="http://schemas.openxmlformats.org/officeDocument/2006/relationships/hyperlink" Target="https://docs.google.com/spreadsheets/d/12lhXE87vYPpYwXjT63f0GqBLJKSF49f5hwN5iJ0w4IY/edit" TargetMode="External"/><Relationship Id="rId103" Type="http://schemas.openxmlformats.org/officeDocument/2006/relationships/hyperlink" Target="https://drive.google.com/file/d/1Xeg7WwmMW_CausQldvYsuZjbl3j7GmdT/view" TargetMode="External"/><Relationship Id="rId224" Type="http://schemas.openxmlformats.org/officeDocument/2006/relationships/hyperlink" Target="https://docs.google.com/spreadsheets/d/12lhXE87vYPpYwXjT63f0GqBLJKSF49f5hwN5iJ0w4IY/edit" TargetMode="External"/><Relationship Id="rId102" Type="http://schemas.openxmlformats.org/officeDocument/2006/relationships/hyperlink" Target="https://docs.google.com/spreadsheets/d/12lhXE87vYPpYwXjT63f0GqBLJKSF49f5hwN5iJ0w4IY/edit" TargetMode="External"/><Relationship Id="rId223" Type="http://schemas.openxmlformats.org/officeDocument/2006/relationships/hyperlink" Target="https://drive.google.com/file/d/1p0aq6RnVx3dlF8GgMs8SjvxMFMkyU-H7/view" TargetMode="External"/><Relationship Id="rId101" Type="http://schemas.openxmlformats.org/officeDocument/2006/relationships/hyperlink" Target="https://drive.google.com/file/d/1sMVOd_JlecIEWzcz65FV_bs8clUuedH2/view" TargetMode="External"/><Relationship Id="rId222" Type="http://schemas.openxmlformats.org/officeDocument/2006/relationships/hyperlink" Target="https://docs.google.com/spreadsheets/d/12lhXE87vYPpYwXjT63f0GqBLJKSF49f5hwN5iJ0w4IY/edit" TargetMode="External"/><Relationship Id="rId100" Type="http://schemas.openxmlformats.org/officeDocument/2006/relationships/hyperlink" Target="https://docs.google.com/spreadsheets/d/12lhXE87vYPpYwXjT63f0GqBLJKSF49f5hwN5iJ0w4IY/edit" TargetMode="External"/><Relationship Id="rId221" Type="http://schemas.openxmlformats.org/officeDocument/2006/relationships/hyperlink" Target="https://drive.google.com/file/d/1YZsWyNAP1p2cr3oFtG6-WlZ1vlRv125e/view" TargetMode="External"/><Relationship Id="rId217" Type="http://schemas.openxmlformats.org/officeDocument/2006/relationships/hyperlink" Target="https://drive.google.com/file/d/1p7y2Ty0O2wVKofl7ijjGrIjs5jmoy40A/view" TargetMode="External"/><Relationship Id="rId216" Type="http://schemas.openxmlformats.org/officeDocument/2006/relationships/hyperlink" Target="https://docs.google.com/spreadsheets/d/12lhXE87vYPpYwXjT63f0GqBLJKSF49f5hwN5iJ0w4IY/edit" TargetMode="External"/><Relationship Id="rId215" Type="http://schemas.openxmlformats.org/officeDocument/2006/relationships/hyperlink" Target="https://drive.google.com/file/d/1LXjuEqpFN58Lnp-yKfSsmaJ5kgQUFQL5/view" TargetMode="External"/><Relationship Id="rId214" Type="http://schemas.openxmlformats.org/officeDocument/2006/relationships/hyperlink" Target="https://docs.google.com/spreadsheets/d/12lhXE87vYPpYwXjT63f0GqBLJKSF49f5hwN5iJ0w4IY/edit" TargetMode="External"/><Relationship Id="rId219" Type="http://schemas.openxmlformats.org/officeDocument/2006/relationships/hyperlink" Target="https://drive.google.com/file/d/1fX1Q7EDcCxuw8jzFPJuiASnTp4-A0AvQ/view" TargetMode="External"/><Relationship Id="rId218" Type="http://schemas.openxmlformats.org/officeDocument/2006/relationships/hyperlink" Target="https://docs.google.com/spreadsheets/d/12lhXE87vYPpYwXjT63f0GqBLJKSF49f5hwN5iJ0w4IY/edit" TargetMode="External"/><Relationship Id="rId213" Type="http://schemas.openxmlformats.org/officeDocument/2006/relationships/hyperlink" Target="https://drive.google.com/file/d/1qRKY9CS2zlIdJIRth1zGFA7JMJWgcSR3/view" TargetMode="External"/><Relationship Id="rId212" Type="http://schemas.openxmlformats.org/officeDocument/2006/relationships/hyperlink" Target="https://docs.google.com/spreadsheets/d/12lhXE87vYPpYwXjT63f0GqBLJKSF49f5hwN5iJ0w4IY/edit" TargetMode="External"/><Relationship Id="rId211" Type="http://schemas.openxmlformats.org/officeDocument/2006/relationships/hyperlink" Target="https://drive.google.com/file/d/19mHyhRZPW1TlW4Lt4mYtlw3qTerHqfEZ/view" TargetMode="External"/><Relationship Id="rId210" Type="http://schemas.openxmlformats.org/officeDocument/2006/relationships/hyperlink" Target="https://docs.google.com/spreadsheets/d/12lhXE87vYPpYwXjT63f0GqBLJKSF49f5hwN5iJ0w4IY/edit" TargetMode="External"/><Relationship Id="rId129" Type="http://schemas.openxmlformats.org/officeDocument/2006/relationships/hyperlink" Target="https://drive.google.com/file/d/1hpY30yhgOLzwP5-8HCKK72qvoPEKQ7W6/view" TargetMode="External"/><Relationship Id="rId128" Type="http://schemas.openxmlformats.org/officeDocument/2006/relationships/hyperlink" Target="https://docs.google.com/spreadsheets/d/12lhXE87vYPpYwXjT63f0GqBLJKSF49f5hwN5iJ0w4IY/edit" TargetMode="External"/><Relationship Id="rId249" Type="http://schemas.openxmlformats.org/officeDocument/2006/relationships/hyperlink" Target="https://drive.google.com/file/d/13efyLmCLqTC0VM95VrgezEgTkUn37BAF/view" TargetMode="External"/><Relationship Id="rId127" Type="http://schemas.openxmlformats.org/officeDocument/2006/relationships/hyperlink" Target="https://drive.google.com/file/d/1VchFRc4ZWGJ-qOUgnad_c6ioSNvA_Ee3/view" TargetMode="External"/><Relationship Id="rId248" Type="http://schemas.openxmlformats.org/officeDocument/2006/relationships/hyperlink" Target="https://docs.google.com/spreadsheets/d/12lhXE87vYPpYwXjT63f0GqBLJKSF49f5hwN5iJ0w4IY/edit" TargetMode="External"/><Relationship Id="rId126" Type="http://schemas.openxmlformats.org/officeDocument/2006/relationships/hyperlink" Target="https://docs.google.com/spreadsheets/d/12lhXE87vYPpYwXjT63f0GqBLJKSF49f5hwN5iJ0w4IY/edit" TargetMode="External"/><Relationship Id="rId247" Type="http://schemas.openxmlformats.org/officeDocument/2006/relationships/hyperlink" Target="https://drive.google.com/file/d/1wHkXA61aSOqDwm_cM-UKX_CR9Dr2elPk/view" TargetMode="External"/><Relationship Id="rId121" Type="http://schemas.openxmlformats.org/officeDocument/2006/relationships/hyperlink" Target="https://drive.google.com/file/d/1me45M78uF8GcLchOI9-Tn6L017KQzysj/view" TargetMode="External"/><Relationship Id="rId242" Type="http://schemas.openxmlformats.org/officeDocument/2006/relationships/hyperlink" Target="https://docs.google.com/spreadsheets/d/12lhXE87vYPpYwXjT63f0GqBLJKSF49f5hwN5iJ0w4IY/edit" TargetMode="External"/><Relationship Id="rId120" Type="http://schemas.openxmlformats.org/officeDocument/2006/relationships/hyperlink" Target="https://docs.google.com/spreadsheets/d/12lhXE87vYPpYwXjT63f0GqBLJKSF49f5hwN5iJ0w4IY/edit" TargetMode="External"/><Relationship Id="rId241" Type="http://schemas.openxmlformats.org/officeDocument/2006/relationships/hyperlink" Target="https://drive.google.com/file/d/1MSDREsY6r3mAsZoqZ9OLt5tSsfgoVLrf/view" TargetMode="External"/><Relationship Id="rId240" Type="http://schemas.openxmlformats.org/officeDocument/2006/relationships/hyperlink" Target="https://docs.google.com/spreadsheets/d/12lhXE87vYPpYwXjT63f0GqBLJKSF49f5hwN5iJ0w4IY/edit" TargetMode="External"/><Relationship Id="rId125" Type="http://schemas.openxmlformats.org/officeDocument/2006/relationships/hyperlink" Target="https://drive.google.com/file/d/1pKEq_mGKkU-J2YRlFc2GziCG7lXLJCYg/view" TargetMode="External"/><Relationship Id="rId246" Type="http://schemas.openxmlformats.org/officeDocument/2006/relationships/hyperlink" Target="https://docs.google.com/spreadsheets/d/12lhXE87vYPpYwXjT63f0GqBLJKSF49f5hwN5iJ0w4IY/edit" TargetMode="External"/><Relationship Id="rId124" Type="http://schemas.openxmlformats.org/officeDocument/2006/relationships/hyperlink" Target="https://docs.google.com/spreadsheets/d/12lhXE87vYPpYwXjT63f0GqBLJKSF49f5hwN5iJ0w4IY/edit" TargetMode="External"/><Relationship Id="rId245" Type="http://schemas.openxmlformats.org/officeDocument/2006/relationships/hyperlink" Target="https://drive.google.com/file/d/13WFvpoM21uRheUjKhoBhPAXzFHiCocDT/view" TargetMode="External"/><Relationship Id="rId123" Type="http://schemas.openxmlformats.org/officeDocument/2006/relationships/hyperlink" Target="https://drive.google.com/file/d/10Z5D_nnZG060qAYPxosX1tz2_xpk8umw/view" TargetMode="External"/><Relationship Id="rId244" Type="http://schemas.openxmlformats.org/officeDocument/2006/relationships/hyperlink" Target="https://docs.google.com/spreadsheets/d/12lhXE87vYPpYwXjT63f0GqBLJKSF49f5hwN5iJ0w4IY/edit" TargetMode="External"/><Relationship Id="rId122" Type="http://schemas.openxmlformats.org/officeDocument/2006/relationships/hyperlink" Target="https://docs.google.com/spreadsheets/d/12lhXE87vYPpYwXjT63f0GqBLJKSF49f5hwN5iJ0w4IY/edit" TargetMode="External"/><Relationship Id="rId243" Type="http://schemas.openxmlformats.org/officeDocument/2006/relationships/hyperlink" Target="https://drive.google.com/file/d/1TMd_iHENoins3lXsRDRsjcBe1SFs6QWP/view" TargetMode="External"/><Relationship Id="rId95" Type="http://schemas.openxmlformats.org/officeDocument/2006/relationships/hyperlink" Target="https://drive.google.com/file/d/1VA0zHq7JmlXXYpB3naZFQZV6J3X9p8Rp/view" TargetMode="External"/><Relationship Id="rId94" Type="http://schemas.openxmlformats.org/officeDocument/2006/relationships/hyperlink" Target="https://docs.google.com/spreadsheets/d/12lhXE87vYPpYwXjT63f0GqBLJKSF49f5hwN5iJ0w4IY/edit" TargetMode="External"/><Relationship Id="rId97" Type="http://schemas.openxmlformats.org/officeDocument/2006/relationships/hyperlink" Target="https://drive.google.com/file/d/18S1prx8-QwXcZB0StsTMrtSlZ_TQcq1Q/view" TargetMode="External"/><Relationship Id="rId96" Type="http://schemas.openxmlformats.org/officeDocument/2006/relationships/hyperlink" Target="https://docs.google.com/spreadsheets/d/12lhXE87vYPpYwXjT63f0GqBLJKSF49f5hwN5iJ0w4IY/edit" TargetMode="External"/><Relationship Id="rId99" Type="http://schemas.openxmlformats.org/officeDocument/2006/relationships/hyperlink" Target="https://drive.google.com/file/d/1OmFBkmM0ukmulKUO68iTp968cEcE5Zc9/view" TargetMode="External"/><Relationship Id="rId98" Type="http://schemas.openxmlformats.org/officeDocument/2006/relationships/hyperlink" Target="https://docs.google.com/spreadsheets/d/12lhXE87vYPpYwXjT63f0GqBLJKSF49f5hwN5iJ0w4IY/edit" TargetMode="External"/><Relationship Id="rId91" Type="http://schemas.openxmlformats.org/officeDocument/2006/relationships/hyperlink" Target="https://drive.google.com/file/d/1YEhE5zaharLOeOyfgExd78jCvukP9WrP/view" TargetMode="External"/><Relationship Id="rId90" Type="http://schemas.openxmlformats.org/officeDocument/2006/relationships/hyperlink" Target="https://docs.google.com/spreadsheets/d/12lhXE87vYPpYwXjT63f0GqBLJKSF49f5hwN5iJ0w4IY/edit" TargetMode="External"/><Relationship Id="rId93" Type="http://schemas.openxmlformats.org/officeDocument/2006/relationships/hyperlink" Target="https://drive.google.com/file/d/1brXq4n6s8YzG1mJHPhObWMhPy2yOi52c/view" TargetMode="External"/><Relationship Id="rId92" Type="http://schemas.openxmlformats.org/officeDocument/2006/relationships/hyperlink" Target="https://docs.google.com/spreadsheets/d/12lhXE87vYPpYwXjT63f0GqBLJKSF49f5hwN5iJ0w4IY/edit" TargetMode="External"/><Relationship Id="rId118" Type="http://schemas.openxmlformats.org/officeDocument/2006/relationships/hyperlink" Target="https://docs.google.com/spreadsheets/d/12lhXE87vYPpYwXjT63f0GqBLJKSF49f5hwN5iJ0w4IY/edit" TargetMode="External"/><Relationship Id="rId239" Type="http://schemas.openxmlformats.org/officeDocument/2006/relationships/hyperlink" Target="https://drive.google.com/file/d/1Mnrg3yAWgTsRcwxJrqLS_NYqIspBdu03/view" TargetMode="External"/><Relationship Id="rId117" Type="http://schemas.openxmlformats.org/officeDocument/2006/relationships/hyperlink" Target="https://drive.google.com/file/d/1ibKMKGCX13GvXFM8HVW4UeJeAMIjL0Ya/view" TargetMode="External"/><Relationship Id="rId238" Type="http://schemas.openxmlformats.org/officeDocument/2006/relationships/hyperlink" Target="https://docs.google.com/spreadsheets/d/12lhXE87vYPpYwXjT63f0GqBLJKSF49f5hwN5iJ0w4IY/edit" TargetMode="External"/><Relationship Id="rId116" Type="http://schemas.openxmlformats.org/officeDocument/2006/relationships/hyperlink" Target="https://docs.google.com/spreadsheets/d/12lhXE87vYPpYwXjT63f0GqBLJKSF49f5hwN5iJ0w4IY/edit" TargetMode="External"/><Relationship Id="rId237" Type="http://schemas.openxmlformats.org/officeDocument/2006/relationships/hyperlink" Target="https://drive.google.com/file/d/13BYNuC2GjybmfuEINOZfAsVsEygsA6Xg/view" TargetMode="External"/><Relationship Id="rId115" Type="http://schemas.openxmlformats.org/officeDocument/2006/relationships/hyperlink" Target="https://drive.google.com/file/d/1y-Q-Rv_KhhUxkvtJwCTbSMPVPE9-jHrQ/view" TargetMode="External"/><Relationship Id="rId236" Type="http://schemas.openxmlformats.org/officeDocument/2006/relationships/hyperlink" Target="https://docs.google.com/spreadsheets/d/12lhXE87vYPpYwXjT63f0GqBLJKSF49f5hwN5iJ0w4IY/edit" TargetMode="External"/><Relationship Id="rId119" Type="http://schemas.openxmlformats.org/officeDocument/2006/relationships/hyperlink" Target="https://drive.google.com/file/d/1s9eHQaZii3-iwnOwNnXNmHVlG_vXdpGL/view" TargetMode="External"/><Relationship Id="rId110" Type="http://schemas.openxmlformats.org/officeDocument/2006/relationships/hyperlink" Target="https://docs.google.com/spreadsheets/d/12lhXE87vYPpYwXjT63f0GqBLJKSF49f5hwN5iJ0w4IY/edit" TargetMode="External"/><Relationship Id="rId231" Type="http://schemas.openxmlformats.org/officeDocument/2006/relationships/hyperlink" Target="https://drive.google.com/file/d/1YAhbb_1LygXI5Ep1sglM8mjE2g8Cv-jC/view" TargetMode="External"/><Relationship Id="rId230" Type="http://schemas.openxmlformats.org/officeDocument/2006/relationships/hyperlink" Target="https://docs.google.com/spreadsheets/d/12lhXE87vYPpYwXjT63f0GqBLJKSF49f5hwN5iJ0w4IY/edit" TargetMode="External"/><Relationship Id="rId114" Type="http://schemas.openxmlformats.org/officeDocument/2006/relationships/hyperlink" Target="https://docs.google.com/spreadsheets/d/12lhXE87vYPpYwXjT63f0GqBLJKSF49f5hwN5iJ0w4IY/edit" TargetMode="External"/><Relationship Id="rId235" Type="http://schemas.openxmlformats.org/officeDocument/2006/relationships/hyperlink" Target="https://drive.google.com/file/d/1BsDPZLpTglMljoWDZGVCbxFUYA9Fie5T/view" TargetMode="External"/><Relationship Id="rId113" Type="http://schemas.openxmlformats.org/officeDocument/2006/relationships/hyperlink" Target="https://drive.google.com/file/d/1ISuBrMy08UhQ7oOF9cutPmQFkeVhVwfZ/view" TargetMode="External"/><Relationship Id="rId234" Type="http://schemas.openxmlformats.org/officeDocument/2006/relationships/hyperlink" Target="https://docs.google.com/spreadsheets/d/12lhXE87vYPpYwXjT63f0GqBLJKSF49f5hwN5iJ0w4IY/edit" TargetMode="External"/><Relationship Id="rId112" Type="http://schemas.openxmlformats.org/officeDocument/2006/relationships/hyperlink" Target="https://docs.google.com/spreadsheets/d/12lhXE87vYPpYwXjT63f0GqBLJKSF49f5hwN5iJ0w4IY/edit" TargetMode="External"/><Relationship Id="rId233" Type="http://schemas.openxmlformats.org/officeDocument/2006/relationships/hyperlink" Target="https://drive.google.com/file/d/1hHNVZeAkcv5QBpMT7q230WsLu1AQkphc/view" TargetMode="External"/><Relationship Id="rId111" Type="http://schemas.openxmlformats.org/officeDocument/2006/relationships/hyperlink" Target="https://drive.google.com/file/d/17hSQCNdzal3wDYeX210AfeOqqudcDZet/view" TargetMode="External"/><Relationship Id="rId232" Type="http://schemas.openxmlformats.org/officeDocument/2006/relationships/hyperlink" Target="https://docs.google.com/spreadsheets/d/12lhXE87vYPpYwXjT63f0GqBLJKSF49f5hwN5iJ0w4IY/edit" TargetMode="External"/><Relationship Id="rId206" Type="http://schemas.openxmlformats.org/officeDocument/2006/relationships/hyperlink" Target="https://docs.google.com/spreadsheets/d/12lhXE87vYPpYwXjT63f0GqBLJKSF49f5hwN5iJ0w4IY/edit" TargetMode="External"/><Relationship Id="rId205" Type="http://schemas.openxmlformats.org/officeDocument/2006/relationships/hyperlink" Target="https://drive.google.com/file/d/1pkJiVq67-qrAEpj8ywDBw6ypgP9GZ2wW/view" TargetMode="External"/><Relationship Id="rId204" Type="http://schemas.openxmlformats.org/officeDocument/2006/relationships/hyperlink" Target="https://docs.google.com/spreadsheets/d/12lhXE87vYPpYwXjT63f0GqBLJKSF49f5hwN5iJ0w4IY/edit" TargetMode="External"/><Relationship Id="rId203" Type="http://schemas.openxmlformats.org/officeDocument/2006/relationships/hyperlink" Target="https://drive.google.com/file/d/1j-zMH1jl4GME81u7BJj_Mtm2Of8uIiMF/view" TargetMode="External"/><Relationship Id="rId209" Type="http://schemas.openxmlformats.org/officeDocument/2006/relationships/hyperlink" Target="https://drive.google.com/file/d/1wf6MlaXtrkY9bAytnM9oDQSM21nZ2GLl/view" TargetMode="External"/><Relationship Id="rId208" Type="http://schemas.openxmlformats.org/officeDocument/2006/relationships/hyperlink" Target="https://docs.google.com/spreadsheets/d/12lhXE87vYPpYwXjT63f0GqBLJKSF49f5hwN5iJ0w4IY/edit" TargetMode="External"/><Relationship Id="rId207" Type="http://schemas.openxmlformats.org/officeDocument/2006/relationships/hyperlink" Target="https://drive.google.com/file/d/1do53OOOFEAD2DGzlKHO0U7wSscxyzzRm/view" TargetMode="External"/><Relationship Id="rId202" Type="http://schemas.openxmlformats.org/officeDocument/2006/relationships/hyperlink" Target="https://docs.google.com/spreadsheets/d/12lhXE87vYPpYwXjT63f0GqBLJKSF49f5hwN5iJ0w4IY/edit" TargetMode="External"/><Relationship Id="rId201" Type="http://schemas.openxmlformats.org/officeDocument/2006/relationships/hyperlink" Target="https://drive.google.com/file/d/1WHKbgolWOb1_IAJaf_KfBbDgBhvt2GEG/view" TargetMode="External"/><Relationship Id="rId200" Type="http://schemas.openxmlformats.org/officeDocument/2006/relationships/hyperlink" Target="https://docs.google.com/spreadsheets/d/12lhXE87vYPpYwXjT63f0GqBLJKSF49f5hwN5iJ0w4IY/edit"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s://drive.google.com/file/d/1HtQ2F5v-ltqNmogLJDiH0Nb2x84ga1sD/view" TargetMode="External"/><Relationship Id="rId2"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hyperlink" Target="https://drive.google.com/file/d/1MJp6uxIK7IZUOqHk2CpoIaUKLUqGo202/view" TargetMode="External"/><Relationship Id="rId2"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hyperlink" Target="https://drive.google.com/file/d/1a5o7qbQvD1tpvSXqehvkBZt0VzSf94H6/view" TargetMode="External"/><Relationship Id="rId2"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hyperlink" Target="https://drive.google.com/file/d/1yVME0-mzTpAKSAwPwOyRstGs7yY4qHws/view" TargetMode="External"/><Relationship Id="rId2"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hyperlink" Target="https://drive.google.com/file/d/1n_31MrVCXHBtMc-W229Ks7266zaiEn1h/view" TargetMode="External"/><Relationship Id="rId2"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hyperlink" Target="https://drive.google.com/file/d/1B2RSNXxALN0azB8C3u46pc4h9bfSrDvr/view" TargetMode="External"/><Relationship Id="rId2"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hyperlink" Target="https://drive.google.com/file/d/1f0hmWLK7HI1xzJexXGPBlRfQj9Au6K_J/view" TargetMode="External"/><Relationship Id="rId2"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hyperlink" Target="https://drive.google.com/file/d/1IjDtJ7Q3sMK3y0IHj_i888PWgUdgRSol/view" TargetMode="External"/><Relationship Id="rId2"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hyperlink" Target="https://drive.google.com/file/d/1qLqAMN6YYi0_oweCVMYrzMV8d-Sem-xi/view" TargetMode="External"/><Relationship Id="rId2"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hyperlink" Target="https://drive.google.com/file/d/1ai8cUYF37bI0yh-lGP8pehUP1ODRl4v_/view" TargetMode="External"/><Relationship Id="rId2" Type="http://schemas.openxmlformats.org/officeDocument/2006/relationships/hyperlink" Target="http://securityzone.vn/forum" TargetMode="External"/><Relationship Id="rId3" Type="http://schemas.openxmlformats.org/officeDocument/2006/relationships/hyperlink" Target="http://securityzone.vn/" TargetMode="External"/><Relationship Id="rId4" Type="http://schemas.openxmlformats.org/officeDocument/2006/relationships/drawing" Target="../drawings/drawing14.xml"/><Relationship Id="rId6" Type="http://schemas.openxmlformats.org/officeDocument/2006/relationships/table" Target="../tables/table2.xml"/></Relationships>
</file>

<file path=xl/worksheets/_rels/sheet15.xml.rels><?xml version="1.0" encoding="UTF-8" standalone="yes"?><Relationships xmlns="http://schemas.openxmlformats.org/package/2006/relationships"><Relationship Id="rId1" Type="http://schemas.openxmlformats.org/officeDocument/2006/relationships/hyperlink" Target="https://drive.google.com/file/d/1iK2_psXDe8E9X4cVdr79ccLHXTZ7_sCl/view" TargetMode="External"/><Relationship Id="rId2"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hyperlink" Target="https://drive.google.com/file/d/1nXJ14va6f5kKJHUlbT4xOVFVYVVSvZsU/view" TargetMode="External"/><Relationship Id="rId2"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hyperlink" Target="https://drive.google.com/file/d/1bB7_WO_REYujtO_YHO_mxvpiO0WX_F0X/view" TargetMode="External"/><Relationship Id="rId2"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hyperlink" Target="https://drive.google.com/file/d/1O-pmLtGbg6JktwZYDD4yfhjR6J1KDWDZ/view" TargetMode="External"/><Relationship Id="rId2"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hyperlink" Target="https://drive.google.com/file/d/1Y78c5QSeg9Wfkh8RNY4QduTkaCXvyx07/view" TargetMode="External"/><Relationship Id="rId2"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hyperlink" Target="https://drive.google.com/file/d/1AEx8XdxK96hgqE0sAVoP1p0szZp-h3Xf/view" TargetMode="External"/><Relationship Id="rId2"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hyperlink" Target="https://drive.google.com/file/d/1GErmKECgJp7mvkqXAhmBUGVLufDrHj4V/view" TargetMode="External"/><Relationship Id="rId2"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hyperlink" Target="https://drive.google.com/file/d/1-ES6CXeqB3vXzkuAUbqYPxfmSKx5xmDH/view" TargetMode="External"/><Relationship Id="rId2"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hyperlink" Target="https://drive.google.com/file/d/13N0Yuj2PpzXr9eXI7T3KYUFLJ9G5RckD/view" TargetMode="External"/><Relationship Id="rId2"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hyperlink" Target="https://drive.google.com/file/d/1qXKMs2gTrCtIt_rfMycKHZfA5eTV7k67/view" TargetMode="External"/><Relationship Id="rId2"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hyperlink" Target="https://drive.google.com/file/d/1WZvWYGiR7DTrTLjKke81DaexBXTEZASa/view" TargetMode="External"/><Relationship Id="rId2"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hyperlink" Target="https://drive.google.com/file/d/1G_sP5X2DJ5cSb8Yrysnr35n2HLrGF61p/view" TargetMode="External"/><Relationship Id="rId2"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hyperlink" Target="https://drive.google.com/file/d/1DH-IwdgSbLYNf3cXUFMXYiuBHPKdWope/view" TargetMode="External"/><Relationship Id="rId2"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hyperlink" Target="https://drive.google.com/file/d/1MlYsydeNsgUs8uN1i7v8rn4wxCZZiWvL/view" TargetMode="External"/><Relationship Id="rId2"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hyperlink" Target="https://drive.google.com/file/d/1dfjwogjfFQGj0prLq4HcR63M7o68WcdB/view" TargetMode="External"/><Relationship Id="rId2"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hyperlink" Target="https://drive.google.com/file/d/1zQBTIhyLYFNb3YjXuwc5n35ADU3JDmWA/view" TargetMode="External"/><Relationship Id="rId2"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hyperlink" Target="https://drive.google.com/file/d/1md_uML2lwg6fT4JKqQIZR5npv005aCht/view" TargetMode="External"/><Relationship Id="rId2"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hyperlink" Target="https://drive.google.com/file/d/1uAZH3ZdlCuaXJYNUIYT5680KugMeTYnp/view" TargetMode="External"/><Relationship Id="rId2"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hyperlink" Target="https://drive.google.com/file/d/1K-pS6BaEiOr6mYKmjASUtuCBTO-TuZfu/view" TargetMode="External"/><Relationship Id="rId2"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hyperlink" Target="https://drive.google.com/file/d/1ikhWRGrJGdlmKX1xxQzhcbG_v2fG204y/view" TargetMode="External"/><Relationship Id="rId2"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hyperlink" Target="https://drive.google.com/file/d/1cVB3tUg8Iy9IDrajvVSG9J4ZEf6mLoYv/view" TargetMode="External"/><Relationship Id="rId2"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hyperlink" Target="https://drive.google.com/file/d/1I3mK_Zt77DK8fZKQCzovg4ZlJG6yIoon/view" TargetMode="External"/><Relationship Id="rId2"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hyperlink" Target="https://drive.google.com/file/d/1TQof6Bm0ElNpoXOAIxU65xXqg1aokDgb/view" TargetMode="External"/><Relationship Id="rId2"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hyperlink" Target="https://drive.google.com/file/d/17fnEq9xZJqX9O_KtOz4crX1QUSUM7t4B/view" TargetMode="External"/><Relationship Id="rId2"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hyperlink" Target="https://drive.google.com/file/d/1Oc4yBAMbL3AWAdCjG5KUfBcgdStS38_F/view" TargetMode="External"/><Relationship Id="rId2"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hyperlink" Target="https://drive.google.com/file/d/1WRlMGV6hk8Y-GwMUZNqsPQJ7Gz1totH-/view" TargetMode="External"/><Relationship Id="rId2"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hyperlink" Target="https://drive.google.com/file/d/1bm39Z6XypDiVjh_kDy8YMRV4013fFtiL/view" TargetMode="External"/><Relationship Id="rId2"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hyperlink" Target="https://drive.google.com/file/d/1TKddrQF69QjiMuSkIh-VXENbazaJXyMV/view" TargetMode="External"/><Relationship Id="rId2"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hyperlink" Target="https://drive.google.com/file/d/1KnKt2fSsYqLNqGxD50n-K5EZq2fAWFKg/view" TargetMode="External"/><Relationship Id="rId2"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hyperlink" Target="https://drive.google.com/file/d/1YdKsABksKpHSiW4VunG_QLN7mIZxFmsb/view" TargetMode="External"/><Relationship Id="rId2" Type="http://schemas.openxmlformats.org/officeDocument/2006/relationships/drawing" Target="../drawings/drawing44.xml"/></Relationships>
</file>

<file path=xl/worksheets/_rels/sheet45.xml.rels><?xml version="1.0" encoding="UTF-8" standalone="yes"?><Relationships xmlns="http://schemas.openxmlformats.org/package/2006/relationships"><Relationship Id="rId1" Type="http://schemas.openxmlformats.org/officeDocument/2006/relationships/hyperlink" Target="https://drive.google.com/file/d/1ncNvizKqrJYoYH2OvV824rT8g1LNWkp-/view" TargetMode="External"/><Relationship Id="rId2" Type="http://schemas.openxmlformats.org/officeDocument/2006/relationships/drawing" Target="../drawings/drawing45.xml"/></Relationships>
</file>

<file path=xl/worksheets/_rels/sheet46.xml.rels><?xml version="1.0" encoding="UTF-8" standalone="yes"?><Relationships xmlns="http://schemas.openxmlformats.org/package/2006/relationships"><Relationship Id="rId1" Type="http://schemas.openxmlformats.org/officeDocument/2006/relationships/hyperlink" Target="https://drive.google.com/file/d/1eX0_2ftIZVobcn0iKbQMXpfGyk9aBYvi/view" TargetMode="External"/><Relationship Id="rId2" Type="http://schemas.openxmlformats.org/officeDocument/2006/relationships/drawing" Target="../drawings/drawing46.xml"/></Relationships>
</file>

<file path=xl/worksheets/_rels/sheet47.xml.rels><?xml version="1.0" encoding="UTF-8" standalone="yes"?><Relationships xmlns="http://schemas.openxmlformats.org/package/2006/relationships"><Relationship Id="rId1" Type="http://schemas.openxmlformats.org/officeDocument/2006/relationships/hyperlink" Target="https://drive.google.com/file/d/12LK-yuOlpG1jBO4bj4yx4xv0UmTSThVv/view" TargetMode="External"/><Relationship Id="rId2" Type="http://schemas.openxmlformats.org/officeDocument/2006/relationships/drawing" Target="../drawings/drawing47.xml"/></Relationships>
</file>

<file path=xl/worksheets/_rels/sheet48.xml.rels><?xml version="1.0" encoding="UTF-8" standalone="yes"?><Relationships xmlns="http://schemas.openxmlformats.org/package/2006/relationships"><Relationship Id="rId1" Type="http://schemas.openxmlformats.org/officeDocument/2006/relationships/hyperlink" Target="https://drive.google.com/file/d/1U_cJTai6M9kWoGr6eoAbtN8Xqrn1m3XM/view" TargetMode="External"/><Relationship Id="rId2" Type="http://schemas.openxmlformats.org/officeDocument/2006/relationships/drawing" Target="../drawings/drawing48.xml"/></Relationships>
</file>

<file path=xl/worksheets/_rels/sheet49.xml.rels><?xml version="1.0" encoding="UTF-8" standalone="yes"?><Relationships xmlns="http://schemas.openxmlformats.org/package/2006/relationships"><Relationship Id="rId1" Type="http://schemas.openxmlformats.org/officeDocument/2006/relationships/hyperlink" Target="https://drive.google.com/file/d/1MhzzG2JkbV0oAo_IrSLcF6DdL-xsiOs_/view" TargetMode="External"/><Relationship Id="rId2" Type="http://schemas.openxmlformats.org/officeDocument/2006/relationships/drawing" Target="../drawings/drawing49.xml"/></Relationships>
</file>

<file path=xl/worksheets/_rels/sheet50.xml.rels><?xml version="1.0" encoding="UTF-8" standalone="yes"?><Relationships xmlns="http://schemas.openxmlformats.org/package/2006/relationships"><Relationship Id="rId1" Type="http://schemas.openxmlformats.org/officeDocument/2006/relationships/hyperlink" Target="https://drive.google.com/file/d/1YEhE5zaharLOeOyfgExd78jCvukP9WrP/view" TargetMode="External"/><Relationship Id="rId2" Type="http://schemas.openxmlformats.org/officeDocument/2006/relationships/hyperlink" Target="http://markeeai.com/chat" TargetMode="External"/><Relationship Id="rId3" Type="http://schemas.openxmlformats.org/officeDocument/2006/relationships/drawing" Target="../drawings/drawing50.xml"/></Relationships>
</file>

<file path=xl/worksheets/_rels/sheet51.xml.rels><?xml version="1.0" encoding="UTF-8" standalone="yes"?><Relationships xmlns="http://schemas.openxmlformats.org/package/2006/relationships"><Relationship Id="rId1" Type="http://schemas.openxmlformats.org/officeDocument/2006/relationships/hyperlink" Target="https://drive.google.com/file/d/1brXq4n6s8YzG1mJHPhObWMhPy2yOi52c/view" TargetMode="External"/><Relationship Id="rId2" Type="http://schemas.openxmlformats.org/officeDocument/2006/relationships/drawing" Target="../drawings/drawing51.xml"/></Relationships>
</file>

<file path=xl/worksheets/_rels/sheet52.xml.rels><?xml version="1.0" encoding="UTF-8" standalone="yes"?><Relationships xmlns="http://schemas.openxmlformats.org/package/2006/relationships"><Relationship Id="rId1" Type="http://schemas.openxmlformats.org/officeDocument/2006/relationships/hyperlink" Target="https://drive.google.com/file/d/1VA0zHq7JmlXXYpB3naZFQZV6J3X9p8Rp/view" TargetMode="External"/><Relationship Id="rId2" Type="http://schemas.openxmlformats.org/officeDocument/2006/relationships/drawing" Target="../drawings/drawing52.xml"/></Relationships>
</file>

<file path=xl/worksheets/_rels/sheet53.xml.rels><?xml version="1.0" encoding="UTF-8" standalone="yes"?><Relationships xmlns="http://schemas.openxmlformats.org/package/2006/relationships"><Relationship Id="rId1" Type="http://schemas.openxmlformats.org/officeDocument/2006/relationships/hyperlink" Target="https://drive.google.com/file/d/18S1prx8-QwXcZB0StsTMrtSlZ_TQcq1Q/view" TargetMode="External"/><Relationship Id="rId2" Type="http://schemas.openxmlformats.org/officeDocument/2006/relationships/drawing" Target="../drawings/drawing53.xml"/></Relationships>
</file>

<file path=xl/worksheets/_rels/sheet54.xml.rels><?xml version="1.0" encoding="UTF-8" standalone="yes"?><Relationships xmlns="http://schemas.openxmlformats.org/package/2006/relationships"><Relationship Id="rId1" Type="http://schemas.openxmlformats.org/officeDocument/2006/relationships/hyperlink" Target="https://drive.google.com/file/d/1OmFBkmM0ukmulKUO68iTp968cEcE5Zc9/view" TargetMode="External"/><Relationship Id="rId2" Type="http://schemas.openxmlformats.org/officeDocument/2006/relationships/drawing" Target="../drawings/drawing54.xml"/></Relationships>
</file>

<file path=xl/worksheets/_rels/sheet55.xml.rels><?xml version="1.0" encoding="UTF-8" standalone="yes"?><Relationships xmlns="http://schemas.openxmlformats.org/package/2006/relationships"><Relationship Id="rId1" Type="http://schemas.openxmlformats.org/officeDocument/2006/relationships/hyperlink" Target="https://drive.google.com/file/d/1sMVOd_JlecIEWzcz65FV_bs8clUuedH2/view" TargetMode="External"/><Relationship Id="rId2" Type="http://schemas.openxmlformats.org/officeDocument/2006/relationships/drawing" Target="../drawings/drawing55.xml"/></Relationships>
</file>

<file path=xl/worksheets/_rels/sheet56.xml.rels><?xml version="1.0" encoding="UTF-8" standalone="yes"?><Relationships xmlns="http://schemas.openxmlformats.org/package/2006/relationships"><Relationship Id="rId1" Type="http://schemas.openxmlformats.org/officeDocument/2006/relationships/hyperlink" Target="https://drive.google.com/file/d/1Xeg7WwmMW_CausQldvYsuZjbl3j7GmdT/view" TargetMode="External"/><Relationship Id="rId2" Type="http://schemas.openxmlformats.org/officeDocument/2006/relationships/drawing" Target="../drawings/drawing56.xml"/></Relationships>
</file>

<file path=xl/worksheets/_rels/sheet57.xml.rels><?xml version="1.0" encoding="UTF-8" standalone="yes"?><Relationships xmlns="http://schemas.openxmlformats.org/package/2006/relationships"><Relationship Id="rId1" Type="http://schemas.openxmlformats.org/officeDocument/2006/relationships/hyperlink" Target="https://drive.google.com/file/d/1xvuJeXQ1Mqjljz0L5KczZWrZGGemjAep/view" TargetMode="External"/><Relationship Id="rId2" Type="http://schemas.openxmlformats.org/officeDocument/2006/relationships/drawing" Target="../drawings/drawing57.xml"/></Relationships>
</file>

<file path=xl/worksheets/_rels/sheet58.xml.rels><?xml version="1.0" encoding="UTF-8" standalone="yes"?><Relationships xmlns="http://schemas.openxmlformats.org/package/2006/relationships"><Relationship Id="rId1" Type="http://schemas.openxmlformats.org/officeDocument/2006/relationships/hyperlink" Target="https://drive.google.com/file/d/1yDd4NcZDp103_sDOufOVtA8-cMM4OcBy/view" TargetMode="External"/><Relationship Id="rId2" Type="http://schemas.openxmlformats.org/officeDocument/2006/relationships/drawing" Target="../drawings/drawing58.xml"/></Relationships>
</file>

<file path=xl/worksheets/_rels/sheet59.xml.rels><?xml version="1.0" encoding="UTF-8" standalone="yes"?><Relationships xmlns="http://schemas.openxmlformats.org/package/2006/relationships"><Relationship Id="rId1" Type="http://schemas.openxmlformats.org/officeDocument/2006/relationships/hyperlink" Target="https://drive.google.com/file/d/1FCUrcqPNdemUiECbAo36cMyBzDswrCBn/view" TargetMode="External"/><Relationship Id="rId2" Type="http://schemas.openxmlformats.org/officeDocument/2006/relationships/drawing" Target="../drawings/drawing59.xml"/></Relationships>
</file>

<file path=xl/worksheets/_rels/sheet60.xml.rels><?xml version="1.0" encoding="UTF-8" standalone="yes"?><Relationships xmlns="http://schemas.openxmlformats.org/package/2006/relationships"><Relationship Id="rId1" Type="http://schemas.openxmlformats.org/officeDocument/2006/relationships/hyperlink" Target="https://drive.google.com/file/d/17hSQCNdzal3wDYeX210AfeOqqudcDZet/view" TargetMode="External"/><Relationship Id="rId2" Type="http://schemas.openxmlformats.org/officeDocument/2006/relationships/drawing" Target="../drawings/drawing60.xml"/></Relationships>
</file>

<file path=xl/worksheets/_rels/sheet61.xml.rels><?xml version="1.0" encoding="UTF-8" standalone="yes"?><Relationships xmlns="http://schemas.openxmlformats.org/package/2006/relationships"><Relationship Id="rId1" Type="http://schemas.openxmlformats.org/officeDocument/2006/relationships/hyperlink" Target="https://drive.google.com/file/d/1ISuBrMy08UhQ7oOF9cutPmQFkeVhVwfZ/view" TargetMode="External"/><Relationship Id="rId2" Type="http://schemas.openxmlformats.org/officeDocument/2006/relationships/drawing" Target="../drawings/drawing61.xml"/></Relationships>
</file>

<file path=xl/worksheets/_rels/sheet62.xml.rels><?xml version="1.0" encoding="UTF-8" standalone="yes"?><Relationships xmlns="http://schemas.openxmlformats.org/package/2006/relationships"><Relationship Id="rId1" Type="http://schemas.openxmlformats.org/officeDocument/2006/relationships/hyperlink" Target="https://drive.google.com/file/d/1y-Q-Rv_KhhUxkvtJwCTbSMPVPE9-jHrQ/view" TargetMode="External"/><Relationship Id="rId2" Type="http://schemas.openxmlformats.org/officeDocument/2006/relationships/drawing" Target="../drawings/drawing62.xml"/></Relationships>
</file>

<file path=xl/worksheets/_rels/sheet63.xml.rels><?xml version="1.0" encoding="UTF-8" standalone="yes"?><Relationships xmlns="http://schemas.openxmlformats.org/package/2006/relationships"><Relationship Id="rId1" Type="http://schemas.openxmlformats.org/officeDocument/2006/relationships/hyperlink" Target="https://drive.google.com/file/d/1ibKMKGCX13GvXFM8HVW4UeJeAMIjL0Ya/view" TargetMode="External"/><Relationship Id="rId2" Type="http://schemas.openxmlformats.org/officeDocument/2006/relationships/drawing" Target="../drawings/drawing63.xml"/></Relationships>
</file>

<file path=xl/worksheets/_rels/sheet64.xml.rels><?xml version="1.0" encoding="UTF-8" standalone="yes"?><Relationships xmlns="http://schemas.openxmlformats.org/package/2006/relationships"><Relationship Id="rId1" Type="http://schemas.openxmlformats.org/officeDocument/2006/relationships/hyperlink" Target="https://drive.google.com/file/d/1s9eHQaZii3-iwnOwNnXNmHVlG_vXdpGL/view" TargetMode="External"/><Relationship Id="rId2" Type="http://schemas.openxmlformats.org/officeDocument/2006/relationships/drawing" Target="../drawings/drawing64.xml"/></Relationships>
</file>

<file path=xl/worksheets/_rels/sheet65.xml.rels><?xml version="1.0" encoding="UTF-8" standalone="yes"?><Relationships xmlns="http://schemas.openxmlformats.org/package/2006/relationships"><Relationship Id="rId1" Type="http://schemas.openxmlformats.org/officeDocument/2006/relationships/hyperlink" Target="https://drive.google.com/file/d/1me45M78uF8GcLchOI9-Tn6L017KQzysj/view" TargetMode="External"/><Relationship Id="rId2" Type="http://schemas.openxmlformats.org/officeDocument/2006/relationships/drawing" Target="../drawings/drawing65.xml"/></Relationships>
</file>

<file path=xl/worksheets/_rels/sheet66.xml.rels><?xml version="1.0" encoding="UTF-8" standalone="yes"?><Relationships xmlns="http://schemas.openxmlformats.org/package/2006/relationships"><Relationship Id="rId1" Type="http://schemas.openxmlformats.org/officeDocument/2006/relationships/hyperlink" Target="https://drive.google.com/file/d/10Z5D_nnZG060qAYPxosX1tz2_xpk8umw/view" TargetMode="External"/><Relationship Id="rId2" Type="http://schemas.openxmlformats.org/officeDocument/2006/relationships/drawing" Target="../drawings/drawing66.xml"/></Relationships>
</file>

<file path=xl/worksheets/_rels/sheet67.xml.rels><?xml version="1.0" encoding="UTF-8" standalone="yes"?><Relationships xmlns="http://schemas.openxmlformats.org/package/2006/relationships"><Relationship Id="rId1" Type="http://schemas.openxmlformats.org/officeDocument/2006/relationships/hyperlink" Target="https://drive.google.com/file/d/1pKEq_mGKkU-J2YRlFc2GziCG7lXLJCYg/view" TargetMode="External"/><Relationship Id="rId2" Type="http://schemas.openxmlformats.org/officeDocument/2006/relationships/drawing" Target="../drawings/drawing67.xml"/></Relationships>
</file>

<file path=xl/worksheets/_rels/sheet68.xml.rels><?xml version="1.0" encoding="UTF-8" standalone="yes"?><Relationships xmlns="http://schemas.openxmlformats.org/package/2006/relationships"><Relationship Id="rId1" Type="http://schemas.openxmlformats.org/officeDocument/2006/relationships/hyperlink" Target="https://drive.google.com/file/d/1VchFRc4ZWGJ-qOUgnad_c6ioSNvA_Ee3/view" TargetMode="External"/><Relationship Id="rId2" Type="http://schemas.openxmlformats.org/officeDocument/2006/relationships/drawing" Target="../drawings/drawing68.xml"/></Relationships>
</file>

<file path=xl/worksheets/_rels/sheet69.xml.rels><?xml version="1.0" encoding="UTF-8" standalone="yes"?><Relationships xmlns="http://schemas.openxmlformats.org/package/2006/relationships"><Relationship Id="rId1" Type="http://schemas.openxmlformats.org/officeDocument/2006/relationships/hyperlink" Target="https://drive.google.com/file/d/1hpY30yhgOLzwP5-8HCKK72qvoPEKQ7W6/view" TargetMode="External"/><Relationship Id="rId2" Type="http://schemas.openxmlformats.org/officeDocument/2006/relationships/drawing" Target="../drawings/drawing69.xml"/></Relationships>
</file>

<file path=xl/worksheets/_rels/sheet70.xml.rels><?xml version="1.0" encoding="UTF-8" standalone="yes"?><Relationships xmlns="http://schemas.openxmlformats.org/package/2006/relationships"><Relationship Id="rId1" Type="http://schemas.openxmlformats.org/officeDocument/2006/relationships/hyperlink" Target="https://drive.google.com/file/d/14oaqDZOVTW9toJ-cFtfsa63MFsRfdf-l/view" TargetMode="External"/><Relationship Id="rId2" Type="http://schemas.openxmlformats.org/officeDocument/2006/relationships/drawing" Target="../drawings/drawing70.xml"/></Relationships>
</file>

<file path=xl/worksheets/_rels/sheet71.xml.rels><?xml version="1.0" encoding="UTF-8" standalone="yes"?><Relationships xmlns="http://schemas.openxmlformats.org/package/2006/relationships"><Relationship Id="rId1" Type="http://schemas.openxmlformats.org/officeDocument/2006/relationships/hyperlink" Target="https://drive.google.com/file/d/1N2w-R3o1jLgIVNB0rDVD2OphhHb5iMIF/view" TargetMode="External"/><Relationship Id="rId2" Type="http://schemas.openxmlformats.org/officeDocument/2006/relationships/drawing" Target="../drawings/drawing71.xml"/></Relationships>
</file>

<file path=xl/worksheets/_rels/sheet72.xml.rels><?xml version="1.0" encoding="UTF-8" standalone="yes"?><Relationships xmlns="http://schemas.openxmlformats.org/package/2006/relationships"><Relationship Id="rId1" Type="http://schemas.openxmlformats.org/officeDocument/2006/relationships/hyperlink" Target="https://drive.google.com/file/d/1Oi9bYsKNftbR_3vFn9_0yFSVDswRTQeG/view" TargetMode="External"/><Relationship Id="rId2" Type="http://schemas.openxmlformats.org/officeDocument/2006/relationships/drawing" Target="../drawings/drawing72.xml"/></Relationships>
</file>

<file path=xl/worksheets/_rels/sheet73.xml.rels><?xml version="1.0" encoding="UTF-8" standalone="yes"?><Relationships xmlns="http://schemas.openxmlformats.org/package/2006/relationships"><Relationship Id="rId1" Type="http://schemas.openxmlformats.org/officeDocument/2006/relationships/hyperlink" Target="https://drive.google.com/file/d/1roqF5pxhcZ3ujMvI4-BLCZHCiP-UqP8k/view" TargetMode="External"/><Relationship Id="rId2" Type="http://schemas.openxmlformats.org/officeDocument/2006/relationships/drawing" Target="../drawings/drawing73.xml"/></Relationships>
</file>

<file path=xl/worksheets/_rels/sheet74.xml.rels><?xml version="1.0" encoding="UTF-8" standalone="yes"?><Relationships xmlns="http://schemas.openxmlformats.org/package/2006/relationships"><Relationship Id="rId1" Type="http://schemas.openxmlformats.org/officeDocument/2006/relationships/hyperlink" Target="https://drive.google.com/file/d/1CAOaHdv8ccJqGXQu2RPbAce4BCmnZc91/view" TargetMode="External"/><Relationship Id="rId2" Type="http://schemas.openxmlformats.org/officeDocument/2006/relationships/drawing" Target="../drawings/drawing74.xml"/></Relationships>
</file>

<file path=xl/worksheets/_rels/sheet75.xml.rels><?xml version="1.0" encoding="UTF-8" standalone="yes"?><Relationships xmlns="http://schemas.openxmlformats.org/package/2006/relationships"><Relationship Id="rId1" Type="http://schemas.openxmlformats.org/officeDocument/2006/relationships/hyperlink" Target="https://drive.google.com/file/d/1HZ45iEkYnkETBehekKazr9LbSaBR2Cp7/view" TargetMode="External"/><Relationship Id="rId2" Type="http://schemas.openxmlformats.org/officeDocument/2006/relationships/drawing" Target="../drawings/drawing75.xml"/></Relationships>
</file>

<file path=xl/worksheets/_rels/sheet76.xml.rels><?xml version="1.0" encoding="UTF-8" standalone="yes"?><Relationships xmlns="http://schemas.openxmlformats.org/package/2006/relationships"><Relationship Id="rId1" Type="http://schemas.openxmlformats.org/officeDocument/2006/relationships/hyperlink" Target="https://drive.google.com/file/d/1JuL3i-XfmPp_gmIlfh7MUk0WtsQ6uWmp/view" TargetMode="External"/><Relationship Id="rId2" Type="http://schemas.openxmlformats.org/officeDocument/2006/relationships/drawing" Target="../drawings/drawing76.xml"/></Relationships>
</file>

<file path=xl/worksheets/_rels/sheet77.xml.rels><?xml version="1.0" encoding="UTF-8" standalone="yes"?><Relationships xmlns="http://schemas.openxmlformats.org/package/2006/relationships"><Relationship Id="rId1" Type="http://schemas.openxmlformats.org/officeDocument/2006/relationships/hyperlink" Target="https://drive.google.com/file/d/1Q1pL4C7qCZPalzmOQX0_tCHeav4_3ru-/view" TargetMode="External"/><Relationship Id="rId2" Type="http://schemas.openxmlformats.org/officeDocument/2006/relationships/drawing" Target="../drawings/drawing77.xml"/></Relationships>
</file>

<file path=xl/worksheets/_rels/sheet78.xml.rels><?xml version="1.0" encoding="UTF-8" standalone="yes"?><Relationships xmlns="http://schemas.openxmlformats.org/package/2006/relationships"><Relationship Id="rId1" Type="http://schemas.openxmlformats.org/officeDocument/2006/relationships/hyperlink" Target="https://drive.google.com/file/d/1P2giqrV2hUToSnil4vldFkjCPZcuCFdj/view" TargetMode="External"/><Relationship Id="rId2" Type="http://schemas.openxmlformats.org/officeDocument/2006/relationships/drawing" Target="../drawings/drawing78.xml"/></Relationships>
</file>

<file path=xl/worksheets/_rels/sheet79.xml.rels><?xml version="1.0" encoding="UTF-8" standalone="yes"?><Relationships xmlns="http://schemas.openxmlformats.org/package/2006/relationships"><Relationship Id="rId1" Type="http://schemas.openxmlformats.org/officeDocument/2006/relationships/hyperlink" Target="https://drive.google.com/file/d/1NoynM5eVtyw1lIv6ASgmn_W3iUxq-GXa/view" TargetMode="External"/><Relationship Id="rId2" Type="http://schemas.openxmlformats.org/officeDocument/2006/relationships/drawing" Target="../drawings/drawing79.xml"/></Relationships>
</file>

<file path=xl/worksheets/_rels/sheet80.xml.rels><?xml version="1.0" encoding="UTF-8" standalone="yes"?><Relationships xmlns="http://schemas.openxmlformats.org/package/2006/relationships"><Relationship Id="rId1" Type="http://schemas.openxmlformats.org/officeDocument/2006/relationships/hyperlink" Target="https://drive.google.com/file/d/1Bp6cvXj1p4d0Yx-5XUJNi5FKPnkgSxU_/view" TargetMode="External"/><Relationship Id="rId2" Type="http://schemas.openxmlformats.org/officeDocument/2006/relationships/drawing" Target="../drawings/drawing80.xml"/></Relationships>
</file>

<file path=xl/worksheets/_rels/sheet81.xml.rels><?xml version="1.0" encoding="UTF-8" standalone="yes"?><Relationships xmlns="http://schemas.openxmlformats.org/package/2006/relationships"><Relationship Id="rId1" Type="http://schemas.openxmlformats.org/officeDocument/2006/relationships/hyperlink" Target="https://drive.google.com/file/d/1XYP0ME6CEvWr02ggTychOf58IdZqekAq/view" TargetMode="External"/><Relationship Id="rId2" Type="http://schemas.openxmlformats.org/officeDocument/2006/relationships/drawing" Target="../drawings/drawing81.xml"/></Relationships>
</file>

<file path=xl/worksheets/_rels/sheet82.xml.rels><?xml version="1.0" encoding="UTF-8" standalone="yes"?><Relationships xmlns="http://schemas.openxmlformats.org/package/2006/relationships"><Relationship Id="rId1" Type="http://schemas.openxmlformats.org/officeDocument/2006/relationships/hyperlink" Target="https://drive.google.com/file/d/1q0x6fmaA9e6bX15869dnKklH1BFK7wzi/view" TargetMode="External"/><Relationship Id="rId2" Type="http://schemas.openxmlformats.org/officeDocument/2006/relationships/drawing" Target="../drawings/drawing82.xml"/></Relationships>
</file>

<file path=xl/worksheets/_rels/sheet83.xml.rels><?xml version="1.0" encoding="UTF-8" standalone="yes"?><Relationships xmlns="http://schemas.openxmlformats.org/package/2006/relationships"><Relationship Id="rId1" Type="http://schemas.openxmlformats.org/officeDocument/2006/relationships/hyperlink" Target="https://drive.google.com/file/d/12Ea4ER1QUoFCbCA1Wpg6wzcn_JCbYSSI/view" TargetMode="External"/><Relationship Id="rId2" Type="http://schemas.openxmlformats.org/officeDocument/2006/relationships/drawing" Target="../drawings/drawing83.xml"/></Relationships>
</file>

<file path=xl/worksheets/_rels/sheet84.xml.rels><?xml version="1.0" encoding="UTF-8" standalone="yes"?><Relationships xmlns="http://schemas.openxmlformats.org/package/2006/relationships"><Relationship Id="rId1" Type="http://schemas.openxmlformats.org/officeDocument/2006/relationships/hyperlink" Target="https://drive.google.com/file/d/1ICCWr_e9cpt8refY9pKOL8GRGjbquXhV/view" TargetMode="External"/><Relationship Id="rId2" Type="http://schemas.openxmlformats.org/officeDocument/2006/relationships/drawing" Target="../drawings/drawing84.xml"/></Relationships>
</file>

<file path=xl/worksheets/_rels/sheet85.xml.rels><?xml version="1.0" encoding="UTF-8" standalone="yes"?><Relationships xmlns="http://schemas.openxmlformats.org/package/2006/relationships"><Relationship Id="rId1" Type="http://schemas.openxmlformats.org/officeDocument/2006/relationships/hyperlink" Target="https://drive.google.com/file/d/1qR8dyM4VZS2OefwAn2L_GgZ-Mvq164C1/view" TargetMode="External"/><Relationship Id="rId2" Type="http://schemas.openxmlformats.org/officeDocument/2006/relationships/drawing" Target="../drawings/drawing85.xml"/></Relationships>
</file>

<file path=xl/worksheets/_rels/sheet86.xml.rels><?xml version="1.0" encoding="UTF-8" standalone="yes"?><Relationships xmlns="http://schemas.openxmlformats.org/package/2006/relationships"><Relationship Id="rId1" Type="http://schemas.openxmlformats.org/officeDocument/2006/relationships/hyperlink" Target="https://drive.google.com/file/d/1vitPEFPV51Z6B8Gui4JtfTsLumLSO7BT/view" TargetMode="External"/><Relationship Id="rId2" Type="http://schemas.openxmlformats.org/officeDocument/2006/relationships/drawing" Target="../drawings/drawing86.xml"/></Relationships>
</file>

<file path=xl/worksheets/_rels/sheet87.xml.rels><?xml version="1.0" encoding="UTF-8" standalone="yes"?><Relationships xmlns="http://schemas.openxmlformats.org/package/2006/relationships"><Relationship Id="rId1" Type="http://schemas.openxmlformats.org/officeDocument/2006/relationships/hyperlink" Target="https://drive.google.com/file/d/1RRSYwiZROA-N8JUh-r0Hu11ip9V66Ylw/view" TargetMode="External"/><Relationship Id="rId2" Type="http://schemas.openxmlformats.org/officeDocument/2006/relationships/drawing" Target="../drawings/drawing87.xml"/></Relationships>
</file>

<file path=xl/worksheets/_rels/sheet88.xml.rels><?xml version="1.0" encoding="UTF-8" standalone="yes"?><Relationships xmlns="http://schemas.openxmlformats.org/package/2006/relationships"><Relationship Id="rId1" Type="http://schemas.openxmlformats.org/officeDocument/2006/relationships/hyperlink" Target="https://drive.google.com/file/d/1y20Dl40OWw-_0JX4lQDgS8LOYx6kTmdX/view" TargetMode="External"/><Relationship Id="rId2" Type="http://schemas.openxmlformats.org/officeDocument/2006/relationships/drawing" Target="../drawings/drawing88.xml"/></Relationships>
</file>

<file path=xl/worksheets/_rels/sheet89.xml.rels><?xml version="1.0" encoding="UTF-8" standalone="yes"?><Relationships xmlns="http://schemas.openxmlformats.org/package/2006/relationships"><Relationship Id="rId1" Type="http://schemas.openxmlformats.org/officeDocument/2006/relationships/hyperlink" Target="https://drive.google.com/file/d/1YxU9Gqk8RdRlwpKnib2L-lCqGxH0Vgak/view" TargetMode="External"/><Relationship Id="rId2" Type="http://schemas.openxmlformats.org/officeDocument/2006/relationships/drawing" Target="../drawings/drawing89.xml"/></Relationships>
</file>

<file path=xl/worksheets/_rels/sheet90.xml.rels><?xml version="1.0" encoding="UTF-8" standalone="yes"?><Relationships xmlns="http://schemas.openxmlformats.org/package/2006/relationships"><Relationship Id="rId1" Type="http://schemas.openxmlformats.org/officeDocument/2006/relationships/hyperlink" Target="https://drive.google.com/file/d/1mt4i3G4W_d9eCrE5Bjcona3T-bZT1l4c/view" TargetMode="External"/><Relationship Id="rId2" Type="http://schemas.openxmlformats.org/officeDocument/2006/relationships/drawing" Target="../drawings/drawing90.xml"/></Relationships>
</file>

<file path=xl/worksheets/_rels/sheet91.xml.rels><?xml version="1.0" encoding="UTF-8" standalone="yes"?><Relationships xmlns="http://schemas.openxmlformats.org/package/2006/relationships"><Relationship Id="rId1" Type="http://schemas.openxmlformats.org/officeDocument/2006/relationships/hyperlink" Target="https://drive.google.com/file/d/12J_UdGHAslBAKgNT7wIRYPLRr3o2k7NK/view" TargetMode="External"/><Relationship Id="rId2" Type="http://schemas.openxmlformats.org/officeDocument/2006/relationships/drawing" Target="../drawings/drawing91.xml"/></Relationships>
</file>

<file path=xl/worksheets/_rels/sheet92.xml.rels><?xml version="1.0" encoding="UTF-8" standalone="yes"?><Relationships xmlns="http://schemas.openxmlformats.org/package/2006/relationships"><Relationship Id="rId1" Type="http://schemas.openxmlformats.org/officeDocument/2006/relationships/hyperlink" Target="https://drive.google.com/file/d/1ikhxgL2ziXEvi6TTpgAwLI0PhQDnH3Ni/view" TargetMode="External"/><Relationship Id="rId2" Type="http://schemas.openxmlformats.org/officeDocument/2006/relationships/drawing" Target="../drawings/drawing92.xml"/></Relationships>
</file>

<file path=xl/worksheets/_rels/sheet93.xml.rels><?xml version="1.0" encoding="UTF-8" standalone="yes"?><Relationships xmlns="http://schemas.openxmlformats.org/package/2006/relationships"><Relationship Id="rId1" Type="http://schemas.openxmlformats.org/officeDocument/2006/relationships/hyperlink" Target="https://drive.google.com/file/d/1hoMeYo3VgOw6k8Pyrb2_u0Pyyd_wTkpN/view" TargetMode="External"/><Relationship Id="rId2" Type="http://schemas.openxmlformats.org/officeDocument/2006/relationships/drawing" Target="../drawings/drawing93.xml"/></Relationships>
</file>

<file path=xl/worksheets/_rels/sheet94.xml.rels><?xml version="1.0" encoding="UTF-8" standalone="yes"?><Relationships xmlns="http://schemas.openxmlformats.org/package/2006/relationships"><Relationship Id="rId1" Type="http://schemas.openxmlformats.org/officeDocument/2006/relationships/hyperlink" Target="https://drive.google.com/file/d/1WkOgJUMKp0EE5X-7pvUBV4j-lgzLvgwE/view" TargetMode="External"/><Relationship Id="rId2" Type="http://schemas.openxmlformats.org/officeDocument/2006/relationships/drawing" Target="../drawings/drawing94.xml"/></Relationships>
</file>

<file path=xl/worksheets/_rels/sheet95.xml.rels><?xml version="1.0" encoding="UTF-8" standalone="yes"?><Relationships xmlns="http://schemas.openxmlformats.org/package/2006/relationships"><Relationship Id="rId1" Type="http://schemas.openxmlformats.org/officeDocument/2006/relationships/hyperlink" Target="https://drive.google.com/file/d/15sVasj0VtY7XQU6gD1W3Yfnaqq0XH0Ro/view" TargetMode="External"/><Relationship Id="rId2" Type="http://schemas.openxmlformats.org/officeDocument/2006/relationships/drawing" Target="../drawings/drawing95.xml"/></Relationships>
</file>

<file path=xl/worksheets/_rels/sheet96.xml.rels><?xml version="1.0" encoding="UTF-8" standalone="yes"?><Relationships xmlns="http://schemas.openxmlformats.org/package/2006/relationships"><Relationship Id="rId1" Type="http://schemas.openxmlformats.org/officeDocument/2006/relationships/hyperlink" Target="https://drive.google.com/file/d/1j2nA534lttAEeeP3RZbGpZGFt9vioDB9/view" TargetMode="External"/><Relationship Id="rId2" Type="http://schemas.openxmlformats.org/officeDocument/2006/relationships/drawing" Target="../drawings/drawing96.xml"/></Relationships>
</file>

<file path=xl/worksheets/_rels/sheet97.xml.rels><?xml version="1.0" encoding="UTF-8" standalone="yes"?><Relationships xmlns="http://schemas.openxmlformats.org/package/2006/relationships"><Relationship Id="rId1" Type="http://schemas.openxmlformats.org/officeDocument/2006/relationships/hyperlink" Target="https://drive.google.com/file/d/1OvYF-BBGcMXtNOQnKdK-7MfeDq07DVxN/view" TargetMode="External"/><Relationship Id="rId2" Type="http://schemas.openxmlformats.org/officeDocument/2006/relationships/drawing" Target="../drawings/drawing97.xml"/></Relationships>
</file>

<file path=xl/worksheets/_rels/sheet98.xml.rels><?xml version="1.0" encoding="UTF-8" standalone="yes"?><Relationships xmlns="http://schemas.openxmlformats.org/package/2006/relationships"><Relationship Id="rId1" Type="http://schemas.openxmlformats.org/officeDocument/2006/relationships/hyperlink" Target="https://drive.google.com/file/d/1IVxldxW9abo6nmcsidplcpM3mE10XWTZ/view" TargetMode="External"/><Relationship Id="rId2" Type="http://schemas.openxmlformats.org/officeDocument/2006/relationships/drawing" Target="../drawings/drawing98.xml"/></Relationships>
</file>

<file path=xl/worksheets/_rels/sheet99.xml.rels><?xml version="1.0" encoding="UTF-8" standalone="yes"?><Relationships xmlns="http://schemas.openxmlformats.org/package/2006/relationships"><Relationship Id="rId1" Type="http://schemas.openxmlformats.org/officeDocument/2006/relationships/hyperlink" Target="https://drive.google.com/file/d/1RTJ80_fUDhZfadPcqsTD6CalX5THiG3m/view" TargetMode="External"/><Relationship Id="rId2" Type="http://schemas.openxmlformats.org/officeDocument/2006/relationships/drawing" Target="../drawings/drawing99.xml"/></Relationships>
</file>

<file path=xl/worksheets/_rels/sheet100.xml.rels><?xml version="1.0" encoding="UTF-8" standalone="yes"?><Relationships xmlns="http://schemas.openxmlformats.org/package/2006/relationships"><Relationship Id="rId1" Type="http://schemas.openxmlformats.org/officeDocument/2006/relationships/hyperlink" Target="https://drive.google.com/file/d/1gYW5ZILEf0HqBvSudWNEO4vlYAYSswGi/view" TargetMode="External"/><Relationship Id="rId2" Type="http://schemas.openxmlformats.org/officeDocument/2006/relationships/drawing" Target="../drawings/drawing100.xml"/></Relationships>
</file>

<file path=xl/worksheets/_rels/sheet101.xml.rels><?xml version="1.0" encoding="UTF-8" standalone="yes"?><Relationships xmlns="http://schemas.openxmlformats.org/package/2006/relationships"><Relationship Id="rId1" Type="http://schemas.openxmlformats.org/officeDocument/2006/relationships/hyperlink" Target="https://drive.google.com/file/d/1FCohpx5WTfP5uA2pnx-C6WverDNL2o9y/view" TargetMode="External"/><Relationship Id="rId2" Type="http://schemas.openxmlformats.org/officeDocument/2006/relationships/drawing" Target="../drawings/drawing101.xml"/></Relationships>
</file>

<file path=xl/worksheets/_rels/sheet102.xml.rels><?xml version="1.0" encoding="UTF-8" standalone="yes"?><Relationships xmlns="http://schemas.openxmlformats.org/package/2006/relationships"><Relationship Id="rId1" Type="http://schemas.openxmlformats.org/officeDocument/2006/relationships/hyperlink" Target="https://drive.google.com/file/d/1BHsvID3p-2wvBTXjvBgn72cHDa-W-ReK/view" TargetMode="External"/><Relationship Id="rId2" Type="http://schemas.openxmlformats.org/officeDocument/2006/relationships/drawing" Target="../drawings/drawing102.xml"/></Relationships>
</file>

<file path=xl/worksheets/_rels/sheet103.xml.rels><?xml version="1.0" encoding="UTF-8" standalone="yes"?><Relationships xmlns="http://schemas.openxmlformats.org/package/2006/relationships"><Relationship Id="rId1" Type="http://schemas.openxmlformats.org/officeDocument/2006/relationships/hyperlink" Target="https://drive.google.com/file/d/1s3D-yY5u4Em1ioQpZe8-By8CXa5UEKB7/view" TargetMode="External"/><Relationship Id="rId2" Type="http://schemas.openxmlformats.org/officeDocument/2006/relationships/drawing" Target="../drawings/drawing103.xml"/></Relationships>
</file>

<file path=xl/worksheets/_rels/sheet104.xml.rels><?xml version="1.0" encoding="UTF-8" standalone="yes"?><Relationships xmlns="http://schemas.openxmlformats.org/package/2006/relationships"><Relationship Id="rId1" Type="http://schemas.openxmlformats.org/officeDocument/2006/relationships/hyperlink" Target="https://drive.google.com/file/d/1tmlgo3isTgHNAg1ruLfIXA90eqW9z5ax/view" TargetMode="External"/><Relationship Id="rId2" Type="http://schemas.openxmlformats.org/officeDocument/2006/relationships/drawing" Target="../drawings/drawing104.xml"/></Relationships>
</file>

<file path=xl/worksheets/_rels/sheet105.xml.rels><?xml version="1.0" encoding="UTF-8" standalone="yes"?><Relationships xmlns="http://schemas.openxmlformats.org/package/2006/relationships"><Relationship Id="rId1" Type="http://schemas.openxmlformats.org/officeDocument/2006/relationships/hyperlink" Target="https://drive.google.com/file/d/1WHKbgolWOb1_IAJaf_KfBbDgBhvt2GEG/view" TargetMode="External"/><Relationship Id="rId2" Type="http://schemas.openxmlformats.org/officeDocument/2006/relationships/drawing" Target="../drawings/drawing105.xml"/></Relationships>
</file>

<file path=xl/worksheets/_rels/sheet106.xml.rels><?xml version="1.0" encoding="UTF-8" standalone="yes"?><Relationships xmlns="http://schemas.openxmlformats.org/package/2006/relationships"><Relationship Id="rId1" Type="http://schemas.openxmlformats.org/officeDocument/2006/relationships/hyperlink" Target="https://drive.google.com/file/d/1j-zMH1jl4GME81u7BJj_Mtm2Of8uIiMF/view" TargetMode="External"/><Relationship Id="rId2" Type="http://schemas.openxmlformats.org/officeDocument/2006/relationships/drawing" Target="../drawings/drawing106.xml"/></Relationships>
</file>

<file path=xl/worksheets/_rels/sheet107.xml.rels><?xml version="1.0" encoding="UTF-8" standalone="yes"?><Relationships xmlns="http://schemas.openxmlformats.org/package/2006/relationships"><Relationship Id="rId1" Type="http://schemas.openxmlformats.org/officeDocument/2006/relationships/hyperlink" Target="https://drive.google.com/file/d/1pkJiVq67-qrAEpj8ywDBw6ypgP9GZ2wW/view" TargetMode="External"/><Relationship Id="rId2" Type="http://schemas.openxmlformats.org/officeDocument/2006/relationships/drawing" Target="../drawings/drawing107.xml"/></Relationships>
</file>

<file path=xl/worksheets/_rels/sheet108.xml.rels><?xml version="1.0" encoding="UTF-8" standalone="yes"?><Relationships xmlns="http://schemas.openxmlformats.org/package/2006/relationships"><Relationship Id="rId1" Type="http://schemas.openxmlformats.org/officeDocument/2006/relationships/hyperlink" Target="https://drive.google.com/file/d/1do53OOOFEAD2DGzlKHO0U7wSscxyzzRm/view" TargetMode="External"/><Relationship Id="rId2" Type="http://schemas.openxmlformats.org/officeDocument/2006/relationships/drawing" Target="../drawings/drawing108.xml"/></Relationships>
</file>

<file path=xl/worksheets/_rels/sheet109.xml.rels><?xml version="1.0" encoding="UTF-8" standalone="yes"?><Relationships xmlns="http://schemas.openxmlformats.org/package/2006/relationships"><Relationship Id="rId1" Type="http://schemas.openxmlformats.org/officeDocument/2006/relationships/hyperlink" Target="https://drive.google.com/file/d/1wf6MlaXtrkY9bAytnM9oDQSM21nZ2GLl/view" TargetMode="External"/><Relationship Id="rId2" Type="http://schemas.openxmlformats.org/officeDocument/2006/relationships/drawing" Target="../drawings/drawing109.xml"/></Relationships>
</file>

<file path=xl/worksheets/_rels/sheet110.xml.rels><?xml version="1.0" encoding="UTF-8" standalone="yes"?><Relationships xmlns="http://schemas.openxmlformats.org/package/2006/relationships"><Relationship Id="rId1" Type="http://schemas.openxmlformats.org/officeDocument/2006/relationships/hyperlink" Target="https://drive.google.com/file/d/19mHyhRZPW1TlW4Lt4mYtlw3qTerHqfEZ/view" TargetMode="External"/><Relationship Id="rId2" Type="http://schemas.openxmlformats.org/officeDocument/2006/relationships/drawing" Target="../drawings/drawing110.xml"/></Relationships>
</file>

<file path=xl/worksheets/_rels/sheet111.xml.rels><?xml version="1.0" encoding="UTF-8" standalone="yes"?><Relationships xmlns="http://schemas.openxmlformats.org/package/2006/relationships"><Relationship Id="rId1" Type="http://schemas.openxmlformats.org/officeDocument/2006/relationships/hyperlink" Target="https://drive.google.com/file/d/1qRKY9CS2zlIdJIRth1zGFA7JMJWgcSR3/view" TargetMode="External"/><Relationship Id="rId2" Type="http://schemas.openxmlformats.org/officeDocument/2006/relationships/drawing" Target="../drawings/drawing111.xml"/></Relationships>
</file>

<file path=xl/worksheets/_rels/sheet112.xml.rels><?xml version="1.0" encoding="UTF-8" standalone="yes"?><Relationships xmlns="http://schemas.openxmlformats.org/package/2006/relationships"><Relationship Id="rId1" Type="http://schemas.openxmlformats.org/officeDocument/2006/relationships/hyperlink" Target="https://drive.google.com/file/d/1LXjuEqpFN58Lnp-yKfSsmaJ5kgQUFQL5/view" TargetMode="External"/><Relationship Id="rId2" Type="http://schemas.openxmlformats.org/officeDocument/2006/relationships/drawing" Target="../drawings/drawing112.xml"/></Relationships>
</file>

<file path=xl/worksheets/_rels/sheet113.xml.rels><?xml version="1.0" encoding="UTF-8" standalone="yes"?><Relationships xmlns="http://schemas.openxmlformats.org/package/2006/relationships"><Relationship Id="rId1" Type="http://schemas.openxmlformats.org/officeDocument/2006/relationships/hyperlink" Target="https://drive.google.com/file/d/1p7y2Ty0O2wVKofl7ijjGrIjs5jmoy40A/view" TargetMode="External"/><Relationship Id="rId2" Type="http://schemas.openxmlformats.org/officeDocument/2006/relationships/drawing" Target="../drawings/drawing113.xml"/></Relationships>
</file>

<file path=xl/worksheets/_rels/sheet114.xml.rels><?xml version="1.0" encoding="UTF-8" standalone="yes"?><Relationships xmlns="http://schemas.openxmlformats.org/package/2006/relationships"><Relationship Id="rId1" Type="http://schemas.openxmlformats.org/officeDocument/2006/relationships/hyperlink" Target="https://drive.google.com/file/d/1fX1Q7EDcCxuw8jzFPJuiASnTp4-A0AvQ/view" TargetMode="External"/><Relationship Id="rId2" Type="http://schemas.openxmlformats.org/officeDocument/2006/relationships/drawing" Target="../drawings/drawing114.xml"/></Relationships>
</file>

<file path=xl/worksheets/_rels/sheet115.xml.rels><?xml version="1.0" encoding="UTF-8" standalone="yes"?><Relationships xmlns="http://schemas.openxmlformats.org/package/2006/relationships"><Relationship Id="rId1" Type="http://schemas.openxmlformats.org/officeDocument/2006/relationships/hyperlink" Target="https://drive.google.com/file/d/1YZsWyNAP1p2cr3oFtG6-WlZ1vlRv125e/view" TargetMode="External"/><Relationship Id="rId2" Type="http://schemas.openxmlformats.org/officeDocument/2006/relationships/drawing" Target="../drawings/drawing115.xml"/></Relationships>
</file>

<file path=xl/worksheets/_rels/sheet116.xml.rels><?xml version="1.0" encoding="UTF-8" standalone="yes"?><Relationships xmlns="http://schemas.openxmlformats.org/package/2006/relationships"><Relationship Id="rId1" Type="http://schemas.openxmlformats.org/officeDocument/2006/relationships/hyperlink" Target="https://drive.google.com/file/d/1p0aq6RnVx3dlF8GgMs8SjvxMFMkyU-H7/view" TargetMode="External"/><Relationship Id="rId2" Type="http://schemas.openxmlformats.org/officeDocument/2006/relationships/drawing" Target="../drawings/drawing116.xml"/></Relationships>
</file>

<file path=xl/worksheets/_rels/sheet117.xml.rels><?xml version="1.0" encoding="UTF-8" standalone="yes"?><Relationships xmlns="http://schemas.openxmlformats.org/package/2006/relationships"><Relationship Id="rId1" Type="http://schemas.openxmlformats.org/officeDocument/2006/relationships/hyperlink" Target="https://drive.google.com/file/d/1WD2Oc4HfjG5qWoNp4xCJWc5SkEz5f_gW/view" TargetMode="External"/><Relationship Id="rId2" Type="http://schemas.openxmlformats.org/officeDocument/2006/relationships/drawing" Target="../drawings/drawing117.xml"/></Relationships>
</file>

<file path=xl/worksheets/_rels/sheet118.xml.rels><?xml version="1.0" encoding="UTF-8" standalone="yes"?><Relationships xmlns="http://schemas.openxmlformats.org/package/2006/relationships"><Relationship Id="rId1" Type="http://schemas.openxmlformats.org/officeDocument/2006/relationships/hyperlink" Target="https://drive.google.com/file/d/151bU4pK_dJKcrsz0MnvSoZ8SFJKvrnHq/view" TargetMode="External"/><Relationship Id="rId2" Type="http://schemas.openxmlformats.org/officeDocument/2006/relationships/drawing" Target="../drawings/drawing118.xml"/></Relationships>
</file>

<file path=xl/worksheets/_rels/sheet119.xml.rels><?xml version="1.0" encoding="UTF-8" standalone="yes"?><Relationships xmlns="http://schemas.openxmlformats.org/package/2006/relationships"><Relationship Id="rId1" Type="http://schemas.openxmlformats.org/officeDocument/2006/relationships/hyperlink" Target="https://drive.google.com/file/d/18n4ZG-Og8Kd7WcCsyuEtP0Qatrne61kW/view" TargetMode="External"/><Relationship Id="rId2" Type="http://schemas.openxmlformats.org/officeDocument/2006/relationships/drawing" Target="../drawings/drawing119.xml"/></Relationships>
</file>

<file path=xl/worksheets/_rels/sheet120.xml.rels><?xml version="1.0" encoding="UTF-8" standalone="yes"?><Relationships xmlns="http://schemas.openxmlformats.org/package/2006/relationships"><Relationship Id="rId1" Type="http://schemas.openxmlformats.org/officeDocument/2006/relationships/hyperlink" Target="https://drive.google.com/file/d/1YAhbb_1LygXI5Ep1sglM8mjE2g8Cv-jC/view" TargetMode="External"/><Relationship Id="rId2" Type="http://schemas.openxmlformats.org/officeDocument/2006/relationships/drawing" Target="../drawings/drawing120.xml"/></Relationships>
</file>

<file path=xl/worksheets/_rels/sheet121.xml.rels><?xml version="1.0" encoding="UTF-8" standalone="yes"?><Relationships xmlns="http://schemas.openxmlformats.org/package/2006/relationships"><Relationship Id="rId1" Type="http://schemas.openxmlformats.org/officeDocument/2006/relationships/hyperlink" Target="https://drive.google.com/file/d/1hHNVZeAkcv5QBpMT7q230WsLu1AQkphc/view" TargetMode="External"/><Relationship Id="rId2" Type="http://schemas.openxmlformats.org/officeDocument/2006/relationships/drawing" Target="../drawings/drawing121.xml"/></Relationships>
</file>

<file path=xl/worksheets/_rels/sheet122.xml.rels><?xml version="1.0" encoding="UTF-8" standalone="yes"?><Relationships xmlns="http://schemas.openxmlformats.org/package/2006/relationships"><Relationship Id="rId1" Type="http://schemas.openxmlformats.org/officeDocument/2006/relationships/hyperlink" Target="https://drive.google.com/file/d/1BsDPZLpTglMljoWDZGVCbxFUYA9Fie5T/view" TargetMode="External"/><Relationship Id="rId2" Type="http://schemas.openxmlformats.org/officeDocument/2006/relationships/drawing" Target="../drawings/drawing122.xml"/></Relationships>
</file>

<file path=xl/worksheets/_rels/sheet123.xml.rels><?xml version="1.0" encoding="UTF-8" standalone="yes"?><Relationships xmlns="http://schemas.openxmlformats.org/package/2006/relationships"><Relationship Id="rId1" Type="http://schemas.openxmlformats.org/officeDocument/2006/relationships/hyperlink" Target="https://drive.google.com/file/d/13BYNuC2GjybmfuEINOZfAsVsEygsA6Xg/view" TargetMode="External"/><Relationship Id="rId2" Type="http://schemas.openxmlformats.org/officeDocument/2006/relationships/drawing" Target="../drawings/drawing123.xml"/></Relationships>
</file>

<file path=xl/worksheets/_rels/sheet124.xml.rels><?xml version="1.0" encoding="UTF-8" standalone="yes"?><Relationships xmlns="http://schemas.openxmlformats.org/package/2006/relationships"><Relationship Id="rId1" Type="http://schemas.openxmlformats.org/officeDocument/2006/relationships/hyperlink" Target="https://drive.google.com/file/d/1Mnrg3yAWgTsRcwxJrqLS_NYqIspBdu03/view" TargetMode="External"/><Relationship Id="rId2" Type="http://schemas.openxmlformats.org/officeDocument/2006/relationships/drawing" Target="../drawings/drawing124.xml"/></Relationships>
</file>

<file path=xl/worksheets/_rels/sheet125.xml.rels><?xml version="1.0" encoding="UTF-8" standalone="yes"?><Relationships xmlns="http://schemas.openxmlformats.org/package/2006/relationships"><Relationship Id="rId1" Type="http://schemas.openxmlformats.org/officeDocument/2006/relationships/hyperlink" Target="https://drive.google.com/file/d/1MSDREsY6r3mAsZoqZ9OLt5tSsfgoVLrf/view" TargetMode="External"/><Relationship Id="rId2" Type="http://schemas.openxmlformats.org/officeDocument/2006/relationships/drawing" Target="../drawings/drawing125.xml"/></Relationships>
</file>

<file path=xl/worksheets/_rels/sheet126.xml.rels><?xml version="1.0" encoding="UTF-8" standalone="yes"?><Relationships xmlns="http://schemas.openxmlformats.org/package/2006/relationships"><Relationship Id="rId1" Type="http://schemas.openxmlformats.org/officeDocument/2006/relationships/hyperlink" Target="https://drive.google.com/file/d/1TMd_iHENoins3lXsRDRsjcBe1SFs6QWP/view" TargetMode="External"/><Relationship Id="rId2" Type="http://schemas.openxmlformats.org/officeDocument/2006/relationships/drawing" Target="../drawings/drawing126.xml"/></Relationships>
</file>

<file path=xl/worksheets/_rels/sheet127.xml.rels><?xml version="1.0" encoding="UTF-8" standalone="yes"?><Relationships xmlns="http://schemas.openxmlformats.org/package/2006/relationships"><Relationship Id="rId1" Type="http://schemas.openxmlformats.org/officeDocument/2006/relationships/hyperlink" Target="https://drive.google.com/file/d/13WFvpoM21uRheUjKhoBhPAXzFHiCocDT/view" TargetMode="External"/><Relationship Id="rId2" Type="http://schemas.openxmlformats.org/officeDocument/2006/relationships/drawing" Target="../drawings/drawing127.xml"/></Relationships>
</file>

<file path=xl/worksheets/_rels/sheet128.xml.rels><?xml version="1.0" encoding="UTF-8" standalone="yes"?><Relationships xmlns="http://schemas.openxmlformats.org/package/2006/relationships"><Relationship Id="rId1" Type="http://schemas.openxmlformats.org/officeDocument/2006/relationships/hyperlink" Target="https://drive.google.com/file/d/1wHkXA61aSOqDwm_cM-UKX_CR9Dr2elPk/view" TargetMode="External"/><Relationship Id="rId2" Type="http://schemas.openxmlformats.org/officeDocument/2006/relationships/drawing" Target="../drawings/drawing128.xml"/></Relationships>
</file>

<file path=xl/worksheets/_rels/sheet129.xml.rels><?xml version="1.0" encoding="UTF-8" standalone="yes"?><Relationships xmlns="http://schemas.openxmlformats.org/package/2006/relationships"><Relationship Id="rId1" Type="http://schemas.openxmlformats.org/officeDocument/2006/relationships/hyperlink" Target="https://drive.google.com/file/d/13efyLmCLqTC0VM95VrgezEgTkUn37BAF/view" TargetMode="External"/><Relationship Id="rId2" Type="http://schemas.openxmlformats.org/officeDocument/2006/relationships/drawing" Target="../drawings/drawing129.xml"/></Relationships>
</file>

<file path=xl/worksheets/_rels/sheet130.xml.rels><?xml version="1.0" encoding="UTF-8" standalone="yes"?><Relationships xmlns="http://schemas.openxmlformats.org/package/2006/relationships"><Relationship Id="rId1" Type="http://schemas.openxmlformats.org/officeDocument/2006/relationships/hyperlink" Target="https://drive.google.com/file/d/1IHk8RxEKoNpmIqYEzwxAV6bfqxpjD_92/view" TargetMode="External"/><Relationship Id="rId2" Type="http://schemas.openxmlformats.org/officeDocument/2006/relationships/drawing" Target="../drawings/drawing130.xml"/></Relationships>
</file>

<file path=xl/worksheets/_rels/sheet131.xml.rels><?xml version="1.0" encoding="UTF-8" standalone="yes"?><Relationships xmlns="http://schemas.openxmlformats.org/package/2006/relationships"><Relationship Id="rId1" Type="http://schemas.openxmlformats.org/officeDocument/2006/relationships/hyperlink" Target="https://drive.google.com/file/d/1GZ6RTJjI1-H_HQ7vng7sW2IKdRGLCq59/view" TargetMode="External"/><Relationship Id="rId2" Type="http://schemas.openxmlformats.org/officeDocument/2006/relationships/drawing" Target="../drawings/drawing131.xml"/></Relationships>
</file>

<file path=xl/worksheets/_rels/sheet132.xml.rels><?xml version="1.0" encoding="UTF-8" standalone="yes"?><Relationships xmlns="http://schemas.openxmlformats.org/package/2006/relationships"><Relationship Id="rId1" Type="http://schemas.openxmlformats.org/officeDocument/2006/relationships/hyperlink" Target="https://drive.google.com/file/d/17EGXqw0J3M0evuPXZDMm-PdZxwHpZ9i_/view" TargetMode="External"/><Relationship Id="rId2" Type="http://schemas.openxmlformats.org/officeDocument/2006/relationships/drawing" Target="../drawings/drawing132.xml"/></Relationships>
</file>

<file path=xl/worksheets/_rels/sheet133.xml.rels><?xml version="1.0" encoding="UTF-8" standalone="yes"?><Relationships xmlns="http://schemas.openxmlformats.org/package/2006/relationships"><Relationship Id="rId1" Type="http://schemas.openxmlformats.org/officeDocument/2006/relationships/hyperlink" Target="https://drive.google.com/file/d/1HJ-ey1f3vOOjYyjvStb4UJXOahApYLAI/view" TargetMode="External"/><Relationship Id="rId2" Type="http://schemas.openxmlformats.org/officeDocument/2006/relationships/drawing" Target="../drawings/drawing133.xml"/></Relationships>
</file>

<file path=xl/worksheets/_rels/sheet134.xml.rels><?xml version="1.0" encoding="UTF-8" standalone="yes"?><Relationships xmlns="http://schemas.openxmlformats.org/package/2006/relationships"><Relationship Id="rId1" Type="http://schemas.openxmlformats.org/officeDocument/2006/relationships/hyperlink" Target="https://drive.google.com/file/d/133j5vCMuk01IVPRmQ8LpRBiPwgh5_tR9/view" TargetMode="External"/><Relationship Id="rId2" Type="http://schemas.openxmlformats.org/officeDocument/2006/relationships/drawing" Target="../drawings/drawing134.xml"/></Relationships>
</file>

<file path=xl/worksheets/_rels/sheet135.xml.rels><?xml version="1.0" encoding="UTF-8" standalone="yes"?><Relationships xmlns="http://schemas.openxmlformats.org/package/2006/relationships"><Relationship Id="rId1" Type="http://schemas.openxmlformats.org/officeDocument/2006/relationships/hyperlink" Target="https://drive.google.com/file/d/1cYueR9_BWTlw8i0bK8b_qWJle0f0MMgG/view" TargetMode="External"/><Relationship Id="rId2" Type="http://schemas.openxmlformats.org/officeDocument/2006/relationships/drawing" Target="../drawings/drawing135.xml"/></Relationships>
</file>

<file path=xl/worksheets/_rels/sheet136.xml.rels><?xml version="1.0" encoding="UTF-8" standalone="yes"?><Relationships xmlns="http://schemas.openxmlformats.org/package/2006/relationships"><Relationship Id="rId1" Type="http://schemas.openxmlformats.org/officeDocument/2006/relationships/hyperlink" Target="https://drive.google.com/file/d/1i1Q4G_qxQlyuY6y17BQHUqkcrqGojsJv/view" TargetMode="External"/><Relationship Id="rId2" Type="http://schemas.openxmlformats.org/officeDocument/2006/relationships/drawing" Target="../drawings/drawing136.xml"/></Relationships>
</file>

<file path=xl/worksheets/_rels/sheet137.xml.rels><?xml version="1.0" encoding="UTF-8" standalone="yes"?><Relationships xmlns="http://schemas.openxmlformats.org/package/2006/relationships"><Relationship Id="rId1" Type="http://schemas.openxmlformats.org/officeDocument/2006/relationships/hyperlink" Target="https://drive.google.com/file/d/1_Yyyc4vszsoXb4kiMHurrO68HVPFArO9/view" TargetMode="External"/><Relationship Id="rId2" Type="http://schemas.openxmlformats.org/officeDocument/2006/relationships/drawing" Target="../drawings/drawing137.xml"/></Relationships>
</file>

<file path=xl/worksheets/_rels/sheet138.xml.rels><?xml version="1.0" encoding="UTF-8" standalone="yes"?><Relationships xmlns="http://schemas.openxmlformats.org/package/2006/relationships"><Relationship Id="rId1" Type="http://schemas.openxmlformats.org/officeDocument/2006/relationships/hyperlink" Target="https://drive.google.com/file/d/1nJg-f2Zz3yRvRWGi6QeMZJt9RvpmM730/view" TargetMode="External"/><Relationship Id="rId2" Type="http://schemas.openxmlformats.org/officeDocument/2006/relationships/drawing" Target="../drawings/drawing138.xml"/></Relationships>
</file>

<file path=xl/worksheets/_rels/sheet139.xml.rels><?xml version="1.0" encoding="UTF-8" standalone="yes"?><Relationships xmlns="http://schemas.openxmlformats.org/package/2006/relationships"><Relationship Id="rId1" Type="http://schemas.openxmlformats.org/officeDocument/2006/relationships/hyperlink" Target="https://drive.google.com/file/d/1YeBh3NHdy6Wu4813HuIVYstFWUhsS-wr/view" TargetMode="External"/><Relationship Id="rId2" Type="http://schemas.openxmlformats.org/officeDocument/2006/relationships/drawing" Target="../drawings/drawing139.xml"/></Relationships>
</file>

<file path=xl/worksheets/_rels/sheet140.xml.rels><?xml version="1.0" encoding="UTF-8" standalone="yes"?><Relationships xmlns="http://schemas.openxmlformats.org/package/2006/relationships"><Relationship Id="rId1" Type="http://schemas.openxmlformats.org/officeDocument/2006/relationships/hyperlink" Target="https://drive.google.com/file/d/1p8BOt9kZ-vFlTRBL0tlP7oqSofq9lQB1/view" TargetMode="External"/><Relationship Id="rId2" Type="http://schemas.openxmlformats.org/officeDocument/2006/relationships/drawing" Target="../drawings/drawing140.xml"/></Relationships>
</file>

<file path=xl/worksheets/_rels/sheet141.xml.rels><?xml version="1.0" encoding="UTF-8" standalone="yes"?><Relationships xmlns="http://schemas.openxmlformats.org/package/2006/relationships"><Relationship Id="rId1" Type="http://schemas.openxmlformats.org/officeDocument/2006/relationships/hyperlink" Target="https://drive.google.com/file/d/1h2kmOKqrV947zQd87p8HDDYneLBxQHws/view" TargetMode="External"/><Relationship Id="rId2" Type="http://schemas.openxmlformats.org/officeDocument/2006/relationships/drawing" Target="../drawings/drawing141.xml"/></Relationships>
</file>

<file path=xl/worksheets/_rels/sheet142.xml.rels><?xml version="1.0" encoding="UTF-8" standalone="yes"?><Relationships xmlns="http://schemas.openxmlformats.org/package/2006/relationships"><Relationship Id="rId1" Type="http://schemas.openxmlformats.org/officeDocument/2006/relationships/hyperlink" Target="https://drive.google.com/file/d/1qA6iIMZAfsXxfwvbjIgcp72hneHgZyrB/view" TargetMode="External"/><Relationship Id="rId2" Type="http://schemas.openxmlformats.org/officeDocument/2006/relationships/drawing" Target="../drawings/drawing142.xml"/></Relationships>
</file>

<file path=xl/worksheets/_rels/sheet143.xml.rels><?xml version="1.0" encoding="UTF-8" standalone="yes"?><Relationships xmlns="http://schemas.openxmlformats.org/package/2006/relationships"><Relationship Id="rId1" Type="http://schemas.openxmlformats.org/officeDocument/2006/relationships/hyperlink" Target="https://drive.google.com/file/d/1GNw2W5-hXijLCTGGhCWD1iGkAPxfcF7C/view" TargetMode="External"/><Relationship Id="rId2" Type="http://schemas.openxmlformats.org/officeDocument/2006/relationships/drawing" Target="../drawings/drawing143.xml"/></Relationships>
</file>

<file path=xl/worksheets/_rels/sheet144.xml.rels><?xml version="1.0" encoding="UTF-8" standalone="yes"?><Relationships xmlns="http://schemas.openxmlformats.org/package/2006/relationships"><Relationship Id="rId1" Type="http://schemas.openxmlformats.org/officeDocument/2006/relationships/hyperlink" Target="https://drive.google.com/file/d/1S8t4Z0cinSUJR9ylocL-Setlrng22TcP/view" TargetMode="External"/><Relationship Id="rId2" Type="http://schemas.openxmlformats.org/officeDocument/2006/relationships/drawing" Target="../drawings/drawing144.xml"/></Relationships>
</file>

<file path=xl/worksheets/_rels/sheet145.xml.rels><?xml version="1.0" encoding="UTF-8" standalone="yes"?><Relationships xmlns="http://schemas.openxmlformats.org/package/2006/relationships"><Relationship Id="rId1" Type="http://schemas.openxmlformats.org/officeDocument/2006/relationships/hyperlink" Target="https://drive.google.com/file/d/17N-Oz9ol2ubbj0CdR0smQ28koCCiCjOq/view" TargetMode="External"/><Relationship Id="rId2" Type="http://schemas.openxmlformats.org/officeDocument/2006/relationships/drawing" Target="../drawings/drawing145.xml"/></Relationships>
</file>

<file path=xl/worksheets/_rels/sheet146.xml.rels><?xml version="1.0" encoding="UTF-8" standalone="yes"?><Relationships xmlns="http://schemas.openxmlformats.org/package/2006/relationships"><Relationship Id="rId1" Type="http://schemas.openxmlformats.org/officeDocument/2006/relationships/hyperlink" Target="https://drive.google.com/file/d/1dx_UqOYurMPXgzj-PwiTNKlyUdwsz_EB/view" TargetMode="External"/><Relationship Id="rId2" Type="http://schemas.openxmlformats.org/officeDocument/2006/relationships/drawing" Target="../drawings/drawing14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8.75"/>
    <col customWidth="1" min="2" max="2" width="10.38"/>
    <col customWidth="1" min="3" max="3" width="18.0"/>
    <col customWidth="1" min="4" max="4" width="16.13"/>
    <col customWidth="1" min="5" max="5" width="12.5"/>
    <col customWidth="1" min="6" max="6" width="29.38"/>
    <col customWidth="1" hidden="1" min="7" max="7" width="13.38"/>
    <col customWidth="1" min="8" max="8" width="13.13"/>
    <col customWidth="1" min="9" max="9" width="31.38"/>
    <col customWidth="1" min="10" max="10" width="33.25"/>
    <col customWidth="1" min="11" max="11" width="36.88"/>
    <col customWidth="1" min="12" max="12" width="24.5"/>
  </cols>
  <sheetData>
    <row r="1" ht="22.5" customHeight="1">
      <c r="A1" s="1" t="s">
        <v>0</v>
      </c>
      <c r="B1" s="2" t="s">
        <v>1</v>
      </c>
      <c r="C1" s="3" t="s">
        <v>2</v>
      </c>
      <c r="D1" s="3" t="s">
        <v>3</v>
      </c>
      <c r="E1" s="4" t="s">
        <v>4</v>
      </c>
      <c r="F1" s="3" t="s">
        <v>5</v>
      </c>
      <c r="G1" s="5" t="s">
        <v>6</v>
      </c>
      <c r="H1" s="5" t="s">
        <v>7</v>
      </c>
      <c r="I1" s="5" t="s">
        <v>8</v>
      </c>
      <c r="J1" s="5" t="s">
        <v>9</v>
      </c>
      <c r="K1" s="6" t="s">
        <v>10</v>
      </c>
    </row>
    <row r="2" ht="22.5" hidden="1" customHeight="1">
      <c r="A2" s="7" t="s">
        <v>11</v>
      </c>
      <c r="B2" s="8">
        <v>46119.0</v>
      </c>
      <c r="C2" s="9"/>
      <c r="D2" s="10"/>
      <c r="E2" s="11"/>
      <c r="F2" s="11"/>
      <c r="G2" s="10" t="s">
        <v>12</v>
      </c>
      <c r="H2" s="10" t="s">
        <v>13</v>
      </c>
      <c r="I2" s="12" t="s">
        <v>14</v>
      </c>
      <c r="J2" s="10" t="s">
        <v>15</v>
      </c>
      <c r="K2" s="13" t="s">
        <v>16</v>
      </c>
    </row>
    <row r="3" ht="22.5" hidden="1" customHeight="1">
      <c r="A3" s="7" t="s">
        <v>11</v>
      </c>
      <c r="B3" s="8">
        <v>46119.0</v>
      </c>
      <c r="C3" s="9"/>
      <c r="D3" s="10"/>
      <c r="E3" s="11"/>
      <c r="F3" s="11"/>
      <c r="G3" s="10" t="s">
        <v>12</v>
      </c>
      <c r="H3" s="10" t="s">
        <v>17</v>
      </c>
      <c r="I3" s="12" t="s">
        <v>18</v>
      </c>
      <c r="J3" s="10" t="s">
        <v>19</v>
      </c>
      <c r="K3" s="13" t="s">
        <v>20</v>
      </c>
    </row>
    <row r="4" ht="22.5" hidden="1" customHeight="1">
      <c r="A4" s="7" t="s">
        <v>11</v>
      </c>
      <c r="B4" s="8">
        <v>46119.0</v>
      </c>
      <c r="C4" s="9"/>
      <c r="D4" s="10"/>
      <c r="E4" s="11"/>
      <c r="F4" s="11"/>
      <c r="G4" s="10" t="s">
        <v>12</v>
      </c>
      <c r="H4" s="10" t="s">
        <v>21</v>
      </c>
      <c r="I4" s="12" t="s">
        <v>22</v>
      </c>
      <c r="J4" s="10" t="s">
        <v>23</v>
      </c>
      <c r="K4" s="13" t="s">
        <v>24</v>
      </c>
    </row>
    <row r="5" ht="22.5" hidden="1" customHeight="1">
      <c r="A5" s="7" t="s">
        <v>11</v>
      </c>
      <c r="B5" s="8">
        <v>46119.0</v>
      </c>
      <c r="C5" s="9"/>
      <c r="D5" s="10"/>
      <c r="E5" s="11"/>
      <c r="F5" s="11"/>
      <c r="G5" s="10" t="s">
        <v>25</v>
      </c>
      <c r="H5" s="10" t="s">
        <v>26</v>
      </c>
      <c r="I5" s="12" t="s">
        <v>27</v>
      </c>
      <c r="J5" s="10" t="s">
        <v>28</v>
      </c>
      <c r="K5" s="13" t="s">
        <v>29</v>
      </c>
    </row>
    <row r="6" ht="22.5" hidden="1" customHeight="1">
      <c r="A6" s="7" t="s">
        <v>11</v>
      </c>
      <c r="B6" s="8">
        <v>46119.0</v>
      </c>
      <c r="C6" s="9"/>
      <c r="D6" s="10"/>
      <c r="E6" s="11"/>
      <c r="F6" s="11"/>
      <c r="G6" s="10" t="s">
        <v>30</v>
      </c>
      <c r="H6" s="10" t="s">
        <v>26</v>
      </c>
      <c r="I6" s="12" t="s">
        <v>31</v>
      </c>
      <c r="J6" s="10" t="s">
        <v>32</v>
      </c>
      <c r="K6" s="13" t="s">
        <v>33</v>
      </c>
    </row>
    <row r="7" ht="22.5" hidden="1" customHeight="1">
      <c r="A7" s="7" t="s">
        <v>11</v>
      </c>
      <c r="B7" s="8">
        <v>46119.0</v>
      </c>
      <c r="C7" s="9"/>
      <c r="D7" s="10"/>
      <c r="E7" s="11"/>
      <c r="F7" s="11"/>
      <c r="G7" s="10" t="s">
        <v>34</v>
      </c>
      <c r="H7" s="10" t="s">
        <v>35</v>
      </c>
      <c r="I7" s="12" t="s">
        <v>36</v>
      </c>
      <c r="J7" s="10" t="s">
        <v>37</v>
      </c>
      <c r="K7" s="13" t="s">
        <v>38</v>
      </c>
    </row>
    <row r="8" ht="22.5" hidden="1" customHeight="1">
      <c r="A8" s="7" t="s">
        <v>11</v>
      </c>
      <c r="B8" s="8">
        <v>46119.0</v>
      </c>
      <c r="C8" s="9"/>
      <c r="D8" s="10"/>
      <c r="E8" s="11"/>
      <c r="F8" s="11"/>
      <c r="G8" s="10" t="s">
        <v>39</v>
      </c>
      <c r="H8" s="10" t="s">
        <v>40</v>
      </c>
      <c r="I8" s="12" t="s">
        <v>41</v>
      </c>
      <c r="J8" s="10" t="s">
        <v>42</v>
      </c>
      <c r="K8" s="13" t="s">
        <v>43</v>
      </c>
    </row>
    <row r="9" ht="22.5" hidden="1" customHeight="1">
      <c r="A9" s="7" t="s">
        <v>11</v>
      </c>
      <c r="B9" s="8">
        <v>46120.0</v>
      </c>
      <c r="C9" s="9"/>
      <c r="D9" s="10"/>
      <c r="E9" s="11"/>
      <c r="F9" s="11"/>
      <c r="G9" s="10" t="s">
        <v>44</v>
      </c>
      <c r="H9" s="10" t="s">
        <v>45</v>
      </c>
      <c r="I9" s="12" t="s">
        <v>46</v>
      </c>
      <c r="J9" s="10" t="s">
        <v>47</v>
      </c>
      <c r="K9" s="13" t="s">
        <v>48</v>
      </c>
    </row>
    <row r="10" ht="22.5" hidden="1" customHeight="1">
      <c r="A10" s="7" t="s">
        <v>11</v>
      </c>
      <c r="B10" s="8">
        <v>46121.0</v>
      </c>
      <c r="C10" s="9" t="s">
        <v>49</v>
      </c>
      <c r="D10" s="10" t="s">
        <v>50</v>
      </c>
      <c r="E10" s="10" t="s">
        <v>51</v>
      </c>
      <c r="F10" s="11" t="s">
        <v>52</v>
      </c>
      <c r="G10" s="10" t="s">
        <v>53</v>
      </c>
      <c r="H10" s="10" t="s">
        <v>45</v>
      </c>
      <c r="I10" s="12" t="s">
        <v>54</v>
      </c>
      <c r="J10" s="10" t="s">
        <v>55</v>
      </c>
      <c r="K10" s="13" t="s">
        <v>56</v>
      </c>
    </row>
    <row r="11" ht="22.5" hidden="1" customHeight="1">
      <c r="A11" s="7" t="s">
        <v>11</v>
      </c>
      <c r="B11" s="8">
        <v>46121.0</v>
      </c>
      <c r="C11" s="14"/>
      <c r="D11" s="15"/>
      <c r="E11" s="16"/>
      <c r="F11" s="16"/>
      <c r="G11" s="10" t="s">
        <v>57</v>
      </c>
      <c r="H11" s="10" t="s">
        <v>58</v>
      </c>
      <c r="I11" s="12" t="s">
        <v>59</v>
      </c>
      <c r="J11" s="10" t="s">
        <v>60</v>
      </c>
      <c r="K11" s="13" t="s">
        <v>61</v>
      </c>
    </row>
    <row r="12" ht="22.5" hidden="1" customHeight="1">
      <c r="A12" s="7" t="s">
        <v>11</v>
      </c>
      <c r="B12" s="8">
        <v>46121.0</v>
      </c>
      <c r="C12" s="14"/>
      <c r="D12" s="15"/>
      <c r="E12" s="10" t="s">
        <v>51</v>
      </c>
      <c r="F12" s="11" t="s">
        <v>62</v>
      </c>
      <c r="G12" s="10" t="s">
        <v>57</v>
      </c>
      <c r="H12" s="10" t="s">
        <v>63</v>
      </c>
      <c r="I12" s="12" t="s">
        <v>64</v>
      </c>
      <c r="J12" s="10" t="s">
        <v>65</v>
      </c>
      <c r="K12" s="13" t="s">
        <v>66</v>
      </c>
    </row>
    <row r="13" ht="22.5" hidden="1" customHeight="1">
      <c r="A13" s="7" t="s">
        <v>11</v>
      </c>
      <c r="B13" s="8">
        <v>46121.0</v>
      </c>
      <c r="C13" s="14"/>
      <c r="D13" s="15"/>
      <c r="E13" s="16"/>
      <c r="F13" s="16"/>
      <c r="G13" s="10" t="s">
        <v>67</v>
      </c>
      <c r="H13" s="10" t="s">
        <v>68</v>
      </c>
      <c r="I13" s="12" t="s">
        <v>69</v>
      </c>
      <c r="J13" s="10" t="s">
        <v>70</v>
      </c>
      <c r="K13" s="13" t="s">
        <v>71</v>
      </c>
    </row>
    <row r="14" ht="22.5" hidden="1" customHeight="1">
      <c r="A14" s="7" t="s">
        <v>11</v>
      </c>
      <c r="B14" s="8">
        <v>46122.0</v>
      </c>
      <c r="C14" s="14"/>
      <c r="D14" s="15"/>
      <c r="E14" s="16"/>
      <c r="F14" s="16"/>
      <c r="G14" s="10" t="s">
        <v>72</v>
      </c>
      <c r="H14" s="10" t="s">
        <v>21</v>
      </c>
      <c r="I14" s="12" t="s">
        <v>73</v>
      </c>
      <c r="J14" s="10" t="s">
        <v>74</v>
      </c>
      <c r="K14" s="13" t="s">
        <v>75</v>
      </c>
    </row>
    <row r="15" ht="22.5" hidden="1" customHeight="1">
      <c r="A15" s="7" t="s">
        <v>76</v>
      </c>
      <c r="B15" s="8">
        <v>46125.0</v>
      </c>
      <c r="C15" s="9" t="s">
        <v>49</v>
      </c>
      <c r="D15" s="10" t="s">
        <v>77</v>
      </c>
      <c r="E15" s="10" t="s">
        <v>51</v>
      </c>
      <c r="F15" s="11" t="s">
        <v>78</v>
      </c>
      <c r="G15" s="10" t="s">
        <v>79</v>
      </c>
      <c r="H15" s="10" t="s">
        <v>80</v>
      </c>
      <c r="I15" s="12" t="s">
        <v>81</v>
      </c>
      <c r="J15" s="10" t="s">
        <v>82</v>
      </c>
      <c r="K15" s="13" t="s">
        <v>83</v>
      </c>
    </row>
    <row r="16" ht="22.5" hidden="1" customHeight="1">
      <c r="A16" s="7" t="s">
        <v>76</v>
      </c>
      <c r="B16" s="8">
        <v>46125.0</v>
      </c>
      <c r="C16" s="14"/>
      <c r="D16" s="15"/>
      <c r="E16" s="16"/>
      <c r="F16" s="11" t="s">
        <v>84</v>
      </c>
      <c r="G16" s="10" t="s">
        <v>85</v>
      </c>
      <c r="H16" s="10" t="s">
        <v>21</v>
      </c>
      <c r="I16" s="12" t="s">
        <v>86</v>
      </c>
      <c r="J16" s="10" t="s">
        <v>87</v>
      </c>
      <c r="K16" s="13" t="s">
        <v>88</v>
      </c>
    </row>
    <row r="17" ht="22.5" hidden="1" customHeight="1">
      <c r="A17" s="7" t="s">
        <v>76</v>
      </c>
      <c r="B17" s="8">
        <v>46125.0</v>
      </c>
      <c r="C17" s="9" t="s">
        <v>89</v>
      </c>
      <c r="D17" s="10" t="s">
        <v>90</v>
      </c>
      <c r="E17" s="10" t="s">
        <v>51</v>
      </c>
      <c r="F17" s="11" t="s">
        <v>78</v>
      </c>
      <c r="G17" s="10" t="s">
        <v>91</v>
      </c>
      <c r="H17" s="10" t="s">
        <v>92</v>
      </c>
      <c r="I17" s="12" t="s">
        <v>93</v>
      </c>
      <c r="J17" s="10" t="s">
        <v>94</v>
      </c>
      <c r="K17" s="13" t="s">
        <v>95</v>
      </c>
    </row>
    <row r="18" ht="22.5" hidden="1" customHeight="1">
      <c r="A18" s="7" t="s">
        <v>76</v>
      </c>
      <c r="B18" s="8">
        <v>46126.0</v>
      </c>
      <c r="C18" s="14"/>
      <c r="D18" s="15"/>
      <c r="E18" s="16"/>
      <c r="F18" s="16"/>
      <c r="G18" s="10" t="s">
        <v>96</v>
      </c>
      <c r="H18" s="10" t="s">
        <v>97</v>
      </c>
      <c r="I18" s="12" t="s">
        <v>98</v>
      </c>
      <c r="J18" s="10" t="s">
        <v>99</v>
      </c>
      <c r="K18" s="13" t="s">
        <v>100</v>
      </c>
    </row>
    <row r="19" ht="22.5" hidden="1" customHeight="1">
      <c r="A19" s="7" t="s">
        <v>76</v>
      </c>
      <c r="B19" s="8">
        <v>46127.0</v>
      </c>
      <c r="C19" s="9" t="s">
        <v>89</v>
      </c>
      <c r="D19" s="10" t="s">
        <v>90</v>
      </c>
      <c r="E19" s="11" t="s">
        <v>51</v>
      </c>
      <c r="F19" s="11" t="s">
        <v>101</v>
      </c>
      <c r="G19" s="10" t="s">
        <v>102</v>
      </c>
      <c r="H19" s="10" t="s">
        <v>103</v>
      </c>
      <c r="I19" s="12" t="s">
        <v>104</v>
      </c>
      <c r="J19" s="10" t="s">
        <v>105</v>
      </c>
      <c r="K19" s="13" t="s">
        <v>106</v>
      </c>
    </row>
    <row r="20" ht="22.5" hidden="1" customHeight="1">
      <c r="A20" s="7" t="s">
        <v>76</v>
      </c>
      <c r="B20" s="8">
        <v>46127.0</v>
      </c>
      <c r="C20" s="9" t="s">
        <v>89</v>
      </c>
      <c r="D20" s="10" t="s">
        <v>90</v>
      </c>
      <c r="E20" s="11" t="s">
        <v>107</v>
      </c>
      <c r="F20" s="11" t="s">
        <v>108</v>
      </c>
      <c r="G20" s="10" t="s">
        <v>109</v>
      </c>
      <c r="H20" s="10" t="s">
        <v>110</v>
      </c>
      <c r="I20" s="12" t="s">
        <v>111</v>
      </c>
      <c r="J20" s="10" t="s">
        <v>112</v>
      </c>
      <c r="K20" s="13" t="s">
        <v>113</v>
      </c>
    </row>
    <row r="21" ht="22.5" hidden="1" customHeight="1">
      <c r="A21" s="7" t="s">
        <v>76</v>
      </c>
      <c r="B21" s="8">
        <v>46127.0</v>
      </c>
      <c r="C21" s="9" t="s">
        <v>89</v>
      </c>
      <c r="D21" s="10" t="s">
        <v>90</v>
      </c>
      <c r="E21" s="11" t="s">
        <v>114</v>
      </c>
      <c r="F21" s="11" t="s">
        <v>108</v>
      </c>
      <c r="G21" s="10" t="s">
        <v>115</v>
      </c>
      <c r="H21" s="10" t="s">
        <v>26</v>
      </c>
      <c r="I21" s="12" t="s">
        <v>116</v>
      </c>
      <c r="J21" s="10" t="s">
        <v>117</v>
      </c>
      <c r="K21" s="13" t="s">
        <v>118</v>
      </c>
    </row>
    <row r="22" ht="22.5" hidden="1" customHeight="1">
      <c r="A22" s="7" t="s">
        <v>76</v>
      </c>
      <c r="B22" s="8">
        <v>46127.0</v>
      </c>
      <c r="C22" s="14"/>
      <c r="D22" s="15"/>
      <c r="E22" s="16"/>
      <c r="F22" s="16"/>
      <c r="G22" s="10" t="s">
        <v>119</v>
      </c>
      <c r="H22" s="10" t="s">
        <v>120</v>
      </c>
      <c r="I22" s="12" t="s">
        <v>121</v>
      </c>
      <c r="J22" s="10" t="s">
        <v>122</v>
      </c>
      <c r="K22" s="13" t="s">
        <v>123</v>
      </c>
    </row>
    <row r="23" ht="22.5" hidden="1" customHeight="1">
      <c r="A23" s="7" t="s">
        <v>76</v>
      </c>
      <c r="B23" s="8">
        <v>46127.0</v>
      </c>
      <c r="C23" s="14"/>
      <c r="D23" s="15"/>
      <c r="E23" s="16"/>
      <c r="F23" s="16"/>
      <c r="G23" s="10" t="s">
        <v>124</v>
      </c>
      <c r="H23" s="10" t="s">
        <v>80</v>
      </c>
      <c r="I23" s="12" t="s">
        <v>125</v>
      </c>
      <c r="J23" s="10" t="s">
        <v>126</v>
      </c>
      <c r="K23" s="13" t="s">
        <v>127</v>
      </c>
    </row>
    <row r="24" ht="22.5" hidden="1" customHeight="1">
      <c r="A24" s="7" t="s">
        <v>76</v>
      </c>
      <c r="B24" s="8">
        <v>46127.0</v>
      </c>
      <c r="C24" s="14"/>
      <c r="D24" s="15"/>
      <c r="E24" s="16"/>
      <c r="F24" s="16"/>
      <c r="G24" s="10" t="s">
        <v>128</v>
      </c>
      <c r="H24" s="10" t="s">
        <v>129</v>
      </c>
      <c r="I24" s="12" t="s">
        <v>130</v>
      </c>
      <c r="J24" s="10" t="s">
        <v>131</v>
      </c>
      <c r="K24" s="13" t="s">
        <v>132</v>
      </c>
    </row>
    <row r="25" ht="22.5" hidden="1" customHeight="1">
      <c r="A25" s="7" t="s">
        <v>76</v>
      </c>
      <c r="B25" s="8">
        <v>46129.0</v>
      </c>
      <c r="C25" s="14"/>
      <c r="D25" s="15"/>
      <c r="E25" s="16"/>
      <c r="F25" s="16"/>
      <c r="G25" s="10" t="s">
        <v>133</v>
      </c>
      <c r="H25" s="10" t="s">
        <v>134</v>
      </c>
      <c r="I25" s="12" t="s">
        <v>135</v>
      </c>
      <c r="J25" s="10" t="s">
        <v>136</v>
      </c>
      <c r="K25" s="13" t="s">
        <v>137</v>
      </c>
    </row>
    <row r="26" ht="22.5" hidden="1" customHeight="1">
      <c r="A26" s="7" t="s">
        <v>76</v>
      </c>
      <c r="B26" s="8">
        <v>46129.0</v>
      </c>
      <c r="C26" s="14"/>
      <c r="D26" s="15"/>
      <c r="E26" s="16"/>
      <c r="F26" s="16"/>
      <c r="G26" s="10" t="s">
        <v>138</v>
      </c>
      <c r="H26" s="10" t="s">
        <v>139</v>
      </c>
      <c r="I26" s="12" t="s">
        <v>140</v>
      </c>
      <c r="J26" s="10" t="s">
        <v>141</v>
      </c>
      <c r="K26" s="13" t="s">
        <v>142</v>
      </c>
    </row>
    <row r="27" ht="22.5" hidden="1" customHeight="1">
      <c r="A27" s="7" t="s">
        <v>76</v>
      </c>
      <c r="B27" s="8">
        <v>46129.0</v>
      </c>
      <c r="C27" s="14"/>
      <c r="D27" s="15"/>
      <c r="E27" s="16"/>
      <c r="F27" s="16"/>
      <c r="G27" s="10" t="s">
        <v>138</v>
      </c>
      <c r="H27" s="10" t="s">
        <v>120</v>
      </c>
      <c r="I27" s="12" t="s">
        <v>143</v>
      </c>
      <c r="J27" s="10" t="s">
        <v>144</v>
      </c>
      <c r="K27" s="13" t="s">
        <v>145</v>
      </c>
    </row>
    <row r="28" ht="22.5" hidden="1" customHeight="1">
      <c r="A28" s="7" t="s">
        <v>76</v>
      </c>
      <c r="B28" s="8">
        <v>46130.0</v>
      </c>
      <c r="C28" s="14"/>
      <c r="D28" s="15"/>
      <c r="E28" s="16"/>
      <c r="F28" s="16"/>
      <c r="G28" s="10" t="s">
        <v>146</v>
      </c>
      <c r="H28" s="10" t="s">
        <v>147</v>
      </c>
      <c r="I28" s="12" t="s">
        <v>148</v>
      </c>
      <c r="J28" s="10" t="s">
        <v>149</v>
      </c>
      <c r="K28" s="13" t="s">
        <v>150</v>
      </c>
    </row>
    <row r="29" ht="22.5" hidden="1" customHeight="1">
      <c r="A29" s="7" t="s">
        <v>151</v>
      </c>
      <c r="B29" s="8">
        <v>46132.0</v>
      </c>
      <c r="C29" s="14"/>
      <c r="D29" s="15"/>
      <c r="E29" s="16"/>
      <c r="F29" s="11" t="s">
        <v>78</v>
      </c>
      <c r="G29" s="10" t="s">
        <v>152</v>
      </c>
      <c r="H29" s="10" t="s">
        <v>153</v>
      </c>
      <c r="I29" s="12" t="s">
        <v>154</v>
      </c>
      <c r="J29" s="10" t="s">
        <v>155</v>
      </c>
      <c r="K29" s="13" t="s">
        <v>156</v>
      </c>
    </row>
    <row r="30" ht="22.5" hidden="1" customHeight="1">
      <c r="A30" s="7" t="s">
        <v>151</v>
      </c>
      <c r="B30" s="8">
        <v>46127.0</v>
      </c>
      <c r="C30" s="14"/>
      <c r="D30" s="15"/>
      <c r="E30" s="16"/>
      <c r="F30" s="16"/>
      <c r="G30" s="10" t="s">
        <v>157</v>
      </c>
      <c r="H30" s="10" t="s">
        <v>110</v>
      </c>
      <c r="I30" s="12" t="s">
        <v>158</v>
      </c>
      <c r="J30" s="10" t="s">
        <v>159</v>
      </c>
      <c r="K30" s="13" t="s">
        <v>160</v>
      </c>
    </row>
    <row r="31" ht="22.5" hidden="1" customHeight="1">
      <c r="A31" s="7" t="s">
        <v>151</v>
      </c>
      <c r="B31" s="8">
        <v>46132.0</v>
      </c>
      <c r="C31" s="14"/>
      <c r="D31" s="15"/>
      <c r="E31" s="16"/>
      <c r="F31" s="11" t="s">
        <v>161</v>
      </c>
      <c r="G31" s="10" t="s">
        <v>162</v>
      </c>
      <c r="H31" s="10" t="s">
        <v>26</v>
      </c>
      <c r="I31" s="12" t="s">
        <v>163</v>
      </c>
      <c r="J31" s="10" t="s">
        <v>164</v>
      </c>
      <c r="K31" s="13" t="s">
        <v>165</v>
      </c>
    </row>
    <row r="32" ht="22.5" hidden="1" customHeight="1">
      <c r="A32" s="7" t="s">
        <v>151</v>
      </c>
      <c r="B32" s="8">
        <v>46133.0</v>
      </c>
      <c r="C32" s="14"/>
      <c r="D32" s="15"/>
      <c r="E32" s="16"/>
      <c r="F32" s="16"/>
      <c r="G32" s="10" t="s">
        <v>166</v>
      </c>
      <c r="H32" s="10" t="s">
        <v>92</v>
      </c>
      <c r="I32" s="12" t="s">
        <v>167</v>
      </c>
      <c r="J32" s="10" t="s">
        <v>168</v>
      </c>
      <c r="K32" s="13" t="s">
        <v>169</v>
      </c>
    </row>
    <row r="33" ht="22.5" hidden="1" customHeight="1">
      <c r="A33" s="7" t="s">
        <v>151</v>
      </c>
      <c r="B33" s="8">
        <v>46133.0</v>
      </c>
      <c r="C33" s="14"/>
      <c r="D33" s="15"/>
      <c r="E33" s="16"/>
      <c r="F33" s="16"/>
      <c r="G33" s="10" t="s">
        <v>170</v>
      </c>
      <c r="H33" s="10" t="s">
        <v>171</v>
      </c>
      <c r="I33" s="12" t="s">
        <v>172</v>
      </c>
      <c r="J33" s="10" t="s">
        <v>173</v>
      </c>
      <c r="K33" s="13" t="s">
        <v>174</v>
      </c>
    </row>
    <row r="34" ht="22.5" hidden="1" customHeight="1">
      <c r="A34" s="7" t="s">
        <v>151</v>
      </c>
      <c r="B34" s="8">
        <v>46133.0</v>
      </c>
      <c r="C34" s="14"/>
      <c r="D34" s="15"/>
      <c r="E34" s="16"/>
      <c r="F34" s="11" t="s">
        <v>175</v>
      </c>
      <c r="G34" s="10" t="s">
        <v>176</v>
      </c>
      <c r="H34" s="10" t="s">
        <v>177</v>
      </c>
      <c r="I34" s="12" t="s">
        <v>178</v>
      </c>
      <c r="J34" s="10" t="s">
        <v>179</v>
      </c>
      <c r="K34" s="13" t="s">
        <v>180</v>
      </c>
    </row>
    <row r="35" ht="22.5" hidden="1" customHeight="1">
      <c r="A35" s="7" t="s">
        <v>151</v>
      </c>
      <c r="B35" s="8">
        <v>46134.0</v>
      </c>
      <c r="C35" s="9" t="s">
        <v>89</v>
      </c>
      <c r="D35" s="10" t="s">
        <v>90</v>
      </c>
      <c r="E35" s="11" t="s">
        <v>51</v>
      </c>
      <c r="F35" s="11" t="s">
        <v>181</v>
      </c>
      <c r="G35" s="10" t="s">
        <v>182</v>
      </c>
      <c r="H35" s="10" t="s">
        <v>45</v>
      </c>
      <c r="I35" s="12" t="s">
        <v>183</v>
      </c>
      <c r="J35" s="10" t="s">
        <v>184</v>
      </c>
      <c r="K35" s="13" t="s">
        <v>185</v>
      </c>
    </row>
    <row r="36" ht="22.5" hidden="1" customHeight="1">
      <c r="A36" s="7" t="s">
        <v>151</v>
      </c>
      <c r="B36" s="8">
        <v>46134.0</v>
      </c>
      <c r="C36" s="14"/>
      <c r="D36" s="15"/>
      <c r="E36" s="16"/>
      <c r="F36" s="16"/>
      <c r="G36" s="10" t="s">
        <v>186</v>
      </c>
      <c r="H36" s="10" t="s">
        <v>187</v>
      </c>
      <c r="I36" s="12" t="s">
        <v>188</v>
      </c>
      <c r="J36" s="10" t="s">
        <v>189</v>
      </c>
      <c r="K36" s="13" t="s">
        <v>190</v>
      </c>
    </row>
    <row r="37" ht="22.5" hidden="1" customHeight="1">
      <c r="A37" s="7" t="s">
        <v>151</v>
      </c>
      <c r="B37" s="8">
        <v>46135.0</v>
      </c>
      <c r="C37" s="14"/>
      <c r="D37" s="15"/>
      <c r="E37" s="16"/>
      <c r="F37" s="16"/>
      <c r="G37" s="10" t="s">
        <v>191</v>
      </c>
      <c r="H37" s="10" t="s">
        <v>68</v>
      </c>
      <c r="I37" s="12" t="s">
        <v>192</v>
      </c>
      <c r="J37" s="10" t="s">
        <v>193</v>
      </c>
      <c r="K37" s="13" t="s">
        <v>194</v>
      </c>
    </row>
    <row r="38" ht="22.5" hidden="1" customHeight="1">
      <c r="A38" s="7" t="s">
        <v>151</v>
      </c>
      <c r="B38" s="8">
        <v>46136.0</v>
      </c>
      <c r="C38" s="14"/>
      <c r="D38" s="15"/>
      <c r="E38" s="16"/>
      <c r="F38" s="16"/>
      <c r="G38" s="10" t="s">
        <v>195</v>
      </c>
      <c r="H38" s="10" t="s">
        <v>196</v>
      </c>
      <c r="I38" s="12" t="s">
        <v>197</v>
      </c>
      <c r="J38" s="10" t="s">
        <v>198</v>
      </c>
      <c r="K38" s="13" t="s">
        <v>199</v>
      </c>
    </row>
    <row r="39" ht="22.5" hidden="1" customHeight="1">
      <c r="A39" s="7" t="s">
        <v>151</v>
      </c>
      <c r="B39" s="8">
        <v>46136.0</v>
      </c>
      <c r="C39" s="14"/>
      <c r="D39" s="15"/>
      <c r="E39" s="16"/>
      <c r="F39" s="16"/>
      <c r="G39" s="10" t="s">
        <v>200</v>
      </c>
      <c r="H39" s="10" t="s">
        <v>196</v>
      </c>
      <c r="I39" s="12" t="s">
        <v>201</v>
      </c>
      <c r="J39" s="10" t="s">
        <v>202</v>
      </c>
      <c r="K39" s="13" t="s">
        <v>203</v>
      </c>
    </row>
    <row r="40" ht="22.5" hidden="1" customHeight="1">
      <c r="A40" s="7" t="s">
        <v>204</v>
      </c>
      <c r="B40" s="8">
        <v>46140.0</v>
      </c>
      <c r="C40" s="14"/>
      <c r="D40" s="15"/>
      <c r="E40" s="16"/>
      <c r="F40" s="16"/>
      <c r="G40" s="10" t="s">
        <v>205</v>
      </c>
      <c r="H40" s="10" t="s">
        <v>45</v>
      </c>
      <c r="I40" s="12" t="s">
        <v>206</v>
      </c>
      <c r="J40" s="10" t="s">
        <v>207</v>
      </c>
      <c r="K40" s="13" t="s">
        <v>208</v>
      </c>
    </row>
    <row r="41" ht="22.5" hidden="1" customHeight="1">
      <c r="A41" s="7" t="s">
        <v>204</v>
      </c>
      <c r="B41" s="8">
        <v>46140.0</v>
      </c>
      <c r="C41" s="14"/>
      <c r="D41" s="15"/>
      <c r="E41" s="16"/>
      <c r="F41" s="16"/>
      <c r="G41" s="10" t="s">
        <v>209</v>
      </c>
      <c r="H41" s="10" t="s">
        <v>68</v>
      </c>
      <c r="I41" s="12" t="s">
        <v>210</v>
      </c>
      <c r="J41" s="10" t="s">
        <v>211</v>
      </c>
      <c r="K41" s="13" t="s">
        <v>212</v>
      </c>
    </row>
    <row r="42" ht="22.5" hidden="1" customHeight="1">
      <c r="A42" s="7" t="s">
        <v>204</v>
      </c>
      <c r="B42" s="8">
        <v>46140.0</v>
      </c>
      <c r="C42" s="14"/>
      <c r="D42" s="15"/>
      <c r="E42" s="16"/>
      <c r="F42" s="16"/>
      <c r="G42" s="10" t="s">
        <v>213</v>
      </c>
      <c r="H42" s="10" t="s">
        <v>134</v>
      </c>
      <c r="I42" s="12" t="s">
        <v>214</v>
      </c>
      <c r="J42" s="10" t="s">
        <v>215</v>
      </c>
      <c r="K42" s="13" t="s">
        <v>216</v>
      </c>
    </row>
    <row r="43" ht="22.5" hidden="1" customHeight="1">
      <c r="A43" s="7" t="s">
        <v>204</v>
      </c>
      <c r="B43" s="8">
        <v>46140.0</v>
      </c>
      <c r="C43" s="14"/>
      <c r="D43" s="15"/>
      <c r="E43" s="16"/>
      <c r="F43" s="16"/>
      <c r="G43" s="10" t="s">
        <v>217</v>
      </c>
      <c r="H43" s="10" t="s">
        <v>92</v>
      </c>
      <c r="I43" s="12" t="s">
        <v>218</v>
      </c>
      <c r="J43" s="10" t="s">
        <v>219</v>
      </c>
      <c r="K43" s="13" t="s">
        <v>220</v>
      </c>
    </row>
    <row r="44" ht="22.5" hidden="1" customHeight="1">
      <c r="A44" s="7" t="s">
        <v>204</v>
      </c>
      <c r="B44" s="8">
        <v>46140.0</v>
      </c>
      <c r="C44" s="14"/>
      <c r="D44" s="15"/>
      <c r="E44" s="16"/>
      <c r="F44" s="16"/>
      <c r="G44" s="10" t="s">
        <v>221</v>
      </c>
      <c r="H44" s="10" t="s">
        <v>222</v>
      </c>
      <c r="I44" s="12" t="s">
        <v>223</v>
      </c>
      <c r="J44" s="10" t="s">
        <v>224</v>
      </c>
      <c r="K44" s="13" t="s">
        <v>225</v>
      </c>
    </row>
    <row r="45" ht="22.5" hidden="1" customHeight="1">
      <c r="A45" s="7" t="s">
        <v>204</v>
      </c>
      <c r="B45" s="8">
        <v>46140.0</v>
      </c>
      <c r="C45" s="14"/>
      <c r="D45" s="15"/>
      <c r="E45" s="16"/>
      <c r="F45" s="16"/>
      <c r="G45" s="10" t="s">
        <v>226</v>
      </c>
      <c r="H45" s="10" t="s">
        <v>227</v>
      </c>
      <c r="I45" s="12" t="s">
        <v>228</v>
      </c>
      <c r="J45" s="10" t="s">
        <v>229</v>
      </c>
      <c r="K45" s="13" t="s">
        <v>230</v>
      </c>
    </row>
    <row r="46" ht="22.5" hidden="1" customHeight="1">
      <c r="A46" s="7" t="s">
        <v>204</v>
      </c>
      <c r="B46" s="8">
        <v>46134.0</v>
      </c>
      <c r="C46" s="14"/>
      <c r="D46" s="15"/>
      <c r="E46" s="16"/>
      <c r="F46" s="16"/>
      <c r="G46" s="10" t="s">
        <v>231</v>
      </c>
      <c r="H46" s="10" t="s">
        <v>232</v>
      </c>
      <c r="I46" s="12" t="s">
        <v>233</v>
      </c>
      <c r="J46" s="10" t="s">
        <v>234</v>
      </c>
      <c r="K46" s="13" t="s">
        <v>235</v>
      </c>
    </row>
    <row r="47" ht="22.5" hidden="1" customHeight="1">
      <c r="A47" s="7" t="s">
        <v>204</v>
      </c>
      <c r="B47" s="8">
        <v>46140.0</v>
      </c>
      <c r="C47" s="14"/>
      <c r="D47" s="15"/>
      <c r="E47" s="16"/>
      <c r="F47" s="16"/>
      <c r="G47" s="10" t="s">
        <v>236</v>
      </c>
      <c r="H47" s="10" t="s">
        <v>227</v>
      </c>
      <c r="I47" s="12" t="s">
        <v>237</v>
      </c>
      <c r="J47" s="10" t="s">
        <v>238</v>
      </c>
      <c r="K47" s="13" t="s">
        <v>239</v>
      </c>
    </row>
    <row r="48" ht="22.5" hidden="1" customHeight="1">
      <c r="A48" s="7" t="s">
        <v>204</v>
      </c>
      <c r="B48" s="8">
        <v>46140.0</v>
      </c>
      <c r="C48" s="14"/>
      <c r="D48" s="15"/>
      <c r="E48" s="16"/>
      <c r="F48" s="16"/>
      <c r="G48" s="10" t="s">
        <v>240</v>
      </c>
      <c r="H48" s="10" t="s">
        <v>134</v>
      </c>
      <c r="I48" s="12" t="s">
        <v>241</v>
      </c>
      <c r="J48" s="10" t="s">
        <v>242</v>
      </c>
      <c r="K48" s="13" t="s">
        <v>243</v>
      </c>
    </row>
    <row r="49" ht="22.5" hidden="1" customHeight="1">
      <c r="A49" s="7" t="s">
        <v>204</v>
      </c>
      <c r="B49" s="8">
        <v>46144.0</v>
      </c>
      <c r="C49" s="14"/>
      <c r="D49" s="15"/>
      <c r="E49" s="16"/>
      <c r="F49" s="16"/>
      <c r="G49" s="10" t="s">
        <v>244</v>
      </c>
      <c r="H49" s="10" t="s">
        <v>245</v>
      </c>
      <c r="I49" s="12" t="s">
        <v>246</v>
      </c>
      <c r="J49" s="10" t="s">
        <v>247</v>
      </c>
      <c r="K49" s="13" t="s">
        <v>248</v>
      </c>
    </row>
    <row r="50" ht="22.5" hidden="1" customHeight="1">
      <c r="A50" s="7" t="s">
        <v>249</v>
      </c>
      <c r="B50" s="8">
        <v>46148.0</v>
      </c>
      <c r="C50" s="14"/>
      <c r="D50" s="15"/>
      <c r="E50" s="16"/>
      <c r="F50" s="16"/>
      <c r="G50" s="10" t="s">
        <v>250</v>
      </c>
      <c r="H50" s="10" t="s">
        <v>251</v>
      </c>
      <c r="I50" s="12" t="s">
        <v>252</v>
      </c>
      <c r="J50" s="10" t="s">
        <v>253</v>
      </c>
      <c r="K50" s="13" t="s">
        <v>254</v>
      </c>
    </row>
    <row r="51" ht="22.5" hidden="1" customHeight="1">
      <c r="A51" s="7" t="s">
        <v>249</v>
      </c>
      <c r="B51" s="8">
        <v>46148.0</v>
      </c>
      <c r="C51" s="14"/>
      <c r="D51" s="15"/>
      <c r="E51" s="16"/>
      <c r="F51" s="16"/>
      <c r="G51" s="10" t="s">
        <v>255</v>
      </c>
      <c r="H51" s="10" t="s">
        <v>232</v>
      </c>
      <c r="I51" s="12" t="s">
        <v>256</v>
      </c>
      <c r="J51" s="10" t="s">
        <v>257</v>
      </c>
      <c r="K51" s="13" t="s">
        <v>258</v>
      </c>
    </row>
    <row r="52" ht="22.5" hidden="1" customHeight="1">
      <c r="A52" s="7" t="s">
        <v>249</v>
      </c>
      <c r="B52" s="8">
        <v>46147.0</v>
      </c>
      <c r="C52" s="14"/>
      <c r="D52" s="15"/>
      <c r="E52" s="16"/>
      <c r="F52" s="16"/>
      <c r="G52" s="10" t="s">
        <v>259</v>
      </c>
      <c r="H52" s="10" t="s">
        <v>260</v>
      </c>
      <c r="I52" s="12" t="s">
        <v>261</v>
      </c>
      <c r="J52" s="10" t="s">
        <v>262</v>
      </c>
      <c r="K52" s="13" t="s">
        <v>263</v>
      </c>
    </row>
    <row r="53" ht="22.5" hidden="1" customHeight="1">
      <c r="A53" s="7" t="s">
        <v>249</v>
      </c>
      <c r="B53" s="8">
        <v>46147.0</v>
      </c>
      <c r="C53" s="14"/>
      <c r="D53" s="15"/>
      <c r="E53" s="16"/>
      <c r="F53" s="16"/>
      <c r="G53" s="10" t="s">
        <v>264</v>
      </c>
      <c r="H53" s="10" t="s">
        <v>265</v>
      </c>
      <c r="I53" s="12" t="s">
        <v>266</v>
      </c>
      <c r="J53" s="10" t="s">
        <v>267</v>
      </c>
      <c r="K53" s="13" t="s">
        <v>268</v>
      </c>
    </row>
    <row r="54" ht="22.5" hidden="1" customHeight="1">
      <c r="A54" s="7" t="s">
        <v>249</v>
      </c>
      <c r="B54" s="8">
        <v>46147.0</v>
      </c>
      <c r="C54" s="14"/>
      <c r="D54" s="15"/>
      <c r="E54" s="16"/>
      <c r="F54" s="16"/>
      <c r="G54" s="10" t="s">
        <v>269</v>
      </c>
      <c r="H54" s="10" t="s">
        <v>270</v>
      </c>
      <c r="I54" s="12" t="s">
        <v>271</v>
      </c>
      <c r="J54" s="10" t="s">
        <v>272</v>
      </c>
      <c r="K54" s="13" t="s">
        <v>273</v>
      </c>
    </row>
    <row r="55" ht="22.5" hidden="1" customHeight="1">
      <c r="A55" s="7" t="s">
        <v>249</v>
      </c>
      <c r="B55" s="8">
        <v>46147.0</v>
      </c>
      <c r="C55" s="14"/>
      <c r="D55" s="15"/>
      <c r="E55" s="16"/>
      <c r="F55" s="16"/>
      <c r="G55" s="10" t="s">
        <v>274</v>
      </c>
      <c r="H55" s="10" t="s">
        <v>275</v>
      </c>
      <c r="I55" s="12" t="s">
        <v>276</v>
      </c>
      <c r="J55" s="10" t="s">
        <v>277</v>
      </c>
      <c r="K55" s="13" t="s">
        <v>278</v>
      </c>
    </row>
    <row r="56" ht="22.5" hidden="1" customHeight="1">
      <c r="A56" s="7" t="s">
        <v>249</v>
      </c>
      <c r="B56" s="8">
        <v>46150.0</v>
      </c>
      <c r="C56" s="14"/>
      <c r="D56" s="15"/>
      <c r="E56" s="16"/>
      <c r="F56" s="16"/>
      <c r="G56" s="10" t="s">
        <v>279</v>
      </c>
      <c r="H56" s="10" t="s">
        <v>280</v>
      </c>
      <c r="I56" s="12" t="s">
        <v>281</v>
      </c>
      <c r="J56" s="10" t="s">
        <v>282</v>
      </c>
      <c r="K56" s="13" t="s">
        <v>283</v>
      </c>
    </row>
    <row r="57" ht="22.5" hidden="1" customHeight="1">
      <c r="A57" s="7" t="s">
        <v>249</v>
      </c>
      <c r="B57" s="8">
        <v>46150.0</v>
      </c>
      <c r="C57" s="14"/>
      <c r="D57" s="15"/>
      <c r="E57" s="16"/>
      <c r="F57" s="16"/>
      <c r="G57" s="10" t="s">
        <v>284</v>
      </c>
      <c r="H57" s="10" t="s">
        <v>285</v>
      </c>
      <c r="I57" s="12" t="s">
        <v>286</v>
      </c>
      <c r="J57" s="10" t="s">
        <v>287</v>
      </c>
      <c r="K57" s="13" t="s">
        <v>288</v>
      </c>
    </row>
    <row r="58" ht="22.5" hidden="1" customHeight="1">
      <c r="A58" s="7" t="s">
        <v>249</v>
      </c>
      <c r="B58" s="8">
        <v>46146.0</v>
      </c>
      <c r="C58" s="14"/>
      <c r="D58" s="15"/>
      <c r="E58" s="16"/>
      <c r="F58" s="16"/>
      <c r="G58" s="10" t="s">
        <v>289</v>
      </c>
      <c r="H58" s="10" t="s">
        <v>80</v>
      </c>
      <c r="I58" s="12" t="s">
        <v>290</v>
      </c>
      <c r="J58" s="10" t="s">
        <v>291</v>
      </c>
      <c r="K58" s="13" t="s">
        <v>292</v>
      </c>
    </row>
    <row r="59" ht="22.5" hidden="1" customHeight="1">
      <c r="A59" s="7" t="s">
        <v>249</v>
      </c>
      <c r="B59" s="8">
        <v>46150.0</v>
      </c>
      <c r="C59" s="14"/>
      <c r="D59" s="15"/>
      <c r="E59" s="16"/>
      <c r="F59" s="16"/>
      <c r="G59" s="10" t="s">
        <v>293</v>
      </c>
      <c r="H59" s="10" t="s">
        <v>139</v>
      </c>
      <c r="I59" s="12" t="s">
        <v>294</v>
      </c>
      <c r="J59" s="10" t="s">
        <v>295</v>
      </c>
      <c r="K59" s="13" t="s">
        <v>296</v>
      </c>
    </row>
    <row r="60" ht="22.5" hidden="1" customHeight="1">
      <c r="A60" s="7" t="s">
        <v>249</v>
      </c>
      <c r="B60" s="8">
        <v>46146.0</v>
      </c>
      <c r="C60" s="14"/>
      <c r="D60" s="15"/>
      <c r="E60" s="16"/>
      <c r="F60" s="16"/>
      <c r="G60" s="10" t="s">
        <v>297</v>
      </c>
      <c r="H60" s="10" t="s">
        <v>251</v>
      </c>
      <c r="I60" s="12" t="s">
        <v>298</v>
      </c>
      <c r="J60" s="10" t="s">
        <v>299</v>
      </c>
      <c r="K60" s="13" t="s">
        <v>300</v>
      </c>
    </row>
    <row r="61" ht="22.5" hidden="1" customHeight="1">
      <c r="A61" s="7" t="s">
        <v>249</v>
      </c>
      <c r="B61" s="8">
        <v>46146.0</v>
      </c>
      <c r="C61" s="14"/>
      <c r="D61" s="15"/>
      <c r="E61" s="16"/>
      <c r="F61" s="16"/>
      <c r="G61" s="10" t="s">
        <v>301</v>
      </c>
      <c r="H61" s="10" t="s">
        <v>35</v>
      </c>
      <c r="I61" s="12" t="s">
        <v>302</v>
      </c>
      <c r="J61" s="10" t="s">
        <v>303</v>
      </c>
      <c r="K61" s="13" t="s">
        <v>304</v>
      </c>
    </row>
    <row r="62" ht="22.5" hidden="1" customHeight="1">
      <c r="A62" s="7" t="s">
        <v>305</v>
      </c>
      <c r="B62" s="8">
        <v>46153.0</v>
      </c>
      <c r="C62" s="14"/>
      <c r="D62" s="15"/>
      <c r="E62" s="16"/>
      <c r="F62" s="16"/>
      <c r="G62" s="10" t="s">
        <v>306</v>
      </c>
      <c r="H62" s="10" t="s">
        <v>307</v>
      </c>
      <c r="I62" s="12" t="s">
        <v>308</v>
      </c>
      <c r="J62" s="10" t="s">
        <v>309</v>
      </c>
      <c r="K62" s="13" t="s">
        <v>310</v>
      </c>
    </row>
    <row r="63" ht="22.5" hidden="1" customHeight="1">
      <c r="A63" s="7" t="s">
        <v>305</v>
      </c>
      <c r="B63" s="8">
        <v>46153.0</v>
      </c>
      <c r="C63" s="14"/>
      <c r="D63" s="15"/>
      <c r="E63" s="16"/>
      <c r="F63" s="16"/>
      <c r="G63" s="10" t="s">
        <v>311</v>
      </c>
      <c r="H63" s="10" t="s">
        <v>251</v>
      </c>
      <c r="I63" s="12" t="s">
        <v>312</v>
      </c>
      <c r="J63" s="10" t="s">
        <v>313</v>
      </c>
      <c r="K63" s="13" t="s">
        <v>314</v>
      </c>
    </row>
    <row r="64" ht="22.5" hidden="1" customHeight="1">
      <c r="A64" s="7" t="s">
        <v>305</v>
      </c>
      <c r="B64" s="8">
        <v>46153.0</v>
      </c>
      <c r="C64" s="14"/>
      <c r="D64" s="15"/>
      <c r="E64" s="16"/>
      <c r="F64" s="16"/>
      <c r="G64" s="10" t="s">
        <v>315</v>
      </c>
      <c r="H64" s="10" t="s">
        <v>316</v>
      </c>
      <c r="I64" s="12" t="s">
        <v>317</v>
      </c>
      <c r="J64" s="10" t="s">
        <v>318</v>
      </c>
      <c r="K64" s="13" t="s">
        <v>319</v>
      </c>
    </row>
    <row r="65" ht="22.5" hidden="1" customHeight="1">
      <c r="A65" s="7" t="s">
        <v>305</v>
      </c>
      <c r="B65" s="8">
        <v>46154.0</v>
      </c>
      <c r="C65" s="14"/>
      <c r="D65" s="15"/>
      <c r="E65" s="16"/>
      <c r="F65" s="16"/>
      <c r="G65" s="10" t="s">
        <v>320</v>
      </c>
      <c r="H65" s="10" t="s">
        <v>21</v>
      </c>
      <c r="I65" s="12" t="s">
        <v>321</v>
      </c>
      <c r="J65" s="10" t="s">
        <v>322</v>
      </c>
      <c r="K65" s="13" t="s">
        <v>323</v>
      </c>
    </row>
    <row r="66" ht="22.5" hidden="1" customHeight="1">
      <c r="A66" s="7" t="s">
        <v>305</v>
      </c>
      <c r="B66" s="8">
        <v>46154.0</v>
      </c>
      <c r="C66" s="14"/>
      <c r="D66" s="15"/>
      <c r="E66" s="16"/>
      <c r="F66" s="16"/>
      <c r="G66" s="10" t="s">
        <v>324</v>
      </c>
      <c r="H66" s="10" t="s">
        <v>325</v>
      </c>
      <c r="I66" s="12" t="s">
        <v>326</v>
      </c>
      <c r="J66" s="10" t="s">
        <v>327</v>
      </c>
      <c r="K66" s="13" t="s">
        <v>328</v>
      </c>
    </row>
    <row r="67" ht="22.5" hidden="1" customHeight="1">
      <c r="A67" s="7" t="s">
        <v>305</v>
      </c>
      <c r="B67" s="8">
        <v>46155.0</v>
      </c>
      <c r="C67" s="14"/>
      <c r="D67" s="15"/>
      <c r="E67" s="16"/>
      <c r="F67" s="16"/>
      <c r="G67" s="10" t="s">
        <v>329</v>
      </c>
      <c r="H67" s="10" t="s">
        <v>63</v>
      </c>
      <c r="I67" s="12" t="s">
        <v>330</v>
      </c>
      <c r="J67" s="10" t="s">
        <v>331</v>
      </c>
      <c r="K67" s="13" t="s">
        <v>332</v>
      </c>
    </row>
    <row r="68" ht="22.5" hidden="1" customHeight="1">
      <c r="A68" s="7" t="s">
        <v>305</v>
      </c>
      <c r="B68" s="8">
        <v>46155.0</v>
      </c>
      <c r="C68" s="14"/>
      <c r="D68" s="15"/>
      <c r="E68" s="16"/>
      <c r="F68" s="16"/>
      <c r="G68" s="10" t="s">
        <v>333</v>
      </c>
      <c r="H68" s="10" t="s">
        <v>26</v>
      </c>
      <c r="I68" s="12" t="s">
        <v>334</v>
      </c>
      <c r="J68" s="10" t="s">
        <v>335</v>
      </c>
      <c r="K68" s="13" t="s">
        <v>336</v>
      </c>
    </row>
    <row r="69" ht="22.5" hidden="1" customHeight="1">
      <c r="A69" s="7" t="s">
        <v>305</v>
      </c>
      <c r="B69" s="8">
        <v>46155.0</v>
      </c>
      <c r="C69" s="14"/>
      <c r="D69" s="15"/>
      <c r="E69" s="16"/>
      <c r="F69" s="16"/>
      <c r="G69" s="10" t="s">
        <v>337</v>
      </c>
      <c r="H69" s="10" t="s">
        <v>338</v>
      </c>
      <c r="I69" s="12" t="s">
        <v>339</v>
      </c>
      <c r="J69" s="10" t="s">
        <v>340</v>
      </c>
      <c r="K69" s="13" t="s">
        <v>341</v>
      </c>
    </row>
    <row r="70" ht="22.5" hidden="1" customHeight="1">
      <c r="A70" s="7" t="s">
        <v>305</v>
      </c>
      <c r="B70" s="8">
        <v>46155.0</v>
      </c>
      <c r="C70" s="14"/>
      <c r="D70" s="15"/>
      <c r="E70" s="16"/>
      <c r="F70" s="16"/>
      <c r="G70" s="10" t="s">
        <v>342</v>
      </c>
      <c r="H70" s="10" t="s">
        <v>35</v>
      </c>
      <c r="I70" s="12" t="s">
        <v>343</v>
      </c>
      <c r="J70" s="10" t="s">
        <v>344</v>
      </c>
      <c r="K70" s="13" t="s">
        <v>345</v>
      </c>
    </row>
    <row r="71" ht="22.5" hidden="1" customHeight="1">
      <c r="A71" s="7" t="s">
        <v>305</v>
      </c>
      <c r="B71" s="8">
        <v>46155.0</v>
      </c>
      <c r="C71" s="14"/>
      <c r="D71" s="15"/>
      <c r="E71" s="16"/>
      <c r="F71" s="16"/>
      <c r="G71" s="10" t="s">
        <v>346</v>
      </c>
      <c r="H71" s="10" t="s">
        <v>92</v>
      </c>
      <c r="I71" s="12" t="s">
        <v>347</v>
      </c>
      <c r="J71" s="10" t="s">
        <v>348</v>
      </c>
      <c r="K71" s="13" t="s">
        <v>349</v>
      </c>
    </row>
    <row r="72" ht="22.5" hidden="1" customHeight="1">
      <c r="A72" s="7" t="s">
        <v>305</v>
      </c>
      <c r="B72" s="8">
        <v>46155.0</v>
      </c>
      <c r="C72" s="14"/>
      <c r="D72" s="15"/>
      <c r="E72" s="16"/>
      <c r="F72" s="16"/>
      <c r="G72" s="10" t="s">
        <v>350</v>
      </c>
      <c r="H72" s="10" t="s">
        <v>351</v>
      </c>
      <c r="I72" s="12" t="s">
        <v>352</v>
      </c>
      <c r="J72" s="10" t="s">
        <v>353</v>
      </c>
      <c r="K72" s="13" t="s">
        <v>354</v>
      </c>
    </row>
    <row r="73" ht="22.5" hidden="1" customHeight="1">
      <c r="A73" s="7" t="s">
        <v>305</v>
      </c>
      <c r="B73" s="8">
        <v>46156.0</v>
      </c>
      <c r="C73" s="14"/>
      <c r="D73" s="15"/>
      <c r="E73" s="16"/>
      <c r="F73" s="16"/>
      <c r="G73" s="10" t="s">
        <v>355</v>
      </c>
      <c r="H73" s="10" t="s">
        <v>35</v>
      </c>
      <c r="I73" s="12" t="s">
        <v>356</v>
      </c>
      <c r="J73" s="10" t="s">
        <v>357</v>
      </c>
      <c r="K73" s="13" t="s">
        <v>358</v>
      </c>
    </row>
    <row r="74" ht="22.5" hidden="1" customHeight="1">
      <c r="A74" s="7" t="s">
        <v>305</v>
      </c>
      <c r="B74" s="8">
        <v>46156.0</v>
      </c>
      <c r="C74" s="14"/>
      <c r="D74" s="15"/>
      <c r="E74" s="16"/>
      <c r="F74" s="16"/>
      <c r="G74" s="10" t="s">
        <v>359</v>
      </c>
      <c r="H74" s="10" t="s">
        <v>307</v>
      </c>
      <c r="I74" s="12" t="s">
        <v>360</v>
      </c>
      <c r="J74" s="10" t="s">
        <v>361</v>
      </c>
      <c r="K74" s="13" t="s">
        <v>362</v>
      </c>
    </row>
    <row r="75" ht="22.5" hidden="1" customHeight="1">
      <c r="A75" s="7" t="s">
        <v>305</v>
      </c>
      <c r="B75" s="8">
        <v>46156.0</v>
      </c>
      <c r="C75" s="14"/>
      <c r="D75" s="15"/>
      <c r="E75" s="16"/>
      <c r="F75" s="16"/>
      <c r="G75" s="10" t="s">
        <v>363</v>
      </c>
      <c r="H75" s="10" t="s">
        <v>129</v>
      </c>
      <c r="I75" s="12" t="s">
        <v>364</v>
      </c>
      <c r="J75" s="10" t="s">
        <v>365</v>
      </c>
      <c r="K75" s="13" t="s">
        <v>366</v>
      </c>
    </row>
    <row r="76" ht="22.5" hidden="1" customHeight="1">
      <c r="A76" s="7" t="s">
        <v>305</v>
      </c>
      <c r="B76" s="8">
        <v>46157.0</v>
      </c>
      <c r="C76" s="14"/>
      <c r="D76" s="15"/>
      <c r="E76" s="16"/>
      <c r="F76" s="16"/>
      <c r="G76" s="10" t="s">
        <v>367</v>
      </c>
      <c r="H76" s="10" t="s">
        <v>368</v>
      </c>
      <c r="I76" s="12" t="s">
        <v>369</v>
      </c>
      <c r="J76" s="10" t="s">
        <v>370</v>
      </c>
      <c r="K76" s="13" t="s">
        <v>371</v>
      </c>
    </row>
    <row r="77" ht="22.5" hidden="1" customHeight="1">
      <c r="A77" s="7" t="s">
        <v>305</v>
      </c>
      <c r="B77" s="8">
        <v>46157.0</v>
      </c>
      <c r="C77" s="14"/>
      <c r="D77" s="15"/>
      <c r="E77" s="16"/>
      <c r="F77" s="16"/>
      <c r="G77" s="10" t="s">
        <v>367</v>
      </c>
      <c r="H77" s="10" t="s">
        <v>372</v>
      </c>
      <c r="I77" s="12" t="s">
        <v>373</v>
      </c>
      <c r="J77" s="10" t="s">
        <v>374</v>
      </c>
      <c r="K77" s="13" t="s">
        <v>375</v>
      </c>
    </row>
    <row r="78" ht="22.5" hidden="1" customHeight="1">
      <c r="A78" s="7" t="s">
        <v>305</v>
      </c>
      <c r="B78" s="8">
        <v>46157.0</v>
      </c>
      <c r="C78" s="14"/>
      <c r="D78" s="15"/>
      <c r="E78" s="16"/>
      <c r="F78" s="16"/>
      <c r="G78" s="10" t="s">
        <v>376</v>
      </c>
      <c r="H78" s="10" t="s">
        <v>377</v>
      </c>
      <c r="I78" s="12" t="s">
        <v>378</v>
      </c>
      <c r="J78" s="10" t="s">
        <v>379</v>
      </c>
      <c r="K78" s="13" t="s">
        <v>380</v>
      </c>
    </row>
    <row r="79" ht="22.5" hidden="1" customHeight="1">
      <c r="A79" s="7" t="s">
        <v>305</v>
      </c>
      <c r="B79" s="8">
        <v>46158.0</v>
      </c>
      <c r="C79" s="9" t="s">
        <v>381</v>
      </c>
      <c r="D79" s="10" t="s">
        <v>382</v>
      </c>
      <c r="E79" s="11" t="s">
        <v>383</v>
      </c>
      <c r="F79" s="11" t="s">
        <v>384</v>
      </c>
      <c r="G79" s="10" t="s">
        <v>385</v>
      </c>
      <c r="H79" s="10" t="s">
        <v>153</v>
      </c>
      <c r="I79" s="12" t="s">
        <v>386</v>
      </c>
      <c r="J79" s="10" t="s">
        <v>387</v>
      </c>
      <c r="K79" s="13" t="s">
        <v>388</v>
      </c>
    </row>
    <row r="80" ht="22.5" hidden="1" customHeight="1">
      <c r="A80" s="7" t="s">
        <v>305</v>
      </c>
      <c r="B80" s="8">
        <v>46158.0</v>
      </c>
      <c r="C80" s="9" t="s">
        <v>381</v>
      </c>
      <c r="D80" s="10" t="s">
        <v>382</v>
      </c>
      <c r="E80" s="11" t="s">
        <v>383</v>
      </c>
      <c r="F80" s="11" t="s">
        <v>389</v>
      </c>
      <c r="G80" s="10" t="s">
        <v>390</v>
      </c>
      <c r="H80" s="10" t="s">
        <v>92</v>
      </c>
      <c r="I80" s="12" t="s">
        <v>391</v>
      </c>
      <c r="J80" s="10" t="s">
        <v>392</v>
      </c>
      <c r="K80" s="13" t="s">
        <v>393</v>
      </c>
    </row>
    <row r="81" ht="22.5" hidden="1" customHeight="1">
      <c r="A81" s="7" t="s">
        <v>305</v>
      </c>
      <c r="B81" s="8">
        <v>46159.0</v>
      </c>
      <c r="C81" s="14"/>
      <c r="D81" s="15"/>
      <c r="E81" s="11" t="s">
        <v>51</v>
      </c>
      <c r="F81" s="11" t="s">
        <v>394</v>
      </c>
      <c r="G81" s="10" t="s">
        <v>395</v>
      </c>
      <c r="H81" s="10" t="s">
        <v>307</v>
      </c>
      <c r="I81" s="12" t="s">
        <v>396</v>
      </c>
      <c r="J81" s="10" t="s">
        <v>397</v>
      </c>
      <c r="K81" s="13" t="s">
        <v>398</v>
      </c>
    </row>
    <row r="82" ht="22.5" hidden="1" customHeight="1">
      <c r="A82" s="7" t="s">
        <v>399</v>
      </c>
      <c r="B82" s="8">
        <v>46160.0</v>
      </c>
      <c r="C82" s="14"/>
      <c r="D82" s="15"/>
      <c r="E82" s="16"/>
      <c r="F82" s="16"/>
      <c r="G82" s="10" t="s">
        <v>400</v>
      </c>
      <c r="H82" s="10" t="s">
        <v>222</v>
      </c>
      <c r="I82" s="12" t="s">
        <v>401</v>
      </c>
      <c r="J82" s="10" t="s">
        <v>402</v>
      </c>
      <c r="K82" s="13" t="s">
        <v>403</v>
      </c>
    </row>
    <row r="83" ht="22.5" hidden="1" customHeight="1">
      <c r="A83" s="7" t="s">
        <v>399</v>
      </c>
      <c r="B83" s="8">
        <v>46160.0</v>
      </c>
      <c r="C83" s="14"/>
      <c r="D83" s="15"/>
      <c r="E83" s="16"/>
      <c r="F83" s="16"/>
      <c r="G83" s="10" t="s">
        <v>404</v>
      </c>
      <c r="H83" s="10" t="s">
        <v>139</v>
      </c>
      <c r="I83" s="12" t="s">
        <v>405</v>
      </c>
      <c r="J83" s="10" t="s">
        <v>406</v>
      </c>
      <c r="K83" s="13" t="s">
        <v>407</v>
      </c>
    </row>
    <row r="84" ht="22.5" hidden="1" customHeight="1">
      <c r="A84" s="7" t="s">
        <v>399</v>
      </c>
      <c r="B84" s="8">
        <v>46160.0</v>
      </c>
      <c r="C84" s="14"/>
      <c r="D84" s="15"/>
      <c r="E84" s="16"/>
      <c r="F84" s="16"/>
      <c r="G84" s="10" t="s">
        <v>408</v>
      </c>
      <c r="H84" s="10" t="s">
        <v>45</v>
      </c>
      <c r="I84" s="12" t="s">
        <v>409</v>
      </c>
      <c r="J84" s="10" t="s">
        <v>410</v>
      </c>
      <c r="K84" s="13" t="s">
        <v>411</v>
      </c>
    </row>
    <row r="85" ht="22.5" hidden="1" customHeight="1">
      <c r="A85" s="7" t="s">
        <v>399</v>
      </c>
      <c r="B85" s="8">
        <v>46160.0</v>
      </c>
      <c r="C85" s="14"/>
      <c r="D85" s="15"/>
      <c r="E85" s="16"/>
      <c r="F85" s="16"/>
      <c r="G85" s="10" t="s">
        <v>412</v>
      </c>
      <c r="H85" s="10" t="s">
        <v>413</v>
      </c>
      <c r="I85" s="12" t="s">
        <v>414</v>
      </c>
      <c r="J85" s="10" t="s">
        <v>415</v>
      </c>
      <c r="K85" s="13" t="s">
        <v>416</v>
      </c>
    </row>
    <row r="86" ht="22.5" hidden="1" customHeight="1">
      <c r="A86" s="7" t="s">
        <v>399</v>
      </c>
      <c r="B86" s="8">
        <v>46160.0</v>
      </c>
      <c r="C86" s="14"/>
      <c r="D86" s="15"/>
      <c r="E86" s="16"/>
      <c r="F86" s="16"/>
      <c r="G86" s="10" t="s">
        <v>417</v>
      </c>
      <c r="H86" s="10" t="s">
        <v>222</v>
      </c>
      <c r="I86" s="12" t="s">
        <v>418</v>
      </c>
      <c r="J86" s="10" t="s">
        <v>419</v>
      </c>
      <c r="K86" s="13" t="s">
        <v>420</v>
      </c>
    </row>
    <row r="87" ht="22.5" hidden="1" customHeight="1">
      <c r="A87" s="7" t="s">
        <v>399</v>
      </c>
      <c r="B87" s="8">
        <v>46161.0</v>
      </c>
      <c r="C87" s="14"/>
      <c r="D87" s="15"/>
      <c r="E87" s="16"/>
      <c r="F87" s="16"/>
      <c r="G87" s="10" t="s">
        <v>421</v>
      </c>
      <c r="H87" s="10" t="s">
        <v>103</v>
      </c>
      <c r="I87" s="12" t="s">
        <v>422</v>
      </c>
      <c r="J87" s="10" t="s">
        <v>423</v>
      </c>
      <c r="K87" s="13" t="s">
        <v>424</v>
      </c>
    </row>
    <row r="88" ht="22.5" hidden="1" customHeight="1">
      <c r="A88" s="7" t="s">
        <v>399</v>
      </c>
      <c r="B88" s="8">
        <v>46161.0</v>
      </c>
      <c r="C88" s="14"/>
      <c r="D88" s="15"/>
      <c r="E88" s="16"/>
      <c r="F88" s="16"/>
      <c r="G88" s="10" t="s">
        <v>421</v>
      </c>
      <c r="H88" s="10" t="s">
        <v>110</v>
      </c>
      <c r="I88" s="12" t="s">
        <v>425</v>
      </c>
      <c r="J88" s="10" t="s">
        <v>426</v>
      </c>
      <c r="K88" s="13" t="s">
        <v>427</v>
      </c>
    </row>
    <row r="89" ht="22.5" hidden="1" customHeight="1">
      <c r="A89" s="7" t="s">
        <v>399</v>
      </c>
      <c r="B89" s="8">
        <v>46161.0</v>
      </c>
      <c r="C89" s="14"/>
      <c r="D89" s="15"/>
      <c r="E89" s="16"/>
      <c r="F89" s="16"/>
      <c r="G89" s="10" t="s">
        <v>428</v>
      </c>
      <c r="H89" s="10" t="s">
        <v>429</v>
      </c>
      <c r="I89" s="12" t="s">
        <v>430</v>
      </c>
      <c r="J89" s="10" t="s">
        <v>431</v>
      </c>
      <c r="K89" s="13" t="s">
        <v>432</v>
      </c>
    </row>
    <row r="90" ht="22.5" hidden="1" customHeight="1">
      <c r="A90" s="7" t="s">
        <v>399</v>
      </c>
      <c r="B90" s="8">
        <v>46161.0</v>
      </c>
      <c r="C90" s="14"/>
      <c r="D90" s="15"/>
      <c r="E90" s="16"/>
      <c r="F90" s="16"/>
      <c r="G90" s="10" t="s">
        <v>433</v>
      </c>
      <c r="H90" s="10" t="s">
        <v>429</v>
      </c>
      <c r="I90" s="12" t="s">
        <v>434</v>
      </c>
      <c r="J90" s="10" t="s">
        <v>435</v>
      </c>
      <c r="K90" s="13" t="s">
        <v>436</v>
      </c>
    </row>
    <row r="91" ht="22.5" hidden="1" customHeight="1">
      <c r="A91" s="7" t="s">
        <v>399</v>
      </c>
      <c r="B91" s="8">
        <v>46161.0</v>
      </c>
      <c r="C91" s="14"/>
      <c r="D91" s="15"/>
      <c r="E91" s="16"/>
      <c r="F91" s="16"/>
      <c r="G91" s="10" t="s">
        <v>437</v>
      </c>
      <c r="H91" s="10" t="s">
        <v>110</v>
      </c>
      <c r="I91" s="12" t="s">
        <v>438</v>
      </c>
      <c r="J91" s="10" t="s">
        <v>439</v>
      </c>
      <c r="K91" s="13" t="s">
        <v>440</v>
      </c>
    </row>
    <row r="92" ht="22.5" hidden="1" customHeight="1">
      <c r="A92" s="7" t="s">
        <v>399</v>
      </c>
      <c r="B92" s="8">
        <v>46162.0</v>
      </c>
      <c r="C92" s="14"/>
      <c r="D92" s="15"/>
      <c r="E92" s="16"/>
      <c r="F92" s="16"/>
      <c r="G92" s="10" t="s">
        <v>441</v>
      </c>
      <c r="H92" s="10" t="s">
        <v>110</v>
      </c>
      <c r="I92" s="12" t="s">
        <v>442</v>
      </c>
      <c r="J92" s="10" t="s">
        <v>443</v>
      </c>
      <c r="K92" s="13" t="s">
        <v>444</v>
      </c>
    </row>
    <row r="93" ht="22.5" hidden="1" customHeight="1">
      <c r="A93" s="7" t="s">
        <v>399</v>
      </c>
      <c r="B93" s="8">
        <v>46162.0</v>
      </c>
      <c r="C93" s="14"/>
      <c r="D93" s="15"/>
      <c r="E93" s="16"/>
      <c r="F93" s="16"/>
      <c r="G93" s="10" t="s">
        <v>445</v>
      </c>
      <c r="H93" s="10" t="s">
        <v>110</v>
      </c>
      <c r="I93" s="12" t="s">
        <v>446</v>
      </c>
      <c r="J93" s="10" t="s">
        <v>447</v>
      </c>
      <c r="K93" s="13" t="s">
        <v>448</v>
      </c>
    </row>
    <row r="94" ht="22.5" hidden="1" customHeight="1">
      <c r="A94" s="7" t="s">
        <v>399</v>
      </c>
      <c r="B94" s="8">
        <v>46162.0</v>
      </c>
      <c r="C94" s="14"/>
      <c r="D94" s="15"/>
      <c r="E94" s="16"/>
      <c r="F94" s="16"/>
      <c r="G94" s="10" t="s">
        <v>449</v>
      </c>
      <c r="H94" s="10" t="s">
        <v>68</v>
      </c>
      <c r="I94" s="12" t="s">
        <v>450</v>
      </c>
      <c r="J94" s="10" t="s">
        <v>451</v>
      </c>
      <c r="K94" s="13" t="s">
        <v>452</v>
      </c>
    </row>
    <row r="95" ht="22.5" hidden="1" customHeight="1">
      <c r="A95" s="7" t="s">
        <v>399</v>
      </c>
      <c r="B95" s="8">
        <v>46162.0</v>
      </c>
      <c r="C95" s="14"/>
      <c r="D95" s="15"/>
      <c r="E95" s="16"/>
      <c r="F95" s="16"/>
      <c r="G95" s="10" t="s">
        <v>453</v>
      </c>
      <c r="H95" s="10" t="s">
        <v>21</v>
      </c>
      <c r="I95" s="12" t="s">
        <v>454</v>
      </c>
      <c r="J95" s="10" t="s">
        <v>455</v>
      </c>
      <c r="K95" s="13" t="s">
        <v>456</v>
      </c>
    </row>
    <row r="96" ht="22.5" hidden="1" customHeight="1">
      <c r="A96" s="7" t="s">
        <v>399</v>
      </c>
      <c r="B96" s="8">
        <v>46163.0</v>
      </c>
      <c r="C96" s="14"/>
      <c r="D96" s="15"/>
      <c r="E96" s="16"/>
      <c r="F96" s="16"/>
      <c r="G96" s="10" t="s">
        <v>457</v>
      </c>
      <c r="H96" s="10" t="s">
        <v>351</v>
      </c>
      <c r="I96" s="12" t="s">
        <v>458</v>
      </c>
      <c r="J96" s="10" t="s">
        <v>459</v>
      </c>
      <c r="K96" s="13" t="s">
        <v>460</v>
      </c>
    </row>
    <row r="97" ht="22.5" hidden="1" customHeight="1">
      <c r="A97" s="7" t="s">
        <v>399</v>
      </c>
      <c r="B97" s="8">
        <v>46164.0</v>
      </c>
      <c r="C97" s="14"/>
      <c r="D97" s="15"/>
      <c r="E97" s="16"/>
      <c r="F97" s="16"/>
      <c r="G97" s="10" t="s">
        <v>461</v>
      </c>
      <c r="H97" s="10" t="s">
        <v>26</v>
      </c>
      <c r="I97" s="12" t="s">
        <v>462</v>
      </c>
      <c r="J97" s="10" t="s">
        <v>463</v>
      </c>
      <c r="K97" s="13" t="s">
        <v>464</v>
      </c>
    </row>
    <row r="98" ht="22.5" hidden="1" customHeight="1">
      <c r="A98" s="7" t="s">
        <v>399</v>
      </c>
      <c r="B98" s="8">
        <v>46155.0</v>
      </c>
      <c r="C98" s="14"/>
      <c r="D98" s="15"/>
      <c r="E98" s="16"/>
      <c r="F98" s="16"/>
      <c r="G98" s="10" t="s">
        <v>465</v>
      </c>
      <c r="H98" s="10" t="s">
        <v>35</v>
      </c>
      <c r="I98" s="12" t="s">
        <v>466</v>
      </c>
      <c r="J98" s="10" t="s">
        <v>467</v>
      </c>
      <c r="K98" s="13" t="s">
        <v>468</v>
      </c>
    </row>
    <row r="99" ht="22.5" customHeight="1">
      <c r="A99" s="7" t="s">
        <v>469</v>
      </c>
      <c r="B99" s="8">
        <v>46167.0</v>
      </c>
      <c r="C99" s="9" t="s">
        <v>89</v>
      </c>
      <c r="D99" s="10" t="s">
        <v>470</v>
      </c>
      <c r="E99" s="11" t="s">
        <v>51</v>
      </c>
      <c r="F99" s="11" t="s">
        <v>471</v>
      </c>
      <c r="G99" s="10" t="s">
        <v>472</v>
      </c>
      <c r="H99" s="10" t="s">
        <v>103</v>
      </c>
      <c r="I99" s="12" t="s">
        <v>473</v>
      </c>
      <c r="J99" s="10" t="s">
        <v>474</v>
      </c>
      <c r="K99" s="13" t="s">
        <v>475</v>
      </c>
    </row>
    <row r="100" ht="22.5" customHeight="1">
      <c r="A100" s="7" t="s">
        <v>469</v>
      </c>
      <c r="B100" s="8">
        <v>46167.0</v>
      </c>
      <c r="C100" s="14"/>
      <c r="D100" s="15"/>
      <c r="E100" s="16"/>
      <c r="F100" s="11" t="s">
        <v>476</v>
      </c>
      <c r="G100" s="10" t="s">
        <v>477</v>
      </c>
      <c r="H100" s="10" t="s">
        <v>478</v>
      </c>
      <c r="I100" s="12" t="s">
        <v>479</v>
      </c>
      <c r="J100" s="10" t="s">
        <v>480</v>
      </c>
      <c r="K100" s="13" t="s">
        <v>481</v>
      </c>
    </row>
    <row r="101" ht="22.5" customHeight="1">
      <c r="A101" s="7" t="s">
        <v>469</v>
      </c>
      <c r="B101" s="8">
        <v>46167.0</v>
      </c>
      <c r="C101" s="9" t="s">
        <v>89</v>
      </c>
      <c r="D101" s="10" t="s">
        <v>482</v>
      </c>
      <c r="E101" s="11" t="s">
        <v>51</v>
      </c>
      <c r="F101" s="11" t="s">
        <v>483</v>
      </c>
      <c r="G101" s="10" t="s">
        <v>484</v>
      </c>
      <c r="H101" s="10" t="s">
        <v>139</v>
      </c>
      <c r="I101" s="12" t="s">
        <v>485</v>
      </c>
      <c r="J101" s="10" t="s">
        <v>486</v>
      </c>
      <c r="K101" s="13" t="s">
        <v>487</v>
      </c>
    </row>
    <row r="102" ht="22.5" customHeight="1">
      <c r="A102" s="7" t="s">
        <v>469</v>
      </c>
      <c r="B102" s="8">
        <v>46167.0</v>
      </c>
      <c r="C102" s="9" t="s">
        <v>89</v>
      </c>
      <c r="D102" s="10" t="s">
        <v>482</v>
      </c>
      <c r="E102" s="11" t="s">
        <v>51</v>
      </c>
      <c r="F102" s="11" t="s">
        <v>488</v>
      </c>
      <c r="G102" s="10" t="s">
        <v>489</v>
      </c>
      <c r="H102" s="10" t="s">
        <v>45</v>
      </c>
      <c r="I102" s="12" t="s">
        <v>490</v>
      </c>
      <c r="J102" s="10" t="s">
        <v>491</v>
      </c>
      <c r="K102" s="13" t="s">
        <v>492</v>
      </c>
    </row>
    <row r="103" ht="22.5" customHeight="1">
      <c r="A103" s="7" t="s">
        <v>469</v>
      </c>
      <c r="B103" s="8">
        <v>46167.0</v>
      </c>
      <c r="C103" s="14"/>
      <c r="D103" s="15"/>
      <c r="E103" s="16"/>
      <c r="F103" s="11" t="s">
        <v>493</v>
      </c>
      <c r="G103" s="10" t="s">
        <v>494</v>
      </c>
      <c r="H103" s="10" t="s">
        <v>139</v>
      </c>
      <c r="I103" s="12" t="s">
        <v>495</v>
      </c>
      <c r="J103" s="10" t="s">
        <v>496</v>
      </c>
      <c r="K103" s="13" t="s">
        <v>497</v>
      </c>
    </row>
    <row r="104" ht="22.5" customHeight="1">
      <c r="A104" s="7" t="s">
        <v>469</v>
      </c>
      <c r="B104" s="8">
        <v>46168.0</v>
      </c>
      <c r="C104" s="14"/>
      <c r="D104" s="15"/>
      <c r="E104" s="16"/>
      <c r="F104" s="16"/>
      <c r="G104" s="10" t="s">
        <v>498</v>
      </c>
      <c r="H104" s="10" t="s">
        <v>147</v>
      </c>
      <c r="I104" s="12" t="s">
        <v>499</v>
      </c>
      <c r="J104" s="10" t="s">
        <v>500</v>
      </c>
      <c r="K104" s="13" t="s">
        <v>501</v>
      </c>
    </row>
    <row r="105" ht="22.5" customHeight="1">
      <c r="A105" s="7" t="s">
        <v>469</v>
      </c>
      <c r="B105" s="8">
        <v>46168.0</v>
      </c>
      <c r="C105" s="14"/>
      <c r="D105" s="15"/>
      <c r="E105" s="16"/>
      <c r="F105" s="16"/>
      <c r="G105" s="10" t="s">
        <v>502</v>
      </c>
      <c r="H105" s="10" t="s">
        <v>68</v>
      </c>
      <c r="I105" s="12" t="s">
        <v>503</v>
      </c>
      <c r="J105" s="10" t="s">
        <v>504</v>
      </c>
      <c r="K105" s="13" t="s">
        <v>505</v>
      </c>
    </row>
    <row r="106" ht="22.5" customHeight="1">
      <c r="A106" s="7" t="s">
        <v>469</v>
      </c>
      <c r="B106" s="8">
        <v>46169.0</v>
      </c>
      <c r="C106" s="14"/>
      <c r="D106" s="15"/>
      <c r="E106" s="16"/>
      <c r="F106" s="11" t="s">
        <v>506</v>
      </c>
      <c r="G106" s="10" t="s">
        <v>507</v>
      </c>
      <c r="H106" s="10" t="s">
        <v>377</v>
      </c>
      <c r="I106" s="12" t="s">
        <v>508</v>
      </c>
      <c r="J106" s="10" t="s">
        <v>509</v>
      </c>
      <c r="K106" s="13" t="s">
        <v>510</v>
      </c>
    </row>
    <row r="107" ht="22.5" customHeight="1">
      <c r="A107" s="7" t="s">
        <v>469</v>
      </c>
      <c r="B107" s="8">
        <v>46169.0</v>
      </c>
      <c r="C107" s="14"/>
      <c r="D107" s="15"/>
      <c r="E107" s="16"/>
      <c r="F107" s="11" t="s">
        <v>511</v>
      </c>
      <c r="G107" s="10" t="s">
        <v>512</v>
      </c>
      <c r="H107" s="10" t="s">
        <v>92</v>
      </c>
      <c r="I107" s="12" t="s">
        <v>513</v>
      </c>
      <c r="J107" s="10" t="s">
        <v>514</v>
      </c>
      <c r="K107" s="13" t="s">
        <v>515</v>
      </c>
    </row>
    <row r="108" ht="22.5" customHeight="1">
      <c r="A108" s="7" t="s">
        <v>469</v>
      </c>
      <c r="B108" s="8">
        <v>46169.0</v>
      </c>
      <c r="C108" s="9" t="s">
        <v>89</v>
      </c>
      <c r="D108" s="10" t="s">
        <v>482</v>
      </c>
      <c r="E108" s="16"/>
      <c r="F108" s="11" t="s">
        <v>516</v>
      </c>
      <c r="G108" s="10" t="s">
        <v>517</v>
      </c>
      <c r="H108" s="10" t="s">
        <v>518</v>
      </c>
      <c r="I108" s="12" t="s">
        <v>519</v>
      </c>
      <c r="J108" s="10" t="s">
        <v>520</v>
      </c>
      <c r="K108" s="13" t="s">
        <v>521</v>
      </c>
    </row>
    <row r="109" ht="22.5" customHeight="1">
      <c r="A109" s="7" t="s">
        <v>469</v>
      </c>
      <c r="B109" s="8">
        <v>46169.0</v>
      </c>
      <c r="C109" s="14"/>
      <c r="D109" s="15"/>
      <c r="E109" s="16"/>
      <c r="F109" s="16"/>
      <c r="G109" s="10" t="s">
        <v>522</v>
      </c>
      <c r="H109" s="10" t="s">
        <v>26</v>
      </c>
      <c r="I109" s="12" t="s">
        <v>523</v>
      </c>
      <c r="J109" s="10" t="s">
        <v>524</v>
      </c>
      <c r="K109" s="13" t="s">
        <v>525</v>
      </c>
    </row>
    <row r="110" ht="22.5" customHeight="1">
      <c r="A110" s="7" t="s">
        <v>469</v>
      </c>
      <c r="B110" s="8">
        <v>46170.0</v>
      </c>
      <c r="C110" s="14"/>
      <c r="D110" s="15"/>
      <c r="E110" s="16"/>
      <c r="F110" s="16"/>
      <c r="G110" s="10" t="s">
        <v>526</v>
      </c>
      <c r="H110" s="10" t="s">
        <v>429</v>
      </c>
      <c r="I110" s="12" t="s">
        <v>527</v>
      </c>
      <c r="J110" s="10" t="s">
        <v>528</v>
      </c>
      <c r="K110" s="13" t="s">
        <v>529</v>
      </c>
    </row>
    <row r="111" ht="22.5" customHeight="1">
      <c r="A111" s="7" t="s">
        <v>469</v>
      </c>
      <c r="B111" s="8">
        <v>46170.0</v>
      </c>
      <c r="C111" s="14"/>
      <c r="D111" s="15"/>
      <c r="E111" s="16"/>
      <c r="F111" s="16"/>
      <c r="G111" s="10" t="s">
        <v>530</v>
      </c>
      <c r="H111" s="10" t="s">
        <v>134</v>
      </c>
      <c r="I111" s="12" t="s">
        <v>531</v>
      </c>
      <c r="J111" s="10" t="s">
        <v>532</v>
      </c>
      <c r="K111" s="13" t="s">
        <v>533</v>
      </c>
    </row>
    <row r="112" ht="22.5" customHeight="1">
      <c r="A112" s="7" t="s">
        <v>469</v>
      </c>
      <c r="B112" s="8">
        <v>46171.0</v>
      </c>
      <c r="C112" s="14"/>
      <c r="D112" s="15"/>
      <c r="E112" s="16"/>
      <c r="F112" s="11" t="s">
        <v>534</v>
      </c>
      <c r="G112" s="10" t="s">
        <v>535</v>
      </c>
      <c r="H112" s="10" t="s">
        <v>21</v>
      </c>
      <c r="I112" s="12" t="s">
        <v>536</v>
      </c>
      <c r="J112" s="10" t="s">
        <v>537</v>
      </c>
      <c r="K112" s="13" t="s">
        <v>538</v>
      </c>
    </row>
    <row r="113" ht="22.5" customHeight="1">
      <c r="A113" s="7" t="s">
        <v>469</v>
      </c>
      <c r="B113" s="8">
        <v>46171.0</v>
      </c>
      <c r="C113" s="14"/>
      <c r="D113" s="15"/>
      <c r="E113" s="16"/>
      <c r="F113" s="11" t="s">
        <v>539</v>
      </c>
      <c r="G113" s="10" t="s">
        <v>540</v>
      </c>
      <c r="H113" s="10" t="s">
        <v>35</v>
      </c>
      <c r="I113" s="12" t="s">
        <v>541</v>
      </c>
      <c r="J113" s="10" t="s">
        <v>542</v>
      </c>
      <c r="K113" s="13" t="s">
        <v>543</v>
      </c>
    </row>
    <row r="114" ht="22.5" customHeight="1">
      <c r="A114" s="7" t="s">
        <v>469</v>
      </c>
      <c r="B114" s="8">
        <v>46171.0</v>
      </c>
      <c r="C114" s="14"/>
      <c r="D114" s="15"/>
      <c r="E114" s="16"/>
      <c r="F114" s="11" t="s">
        <v>544</v>
      </c>
      <c r="G114" s="10" t="s">
        <v>545</v>
      </c>
      <c r="H114" s="10" t="s">
        <v>92</v>
      </c>
      <c r="I114" s="12" t="s">
        <v>546</v>
      </c>
      <c r="J114" s="10" t="s">
        <v>547</v>
      </c>
      <c r="K114" s="13" t="s">
        <v>548</v>
      </c>
    </row>
    <row r="115" ht="22.5" customHeight="1">
      <c r="A115" s="7" t="s">
        <v>549</v>
      </c>
      <c r="B115" s="8">
        <v>46174.0</v>
      </c>
      <c r="C115" s="14"/>
      <c r="D115" s="15"/>
      <c r="E115" s="16"/>
      <c r="F115" s="16"/>
      <c r="G115" s="10" t="s">
        <v>550</v>
      </c>
      <c r="H115" s="10" t="s">
        <v>551</v>
      </c>
      <c r="I115" s="12" t="s">
        <v>552</v>
      </c>
      <c r="J115" s="10" t="s">
        <v>553</v>
      </c>
      <c r="K115" s="13" t="s">
        <v>554</v>
      </c>
    </row>
    <row r="116" ht="22.5" customHeight="1">
      <c r="A116" s="7" t="s">
        <v>549</v>
      </c>
      <c r="B116" s="8">
        <v>46174.0</v>
      </c>
      <c r="C116" s="14"/>
      <c r="D116" s="15"/>
      <c r="E116" s="16"/>
      <c r="F116" s="16"/>
      <c r="G116" s="10" t="s">
        <v>555</v>
      </c>
      <c r="H116" s="10" t="s">
        <v>556</v>
      </c>
      <c r="I116" s="12" t="s">
        <v>557</v>
      </c>
      <c r="J116" s="10" t="s">
        <v>558</v>
      </c>
      <c r="K116" s="13" t="s">
        <v>559</v>
      </c>
    </row>
    <row r="117" ht="22.5" customHeight="1">
      <c r="A117" s="7" t="s">
        <v>549</v>
      </c>
      <c r="B117" s="8">
        <v>46174.0</v>
      </c>
      <c r="C117" s="14"/>
      <c r="D117" s="15"/>
      <c r="E117" s="16"/>
      <c r="F117" s="16"/>
      <c r="G117" s="10" t="s">
        <v>560</v>
      </c>
      <c r="H117" s="10" t="s">
        <v>556</v>
      </c>
      <c r="I117" s="12" t="s">
        <v>561</v>
      </c>
      <c r="J117" s="10" t="s">
        <v>562</v>
      </c>
      <c r="K117" s="13" t="s">
        <v>563</v>
      </c>
    </row>
    <row r="118" ht="22.5" customHeight="1">
      <c r="A118" s="7" t="s">
        <v>549</v>
      </c>
      <c r="B118" s="8">
        <v>46174.0</v>
      </c>
      <c r="C118" s="14"/>
      <c r="D118" s="15"/>
      <c r="E118" s="16"/>
      <c r="F118" s="16"/>
      <c r="G118" s="10" t="s">
        <v>564</v>
      </c>
      <c r="H118" s="10" t="s">
        <v>368</v>
      </c>
      <c r="I118" s="12" t="s">
        <v>565</v>
      </c>
      <c r="J118" s="10" t="s">
        <v>566</v>
      </c>
      <c r="K118" s="13" t="s">
        <v>567</v>
      </c>
    </row>
    <row r="119" ht="22.5" customHeight="1">
      <c r="A119" s="7" t="s">
        <v>549</v>
      </c>
      <c r="B119" s="8">
        <v>46175.0</v>
      </c>
      <c r="C119" s="14"/>
      <c r="D119" s="15"/>
      <c r="E119" s="16"/>
      <c r="F119" s="16"/>
      <c r="G119" s="10" t="s">
        <v>568</v>
      </c>
      <c r="H119" s="10" t="s">
        <v>551</v>
      </c>
      <c r="I119" s="12" t="s">
        <v>569</v>
      </c>
      <c r="J119" s="10" t="s">
        <v>570</v>
      </c>
      <c r="K119" s="13" t="s">
        <v>571</v>
      </c>
    </row>
    <row r="120" ht="22.5" customHeight="1">
      <c r="A120" s="7" t="s">
        <v>549</v>
      </c>
      <c r="B120" s="8">
        <v>46175.0</v>
      </c>
      <c r="C120" s="14"/>
      <c r="D120" s="15"/>
      <c r="E120" s="16"/>
      <c r="F120" s="16"/>
      <c r="G120" s="10" t="s">
        <v>572</v>
      </c>
      <c r="H120" s="10" t="s">
        <v>368</v>
      </c>
      <c r="I120" s="12" t="s">
        <v>573</v>
      </c>
      <c r="J120" s="10" t="s">
        <v>574</v>
      </c>
      <c r="K120" s="13" t="s">
        <v>575</v>
      </c>
    </row>
    <row r="121" ht="22.5" customHeight="1">
      <c r="A121" s="7" t="s">
        <v>549</v>
      </c>
      <c r="B121" s="8">
        <v>46176.0</v>
      </c>
      <c r="C121" s="14"/>
      <c r="D121" s="15"/>
      <c r="E121" s="16"/>
      <c r="F121" s="16"/>
      <c r="G121" s="10" t="s">
        <v>576</v>
      </c>
      <c r="H121" s="10" t="s">
        <v>377</v>
      </c>
      <c r="I121" s="12" t="s">
        <v>577</v>
      </c>
      <c r="J121" s="10" t="s">
        <v>578</v>
      </c>
      <c r="K121" s="13" t="s">
        <v>579</v>
      </c>
    </row>
    <row r="122" ht="22.5" customHeight="1">
      <c r="A122" s="7" t="s">
        <v>549</v>
      </c>
      <c r="B122" s="8">
        <v>46176.0</v>
      </c>
      <c r="C122" s="14"/>
      <c r="D122" s="15"/>
      <c r="E122" s="16"/>
      <c r="F122" s="16"/>
      <c r="G122" s="10" t="s">
        <v>580</v>
      </c>
      <c r="H122" s="10" t="s">
        <v>581</v>
      </c>
      <c r="I122" s="12" t="s">
        <v>582</v>
      </c>
      <c r="J122" s="10" t="s">
        <v>583</v>
      </c>
      <c r="K122" s="13" t="s">
        <v>584</v>
      </c>
    </row>
    <row r="123" ht="22.5" customHeight="1">
      <c r="A123" s="7" t="s">
        <v>549</v>
      </c>
      <c r="B123" s="8">
        <v>46176.0</v>
      </c>
      <c r="C123" s="14"/>
      <c r="D123" s="15"/>
      <c r="E123" s="16"/>
      <c r="F123" s="16"/>
      <c r="G123" s="10" t="s">
        <v>585</v>
      </c>
      <c r="H123" s="10" t="s">
        <v>586</v>
      </c>
      <c r="I123" s="12" t="s">
        <v>587</v>
      </c>
      <c r="J123" s="10" t="s">
        <v>588</v>
      </c>
      <c r="K123" s="13" t="s">
        <v>589</v>
      </c>
    </row>
    <row r="124" ht="22.5" customHeight="1">
      <c r="A124" s="7" t="s">
        <v>549</v>
      </c>
      <c r="B124" s="8">
        <v>46176.0</v>
      </c>
      <c r="C124" s="14"/>
      <c r="D124" s="15"/>
      <c r="E124" s="16"/>
      <c r="F124" s="16"/>
      <c r="G124" s="10" t="s">
        <v>590</v>
      </c>
      <c r="H124" s="10" t="s">
        <v>591</v>
      </c>
      <c r="I124" s="12" t="s">
        <v>592</v>
      </c>
      <c r="J124" s="10" t="s">
        <v>593</v>
      </c>
      <c r="K124" s="13" t="s">
        <v>594</v>
      </c>
    </row>
    <row r="125" ht="22.5" customHeight="1">
      <c r="A125" s="7" t="s">
        <v>549</v>
      </c>
      <c r="B125" s="8">
        <v>46177.0</v>
      </c>
      <c r="C125" s="14"/>
      <c r="D125" s="15"/>
      <c r="E125" s="16"/>
      <c r="F125" s="11" t="s">
        <v>595</v>
      </c>
      <c r="G125" s="10" t="s">
        <v>596</v>
      </c>
      <c r="H125" s="10" t="s">
        <v>275</v>
      </c>
      <c r="I125" s="12" t="s">
        <v>597</v>
      </c>
      <c r="J125" s="10" t="s">
        <v>598</v>
      </c>
      <c r="K125" s="13" t="s">
        <v>599</v>
      </c>
    </row>
    <row r="126" ht="22.5" customHeight="1">
      <c r="A126" s="7" t="s">
        <v>549</v>
      </c>
      <c r="B126" s="8">
        <v>46177.0</v>
      </c>
      <c r="C126" s="14"/>
      <c r="D126" s="15"/>
      <c r="E126" s="16"/>
      <c r="F126" s="11" t="s">
        <v>600</v>
      </c>
      <c r="G126" s="10" t="s">
        <v>596</v>
      </c>
      <c r="H126" s="10" t="s">
        <v>45</v>
      </c>
      <c r="I126" s="12" t="s">
        <v>601</v>
      </c>
      <c r="J126" s="10" t="s">
        <v>602</v>
      </c>
      <c r="K126" s="13" t="s">
        <v>603</v>
      </c>
    </row>
    <row r="127" ht="22.5" customHeight="1">
      <c r="A127" s="7" t="s">
        <v>549</v>
      </c>
      <c r="B127" s="8">
        <v>46178.0</v>
      </c>
      <c r="C127" s="9" t="s">
        <v>89</v>
      </c>
      <c r="D127" s="10" t="s">
        <v>604</v>
      </c>
      <c r="E127" s="16"/>
      <c r="F127" s="11" t="s">
        <v>605</v>
      </c>
      <c r="G127" s="10" t="s">
        <v>606</v>
      </c>
      <c r="H127" s="10" t="s">
        <v>607</v>
      </c>
      <c r="I127" s="12" t="s">
        <v>608</v>
      </c>
      <c r="J127" s="10" t="s">
        <v>609</v>
      </c>
      <c r="K127" s="13" t="s">
        <v>610</v>
      </c>
    </row>
    <row r="128" ht="22.5" customHeight="1">
      <c r="A128" s="7" t="s">
        <v>549</v>
      </c>
      <c r="B128" s="8">
        <v>46178.0</v>
      </c>
      <c r="C128" s="9" t="s">
        <v>89</v>
      </c>
      <c r="D128" s="10" t="s">
        <v>482</v>
      </c>
      <c r="E128" s="11" t="s">
        <v>51</v>
      </c>
      <c r="F128" s="11" t="s">
        <v>611</v>
      </c>
      <c r="G128" s="10" t="s">
        <v>612</v>
      </c>
      <c r="H128" s="10" t="s">
        <v>245</v>
      </c>
      <c r="I128" s="12" t="s">
        <v>613</v>
      </c>
      <c r="J128" s="10" t="s">
        <v>614</v>
      </c>
      <c r="K128" s="13" t="s">
        <v>615</v>
      </c>
    </row>
    <row r="129" ht="22.5" customHeight="1">
      <c r="A129" s="7" t="s">
        <v>549</v>
      </c>
      <c r="B129" s="8">
        <v>46178.0</v>
      </c>
      <c r="C129" s="9" t="s">
        <v>89</v>
      </c>
      <c r="D129" s="10" t="s">
        <v>482</v>
      </c>
      <c r="E129" s="11" t="s">
        <v>51</v>
      </c>
      <c r="F129" s="11" t="s">
        <v>616</v>
      </c>
      <c r="G129" s="10" t="s">
        <v>617</v>
      </c>
      <c r="H129" s="10" t="s">
        <v>80</v>
      </c>
      <c r="I129" s="12" t="s">
        <v>618</v>
      </c>
      <c r="J129" s="10" t="s">
        <v>619</v>
      </c>
      <c r="K129" s="13" t="s">
        <v>620</v>
      </c>
    </row>
    <row r="130" ht="22.5" customHeight="1">
      <c r="A130" s="7" t="s">
        <v>549</v>
      </c>
      <c r="B130" s="8">
        <v>46178.0</v>
      </c>
      <c r="C130" s="9" t="s">
        <v>89</v>
      </c>
      <c r="D130" s="10" t="s">
        <v>621</v>
      </c>
      <c r="E130" s="11" t="s">
        <v>51</v>
      </c>
      <c r="F130" s="11" t="s">
        <v>622</v>
      </c>
      <c r="G130" s="10" t="s">
        <v>623</v>
      </c>
      <c r="H130" s="10" t="s">
        <v>68</v>
      </c>
      <c r="I130" s="12" t="s">
        <v>624</v>
      </c>
      <c r="J130" s="10" t="s">
        <v>625</v>
      </c>
      <c r="K130" s="13" t="s">
        <v>626</v>
      </c>
    </row>
    <row r="131" ht="22.5" customHeight="1">
      <c r="A131" s="7" t="s">
        <v>549</v>
      </c>
      <c r="B131" s="8">
        <v>46178.0</v>
      </c>
      <c r="C131" s="14"/>
      <c r="D131" s="15"/>
      <c r="E131" s="16"/>
      <c r="F131" s="16"/>
      <c r="G131" s="10" t="s">
        <v>627</v>
      </c>
      <c r="H131" s="10" t="s">
        <v>251</v>
      </c>
      <c r="I131" s="12" t="s">
        <v>628</v>
      </c>
      <c r="J131" s="10" t="s">
        <v>629</v>
      </c>
      <c r="K131" s="13" t="s">
        <v>630</v>
      </c>
    </row>
    <row r="132" ht="22.5" customHeight="1">
      <c r="A132" s="7" t="s">
        <v>631</v>
      </c>
      <c r="B132" s="8">
        <v>46181.0</v>
      </c>
      <c r="C132" s="14"/>
      <c r="D132" s="15"/>
      <c r="E132" s="16"/>
      <c r="F132" s="16"/>
      <c r="G132" s="10" t="s">
        <v>632</v>
      </c>
      <c r="H132" s="10" t="s">
        <v>429</v>
      </c>
      <c r="I132" s="12" t="s">
        <v>633</v>
      </c>
      <c r="J132" s="10" t="s">
        <v>634</v>
      </c>
      <c r="K132" s="13" t="s">
        <v>635</v>
      </c>
    </row>
    <row r="133" ht="22.5" customHeight="1">
      <c r="A133" s="7" t="s">
        <v>631</v>
      </c>
      <c r="B133" s="8">
        <v>46181.0</v>
      </c>
      <c r="C133" s="14"/>
      <c r="D133" s="15"/>
      <c r="E133" s="16"/>
      <c r="F133" s="16"/>
      <c r="G133" s="10" t="s">
        <v>636</v>
      </c>
      <c r="H133" s="10" t="s">
        <v>265</v>
      </c>
      <c r="I133" s="12" t="s">
        <v>637</v>
      </c>
      <c r="J133" s="10" t="s">
        <v>638</v>
      </c>
      <c r="K133" s="13" t="s">
        <v>639</v>
      </c>
    </row>
    <row r="134" ht="22.5" customHeight="1">
      <c r="A134" s="7" t="s">
        <v>631</v>
      </c>
      <c r="B134" s="8">
        <v>46181.0</v>
      </c>
      <c r="C134" s="14"/>
      <c r="D134" s="15"/>
      <c r="E134" s="16"/>
      <c r="F134" s="16"/>
      <c r="G134" s="10" t="s">
        <v>640</v>
      </c>
      <c r="H134" s="10" t="s">
        <v>139</v>
      </c>
      <c r="I134" s="12" t="s">
        <v>641</v>
      </c>
      <c r="J134" s="10" t="s">
        <v>642</v>
      </c>
      <c r="K134" s="13" t="s">
        <v>643</v>
      </c>
    </row>
    <row r="135" ht="22.5" customHeight="1">
      <c r="A135" s="7" t="s">
        <v>631</v>
      </c>
      <c r="B135" s="8">
        <v>46181.0</v>
      </c>
      <c r="C135" s="14"/>
      <c r="D135" s="15"/>
      <c r="E135" s="16"/>
      <c r="F135" s="16"/>
      <c r="G135" s="10" t="s">
        <v>640</v>
      </c>
      <c r="H135" s="10" t="s">
        <v>92</v>
      </c>
      <c r="I135" s="12" t="s">
        <v>644</v>
      </c>
      <c r="J135" s="10" t="s">
        <v>645</v>
      </c>
      <c r="K135" s="13" t="s">
        <v>646</v>
      </c>
    </row>
    <row r="136" ht="22.5" customHeight="1">
      <c r="A136" s="7" t="s">
        <v>631</v>
      </c>
      <c r="B136" s="8">
        <v>46181.0</v>
      </c>
      <c r="C136" s="14"/>
      <c r="D136" s="15"/>
      <c r="E136" s="16"/>
      <c r="F136" s="11" t="s">
        <v>647</v>
      </c>
      <c r="G136" s="10" t="s">
        <v>648</v>
      </c>
      <c r="H136" s="10" t="s">
        <v>429</v>
      </c>
      <c r="I136" s="12" t="s">
        <v>649</v>
      </c>
      <c r="J136" s="10" t="s">
        <v>650</v>
      </c>
      <c r="K136" s="13" t="s">
        <v>651</v>
      </c>
    </row>
    <row r="137" ht="22.5" customHeight="1">
      <c r="A137" s="7" t="s">
        <v>631</v>
      </c>
      <c r="B137" s="8">
        <v>46182.0</v>
      </c>
      <c r="C137" s="14"/>
      <c r="D137" s="15"/>
      <c r="E137" s="16"/>
      <c r="F137" s="11" t="s">
        <v>652</v>
      </c>
      <c r="G137" s="10" t="s">
        <v>653</v>
      </c>
      <c r="H137" s="10" t="s">
        <v>518</v>
      </c>
      <c r="I137" s="12" t="s">
        <v>654</v>
      </c>
      <c r="J137" s="10" t="s">
        <v>655</v>
      </c>
      <c r="K137" s="13" t="s">
        <v>656</v>
      </c>
    </row>
    <row r="138" ht="22.5" customHeight="1">
      <c r="A138" s="7" t="s">
        <v>631</v>
      </c>
      <c r="B138" s="8">
        <v>46182.0</v>
      </c>
      <c r="C138" s="14"/>
      <c r="D138" s="15"/>
      <c r="E138" s="11" t="s">
        <v>51</v>
      </c>
      <c r="F138" s="11" t="s">
        <v>657</v>
      </c>
      <c r="G138" s="10" t="s">
        <v>658</v>
      </c>
      <c r="H138" s="10" t="s">
        <v>429</v>
      </c>
      <c r="I138" s="12" t="s">
        <v>659</v>
      </c>
      <c r="J138" s="10" t="s">
        <v>660</v>
      </c>
      <c r="K138" s="13" t="s">
        <v>661</v>
      </c>
    </row>
    <row r="139" ht="22.5" customHeight="1">
      <c r="A139" s="7" t="s">
        <v>631</v>
      </c>
      <c r="B139" s="8">
        <v>46183.0</v>
      </c>
      <c r="C139" s="14"/>
      <c r="D139" s="15"/>
      <c r="E139" s="16"/>
      <c r="F139" s="16"/>
      <c r="G139" s="10" t="s">
        <v>662</v>
      </c>
      <c r="H139" s="10" t="s">
        <v>120</v>
      </c>
      <c r="I139" s="12" t="s">
        <v>663</v>
      </c>
      <c r="J139" s="10" t="s">
        <v>664</v>
      </c>
      <c r="K139" s="13" t="s">
        <v>665</v>
      </c>
    </row>
    <row r="140" ht="22.5" customHeight="1">
      <c r="A140" s="7" t="s">
        <v>631</v>
      </c>
      <c r="B140" s="8">
        <v>46183.0</v>
      </c>
      <c r="C140" s="14"/>
      <c r="D140" s="15"/>
      <c r="E140" s="16"/>
      <c r="F140" s="16"/>
      <c r="G140" s="10" t="s">
        <v>666</v>
      </c>
      <c r="H140" s="10" t="s">
        <v>103</v>
      </c>
      <c r="I140" s="12" t="s">
        <v>667</v>
      </c>
      <c r="J140" s="10" t="s">
        <v>668</v>
      </c>
      <c r="K140" s="13" t="s">
        <v>669</v>
      </c>
    </row>
    <row r="141" ht="22.5" customHeight="1">
      <c r="A141" s="7" t="s">
        <v>631</v>
      </c>
      <c r="B141" s="8">
        <v>46183.0</v>
      </c>
      <c r="C141" s="14"/>
      <c r="D141" s="15"/>
      <c r="E141" s="16"/>
      <c r="F141" s="16"/>
      <c r="G141" s="10" t="s">
        <v>670</v>
      </c>
      <c r="H141" s="10" t="s">
        <v>280</v>
      </c>
      <c r="I141" s="12" t="s">
        <v>671</v>
      </c>
      <c r="J141" s="10" t="s">
        <v>672</v>
      </c>
      <c r="K141" s="13" t="s">
        <v>673</v>
      </c>
    </row>
    <row r="142" ht="22.5" customHeight="1">
      <c r="A142" s="7" t="s">
        <v>631</v>
      </c>
      <c r="B142" s="8">
        <v>46183.0</v>
      </c>
      <c r="C142" s="14"/>
      <c r="D142" s="15"/>
      <c r="E142" s="16"/>
      <c r="F142" s="16"/>
      <c r="G142" s="10" t="s">
        <v>674</v>
      </c>
      <c r="H142" s="10" t="s">
        <v>129</v>
      </c>
      <c r="I142" s="12" t="s">
        <v>675</v>
      </c>
      <c r="J142" s="10" t="s">
        <v>676</v>
      </c>
      <c r="K142" s="13" t="s">
        <v>677</v>
      </c>
    </row>
    <row r="143" ht="22.5" customHeight="1">
      <c r="A143" s="7" t="s">
        <v>631</v>
      </c>
      <c r="B143" s="8">
        <v>46183.0</v>
      </c>
      <c r="C143" s="14"/>
      <c r="D143" s="15"/>
      <c r="E143" s="16"/>
      <c r="F143" s="16"/>
      <c r="G143" s="10" t="s">
        <v>678</v>
      </c>
      <c r="H143" s="10" t="s">
        <v>518</v>
      </c>
      <c r="I143" s="12" t="s">
        <v>679</v>
      </c>
      <c r="J143" s="10" t="s">
        <v>680</v>
      </c>
      <c r="K143" s="13" t="s">
        <v>681</v>
      </c>
    </row>
    <row r="144" ht="22.5" customHeight="1">
      <c r="A144" s="17"/>
      <c r="B144" s="18"/>
      <c r="C144" s="14"/>
      <c r="D144" s="15"/>
      <c r="E144" s="16"/>
      <c r="F144" s="16"/>
      <c r="G144" s="18"/>
      <c r="H144" s="18"/>
      <c r="I144" s="18"/>
      <c r="J144" s="18"/>
      <c r="K144" s="19"/>
    </row>
    <row r="145" ht="22.5" customHeight="1">
      <c r="A145" s="17"/>
      <c r="B145" s="18"/>
      <c r="C145" s="14"/>
      <c r="D145" s="15"/>
      <c r="E145" s="16"/>
      <c r="F145" s="16"/>
      <c r="G145" s="18"/>
      <c r="H145" s="18"/>
      <c r="I145" s="18"/>
      <c r="J145" s="18"/>
      <c r="K145" s="19"/>
    </row>
    <row r="146" ht="22.5" customHeight="1">
      <c r="A146" s="17"/>
      <c r="B146" s="18"/>
      <c r="C146" s="14"/>
      <c r="D146" s="15"/>
      <c r="E146" s="16"/>
      <c r="F146" s="16"/>
      <c r="G146" s="18"/>
      <c r="H146" s="18"/>
      <c r="I146" s="18"/>
      <c r="J146" s="18"/>
      <c r="K146" s="19"/>
    </row>
    <row r="147" ht="22.5" customHeight="1">
      <c r="A147" s="17"/>
      <c r="B147" s="18"/>
      <c r="C147" s="14"/>
      <c r="D147" s="15"/>
      <c r="E147" s="16"/>
      <c r="F147" s="16"/>
      <c r="G147" s="18"/>
      <c r="H147" s="18"/>
      <c r="I147" s="18"/>
      <c r="J147" s="18"/>
      <c r="K147" s="19"/>
    </row>
    <row r="148" ht="22.5" customHeight="1">
      <c r="A148" s="17"/>
      <c r="B148" s="18"/>
      <c r="C148" s="14"/>
      <c r="D148" s="15"/>
      <c r="E148" s="16"/>
      <c r="F148" s="16"/>
      <c r="G148" s="18"/>
      <c r="H148" s="18"/>
      <c r="I148" s="18"/>
      <c r="J148" s="18"/>
      <c r="K148" s="19"/>
    </row>
    <row r="149" ht="22.5" customHeight="1">
      <c r="A149" s="17"/>
      <c r="B149" s="18"/>
      <c r="C149" s="14"/>
      <c r="D149" s="15"/>
      <c r="E149" s="16"/>
      <c r="F149" s="16"/>
      <c r="G149" s="18"/>
      <c r="H149" s="18"/>
      <c r="I149" s="18"/>
      <c r="J149" s="18"/>
      <c r="K149" s="19"/>
    </row>
    <row r="150" ht="22.5" customHeight="1">
      <c r="A150" s="17"/>
      <c r="B150" s="18"/>
      <c r="C150" s="14"/>
      <c r="D150" s="15"/>
      <c r="E150" s="16"/>
      <c r="F150" s="16"/>
      <c r="G150" s="18"/>
      <c r="H150" s="18"/>
      <c r="I150" s="18"/>
      <c r="J150" s="18"/>
      <c r="K150" s="19"/>
    </row>
    <row r="151" ht="22.5" customHeight="1">
      <c r="A151" s="17"/>
      <c r="B151" s="18"/>
      <c r="C151" s="14"/>
      <c r="D151" s="15"/>
      <c r="E151" s="16"/>
      <c r="F151" s="16"/>
      <c r="G151" s="18"/>
      <c r="H151" s="18"/>
      <c r="I151" s="18"/>
      <c r="J151" s="18"/>
      <c r="K151" s="19"/>
    </row>
    <row r="152" ht="22.5" customHeight="1">
      <c r="A152" s="17"/>
      <c r="B152" s="18"/>
      <c r="C152" s="14"/>
      <c r="D152" s="15"/>
      <c r="E152" s="16"/>
      <c r="F152" s="16"/>
      <c r="G152" s="18"/>
      <c r="H152" s="18"/>
      <c r="I152" s="18"/>
      <c r="J152" s="18"/>
      <c r="K152" s="19"/>
    </row>
    <row r="153" ht="22.5" customHeight="1">
      <c r="A153" s="17"/>
      <c r="B153" s="18"/>
      <c r="C153" s="14"/>
      <c r="D153" s="15"/>
      <c r="E153" s="16"/>
      <c r="F153" s="16"/>
      <c r="G153" s="18"/>
      <c r="H153" s="18"/>
      <c r="I153" s="18"/>
      <c r="J153" s="18"/>
      <c r="K153" s="19"/>
    </row>
    <row r="154" ht="22.5" customHeight="1">
      <c r="A154" s="17"/>
      <c r="B154" s="18"/>
      <c r="C154" s="14"/>
      <c r="D154" s="15"/>
      <c r="E154" s="16"/>
      <c r="F154" s="16"/>
      <c r="G154" s="18"/>
      <c r="H154" s="18"/>
      <c r="I154" s="18"/>
      <c r="J154" s="18"/>
      <c r="K154" s="19"/>
    </row>
    <row r="155" ht="22.5" customHeight="1">
      <c r="A155" s="17"/>
      <c r="B155" s="18"/>
      <c r="C155" s="14"/>
      <c r="D155" s="15"/>
      <c r="E155" s="16"/>
      <c r="F155" s="16"/>
      <c r="G155" s="18"/>
      <c r="H155" s="18"/>
      <c r="I155" s="18"/>
      <c r="J155" s="18"/>
      <c r="K155" s="19"/>
    </row>
    <row r="156" ht="22.5" customHeight="1">
      <c r="A156" s="17"/>
      <c r="B156" s="18"/>
      <c r="C156" s="14"/>
      <c r="D156" s="15"/>
      <c r="E156" s="16"/>
      <c r="F156" s="16"/>
      <c r="G156" s="18"/>
      <c r="H156" s="18"/>
      <c r="I156" s="18"/>
      <c r="J156" s="18"/>
      <c r="K156" s="19"/>
    </row>
    <row r="157" ht="22.5" customHeight="1">
      <c r="A157" s="17"/>
      <c r="B157" s="18"/>
      <c r="C157" s="14"/>
      <c r="D157" s="15"/>
      <c r="E157" s="16"/>
      <c r="F157" s="16"/>
      <c r="G157" s="18"/>
      <c r="H157" s="18"/>
      <c r="I157" s="18"/>
      <c r="J157" s="18"/>
      <c r="K157" s="19"/>
    </row>
    <row r="158" ht="22.5" customHeight="1">
      <c r="A158" s="17"/>
      <c r="B158" s="18"/>
      <c r="C158" s="14"/>
      <c r="D158" s="15"/>
      <c r="E158" s="16"/>
      <c r="F158" s="16"/>
      <c r="G158" s="18"/>
      <c r="H158" s="18"/>
      <c r="I158" s="18"/>
      <c r="J158" s="18"/>
      <c r="K158" s="19"/>
    </row>
    <row r="159" ht="22.5" customHeight="1">
      <c r="A159" s="17"/>
      <c r="B159" s="18"/>
      <c r="C159" s="14"/>
      <c r="D159" s="15"/>
      <c r="E159" s="16"/>
      <c r="F159" s="16"/>
      <c r="G159" s="18"/>
      <c r="H159" s="18"/>
      <c r="I159" s="18"/>
      <c r="J159" s="18"/>
      <c r="K159" s="19"/>
    </row>
    <row r="160" ht="22.5" customHeight="1">
      <c r="A160" s="17"/>
      <c r="B160" s="18"/>
      <c r="C160" s="14"/>
      <c r="D160" s="15"/>
      <c r="E160" s="16"/>
      <c r="F160" s="16"/>
      <c r="G160" s="18"/>
      <c r="H160" s="18"/>
      <c r="I160" s="18"/>
      <c r="J160" s="18"/>
      <c r="K160" s="19"/>
    </row>
    <row r="161" ht="22.5" customHeight="1">
      <c r="A161" s="17"/>
      <c r="B161" s="18"/>
      <c r="C161" s="14"/>
      <c r="D161" s="15"/>
      <c r="E161" s="16"/>
      <c r="F161" s="16"/>
      <c r="G161" s="18"/>
      <c r="H161" s="18"/>
      <c r="I161" s="18"/>
      <c r="J161" s="18"/>
      <c r="K161" s="19"/>
    </row>
    <row r="162" ht="22.5" customHeight="1">
      <c r="A162" s="17"/>
      <c r="B162" s="18"/>
      <c r="C162" s="14"/>
      <c r="D162" s="15"/>
      <c r="E162" s="16"/>
      <c r="F162" s="16"/>
      <c r="G162" s="18"/>
      <c r="H162" s="18"/>
      <c r="I162" s="18"/>
      <c r="J162" s="18"/>
      <c r="K162" s="19"/>
    </row>
    <row r="163" ht="22.5" customHeight="1">
      <c r="A163" s="17"/>
      <c r="B163" s="18"/>
      <c r="C163" s="14"/>
      <c r="D163" s="15"/>
      <c r="E163" s="16"/>
      <c r="F163" s="16"/>
      <c r="G163" s="18"/>
      <c r="H163" s="18"/>
      <c r="I163" s="18"/>
      <c r="J163" s="18"/>
      <c r="K163" s="19"/>
    </row>
    <row r="164" ht="22.5" customHeight="1">
      <c r="A164" s="17"/>
      <c r="B164" s="18"/>
      <c r="C164" s="14"/>
      <c r="D164" s="15"/>
      <c r="E164" s="16"/>
      <c r="F164" s="16"/>
      <c r="G164" s="18"/>
      <c r="H164" s="18"/>
      <c r="I164" s="18"/>
      <c r="J164" s="18"/>
      <c r="K164" s="19"/>
    </row>
    <row r="165" ht="22.5" customHeight="1">
      <c r="A165" s="17"/>
      <c r="B165" s="18"/>
      <c r="C165" s="14"/>
      <c r="D165" s="15"/>
      <c r="E165" s="16"/>
      <c r="F165" s="16"/>
      <c r="G165" s="18"/>
      <c r="H165" s="18"/>
      <c r="I165" s="18"/>
      <c r="J165" s="18"/>
      <c r="K165" s="19"/>
    </row>
    <row r="166" ht="22.5" customHeight="1">
      <c r="A166" s="17"/>
      <c r="B166" s="18"/>
      <c r="C166" s="14"/>
      <c r="D166" s="15"/>
      <c r="E166" s="16"/>
      <c r="F166" s="16"/>
      <c r="G166" s="18"/>
      <c r="H166" s="18"/>
      <c r="I166" s="18"/>
      <c r="J166" s="18"/>
      <c r="K166" s="19"/>
    </row>
    <row r="167" ht="22.5" customHeight="1">
      <c r="A167" s="17"/>
      <c r="B167" s="18"/>
      <c r="C167" s="14"/>
      <c r="D167" s="15"/>
      <c r="E167" s="16"/>
      <c r="F167" s="16"/>
      <c r="G167" s="18"/>
      <c r="H167" s="18"/>
      <c r="I167" s="18"/>
      <c r="J167" s="18"/>
      <c r="K167" s="19"/>
    </row>
    <row r="168" ht="22.5" customHeight="1">
      <c r="A168" s="17"/>
      <c r="B168" s="18"/>
      <c r="C168" s="14"/>
      <c r="D168" s="15"/>
      <c r="E168" s="16"/>
      <c r="F168" s="16"/>
      <c r="G168" s="18"/>
      <c r="H168" s="18"/>
      <c r="I168" s="18"/>
      <c r="J168" s="18"/>
      <c r="K168" s="19"/>
    </row>
    <row r="169" ht="22.5" customHeight="1">
      <c r="A169" s="17"/>
      <c r="B169" s="18"/>
      <c r="C169" s="14"/>
      <c r="D169" s="15"/>
      <c r="E169" s="16"/>
      <c r="F169" s="16"/>
      <c r="G169" s="18"/>
      <c r="H169" s="18"/>
      <c r="I169" s="18"/>
      <c r="J169" s="18"/>
      <c r="K169" s="19"/>
    </row>
    <row r="170" ht="22.5" customHeight="1">
      <c r="A170" s="17"/>
      <c r="B170" s="18"/>
      <c r="C170" s="14"/>
      <c r="D170" s="15"/>
      <c r="E170" s="16"/>
      <c r="F170" s="16"/>
      <c r="G170" s="18"/>
      <c r="H170" s="18"/>
      <c r="I170" s="18"/>
      <c r="J170" s="18"/>
      <c r="K170" s="19"/>
    </row>
    <row r="171" ht="22.5" customHeight="1">
      <c r="A171" s="17"/>
      <c r="B171" s="18"/>
      <c r="C171" s="14"/>
      <c r="D171" s="15"/>
      <c r="E171" s="16"/>
      <c r="F171" s="16"/>
      <c r="G171" s="18"/>
      <c r="H171" s="18"/>
      <c r="I171" s="18"/>
      <c r="J171" s="18"/>
      <c r="K171" s="19"/>
    </row>
    <row r="172" ht="22.5" customHeight="1">
      <c r="A172" s="17"/>
      <c r="B172" s="18"/>
      <c r="C172" s="14"/>
      <c r="D172" s="15"/>
      <c r="E172" s="16"/>
      <c r="F172" s="16"/>
      <c r="G172" s="18"/>
      <c r="H172" s="18"/>
      <c r="I172" s="18"/>
      <c r="J172" s="18"/>
      <c r="K172" s="19"/>
    </row>
    <row r="173" ht="22.5" customHeight="1">
      <c r="A173" s="17"/>
      <c r="B173" s="18"/>
      <c r="C173" s="14"/>
      <c r="D173" s="15"/>
      <c r="E173" s="16"/>
      <c r="F173" s="16"/>
      <c r="G173" s="18"/>
      <c r="H173" s="18"/>
      <c r="I173" s="18"/>
      <c r="J173" s="18"/>
      <c r="K173" s="19"/>
    </row>
    <row r="174" ht="22.5" customHeight="1">
      <c r="A174" s="17"/>
      <c r="B174" s="18"/>
      <c r="C174" s="14"/>
      <c r="D174" s="15"/>
      <c r="E174" s="16"/>
      <c r="F174" s="16"/>
      <c r="G174" s="18"/>
      <c r="H174" s="18"/>
      <c r="I174" s="18"/>
      <c r="J174" s="18"/>
      <c r="K174" s="19"/>
    </row>
    <row r="175" ht="22.5" customHeight="1">
      <c r="A175" s="17"/>
      <c r="B175" s="18"/>
      <c r="C175" s="14"/>
      <c r="D175" s="15"/>
      <c r="E175" s="16"/>
      <c r="F175" s="16"/>
      <c r="G175" s="18"/>
      <c r="H175" s="18"/>
      <c r="I175" s="18"/>
      <c r="J175" s="18"/>
      <c r="K175" s="19"/>
    </row>
    <row r="176" ht="22.5" customHeight="1">
      <c r="A176" s="17"/>
      <c r="B176" s="18"/>
      <c r="C176" s="14"/>
      <c r="D176" s="15"/>
      <c r="E176" s="16"/>
      <c r="F176" s="16"/>
      <c r="G176" s="18"/>
      <c r="H176" s="18"/>
      <c r="I176" s="18"/>
      <c r="J176" s="18"/>
      <c r="K176" s="19"/>
    </row>
    <row r="177" ht="22.5" customHeight="1">
      <c r="A177" s="17"/>
      <c r="B177" s="18"/>
      <c r="C177" s="14"/>
      <c r="D177" s="15"/>
      <c r="E177" s="16"/>
      <c r="F177" s="16"/>
      <c r="G177" s="18"/>
      <c r="H177" s="18"/>
      <c r="I177" s="18"/>
      <c r="J177" s="18"/>
      <c r="K177" s="19"/>
    </row>
    <row r="178" ht="22.5" customHeight="1">
      <c r="A178" s="17"/>
      <c r="B178" s="18"/>
      <c r="C178" s="14"/>
      <c r="D178" s="15"/>
      <c r="E178" s="16"/>
      <c r="F178" s="16"/>
      <c r="G178" s="18"/>
      <c r="H178" s="18"/>
      <c r="I178" s="18"/>
      <c r="J178" s="18"/>
      <c r="K178" s="19"/>
    </row>
    <row r="179" ht="22.5" customHeight="1">
      <c r="A179" s="17"/>
      <c r="B179" s="18"/>
      <c r="C179" s="14"/>
      <c r="D179" s="15"/>
      <c r="E179" s="16"/>
      <c r="F179" s="16"/>
      <c r="G179" s="18"/>
      <c r="H179" s="18"/>
      <c r="I179" s="18"/>
      <c r="J179" s="18"/>
      <c r="K179" s="19"/>
    </row>
    <row r="180" ht="22.5" customHeight="1">
      <c r="A180" s="17"/>
      <c r="B180" s="18"/>
      <c r="C180" s="14"/>
      <c r="D180" s="15"/>
      <c r="E180" s="16"/>
      <c r="F180" s="16"/>
      <c r="G180" s="18"/>
      <c r="H180" s="18"/>
      <c r="I180" s="18"/>
      <c r="J180" s="18"/>
      <c r="K180" s="19"/>
    </row>
    <row r="181" ht="22.5" customHeight="1">
      <c r="A181" s="17"/>
      <c r="B181" s="18"/>
      <c r="C181" s="14"/>
      <c r="D181" s="15"/>
      <c r="E181" s="16"/>
      <c r="F181" s="16"/>
      <c r="G181" s="18"/>
      <c r="H181" s="18"/>
      <c r="I181" s="18"/>
      <c r="J181" s="18"/>
      <c r="K181" s="19"/>
    </row>
    <row r="182" ht="22.5" customHeight="1">
      <c r="A182" s="17"/>
      <c r="B182" s="18"/>
      <c r="C182" s="14"/>
      <c r="D182" s="15"/>
      <c r="E182" s="16"/>
      <c r="F182" s="16"/>
      <c r="G182" s="18"/>
      <c r="H182" s="18"/>
      <c r="I182" s="18"/>
      <c r="J182" s="18"/>
      <c r="K182" s="19"/>
    </row>
    <row r="183" ht="22.5" customHeight="1">
      <c r="A183" s="17"/>
      <c r="B183" s="18"/>
      <c r="C183" s="14"/>
      <c r="D183" s="15"/>
      <c r="E183" s="16"/>
      <c r="F183" s="16"/>
      <c r="G183" s="18"/>
      <c r="H183" s="18"/>
      <c r="I183" s="18"/>
      <c r="J183" s="18"/>
      <c r="K183" s="19"/>
    </row>
    <row r="184" ht="22.5" customHeight="1">
      <c r="A184" s="17"/>
      <c r="B184" s="18"/>
      <c r="C184" s="14"/>
      <c r="D184" s="15"/>
      <c r="E184" s="16"/>
      <c r="F184" s="16"/>
      <c r="G184" s="18"/>
      <c r="H184" s="18"/>
      <c r="I184" s="18"/>
      <c r="J184" s="18"/>
      <c r="K184" s="19"/>
    </row>
    <row r="185" ht="22.5" customHeight="1">
      <c r="A185" s="17"/>
      <c r="B185" s="18"/>
      <c r="C185" s="14"/>
      <c r="D185" s="15"/>
      <c r="E185" s="16"/>
      <c r="F185" s="16"/>
      <c r="G185" s="18"/>
      <c r="H185" s="18"/>
      <c r="I185" s="18"/>
      <c r="J185" s="18"/>
      <c r="K185" s="19"/>
    </row>
    <row r="186" ht="22.5" customHeight="1">
      <c r="A186" s="17"/>
      <c r="B186" s="18"/>
      <c r="C186" s="14"/>
      <c r="D186" s="15"/>
      <c r="E186" s="16"/>
      <c r="F186" s="16"/>
      <c r="G186" s="18"/>
      <c r="H186" s="18"/>
      <c r="I186" s="18"/>
      <c r="J186" s="18"/>
      <c r="K186" s="19"/>
    </row>
    <row r="187" ht="22.5" customHeight="1">
      <c r="A187" s="17"/>
      <c r="B187" s="18"/>
      <c r="C187" s="14"/>
      <c r="D187" s="15"/>
      <c r="E187" s="16"/>
      <c r="F187" s="16"/>
      <c r="G187" s="18"/>
      <c r="H187" s="18"/>
      <c r="I187" s="18"/>
      <c r="J187" s="18"/>
      <c r="K187" s="19"/>
    </row>
    <row r="188" ht="22.5" customHeight="1">
      <c r="A188" s="17"/>
      <c r="B188" s="18"/>
      <c r="C188" s="14"/>
      <c r="D188" s="15"/>
      <c r="E188" s="16"/>
      <c r="F188" s="16"/>
      <c r="G188" s="18"/>
      <c r="H188" s="18"/>
      <c r="I188" s="18"/>
      <c r="J188" s="18"/>
      <c r="K188" s="19"/>
    </row>
    <row r="189" ht="22.5" customHeight="1">
      <c r="A189" s="17"/>
      <c r="B189" s="18"/>
      <c r="C189" s="14"/>
      <c r="D189" s="15"/>
      <c r="E189" s="16"/>
      <c r="F189" s="16"/>
      <c r="G189" s="18"/>
      <c r="H189" s="18"/>
      <c r="I189" s="18"/>
      <c r="J189" s="18"/>
      <c r="K189" s="19"/>
    </row>
    <row r="190" ht="22.5" customHeight="1">
      <c r="A190" s="17"/>
      <c r="B190" s="18"/>
      <c r="C190" s="14"/>
      <c r="D190" s="15"/>
      <c r="E190" s="16"/>
      <c r="F190" s="16"/>
      <c r="G190" s="18"/>
      <c r="H190" s="18"/>
      <c r="I190" s="18"/>
      <c r="J190" s="18"/>
      <c r="K190" s="19"/>
    </row>
    <row r="191" ht="22.5" customHeight="1">
      <c r="A191" s="17"/>
      <c r="B191" s="18"/>
      <c r="C191" s="14"/>
      <c r="D191" s="15"/>
      <c r="E191" s="16"/>
      <c r="F191" s="16"/>
      <c r="G191" s="18"/>
      <c r="H191" s="18"/>
      <c r="I191" s="18"/>
      <c r="J191" s="18"/>
      <c r="K191" s="19"/>
    </row>
    <row r="192" ht="22.5" customHeight="1">
      <c r="A192" s="17"/>
      <c r="B192" s="18"/>
      <c r="C192" s="14"/>
      <c r="D192" s="15"/>
      <c r="E192" s="16"/>
      <c r="F192" s="16"/>
      <c r="G192" s="18"/>
      <c r="H192" s="18"/>
      <c r="I192" s="18"/>
      <c r="J192" s="18"/>
      <c r="K192" s="19"/>
    </row>
    <row r="193" ht="22.5" customHeight="1">
      <c r="A193" s="17"/>
      <c r="B193" s="18"/>
      <c r="C193" s="14"/>
      <c r="D193" s="15"/>
      <c r="E193" s="16"/>
      <c r="F193" s="16"/>
      <c r="G193" s="18"/>
      <c r="H193" s="18"/>
      <c r="I193" s="18"/>
      <c r="J193" s="18"/>
      <c r="K193" s="19"/>
    </row>
    <row r="194" ht="22.5" customHeight="1">
      <c r="A194" s="17"/>
      <c r="B194" s="18"/>
      <c r="C194" s="14"/>
      <c r="D194" s="15"/>
      <c r="E194" s="16"/>
      <c r="F194" s="16"/>
      <c r="G194" s="18"/>
      <c r="H194" s="18"/>
      <c r="I194" s="18"/>
      <c r="J194" s="18"/>
      <c r="K194" s="19"/>
    </row>
    <row r="195" ht="22.5" customHeight="1">
      <c r="A195" s="17"/>
      <c r="B195" s="18"/>
      <c r="C195" s="14"/>
      <c r="D195" s="15"/>
      <c r="E195" s="16"/>
      <c r="F195" s="16"/>
      <c r="G195" s="18"/>
      <c r="H195" s="18"/>
      <c r="I195" s="18"/>
      <c r="J195" s="18"/>
      <c r="K195" s="19"/>
    </row>
    <row r="196" ht="22.5" customHeight="1">
      <c r="A196" s="17"/>
      <c r="B196" s="18"/>
      <c r="C196" s="14"/>
      <c r="D196" s="15"/>
      <c r="E196" s="16"/>
      <c r="F196" s="16"/>
      <c r="G196" s="18"/>
      <c r="H196" s="18"/>
      <c r="I196" s="18"/>
      <c r="J196" s="18"/>
      <c r="K196" s="19"/>
    </row>
    <row r="197" ht="22.5" customHeight="1">
      <c r="A197" s="17"/>
      <c r="B197" s="18"/>
      <c r="C197" s="14"/>
      <c r="D197" s="15"/>
      <c r="E197" s="16"/>
      <c r="F197" s="16"/>
      <c r="G197" s="18"/>
      <c r="H197" s="18"/>
      <c r="I197" s="18"/>
      <c r="J197" s="18"/>
      <c r="K197" s="19"/>
    </row>
    <row r="198" ht="22.5" customHeight="1">
      <c r="A198" s="17"/>
      <c r="B198" s="18"/>
      <c r="C198" s="14"/>
      <c r="D198" s="15"/>
      <c r="E198" s="16"/>
      <c r="F198" s="16"/>
      <c r="G198" s="18"/>
      <c r="H198" s="18"/>
      <c r="I198" s="18"/>
      <c r="J198" s="18"/>
      <c r="K198" s="19"/>
    </row>
    <row r="199" ht="22.5" customHeight="1">
      <c r="A199" s="17"/>
      <c r="B199" s="18"/>
      <c r="C199" s="14"/>
      <c r="D199" s="15"/>
      <c r="E199" s="16"/>
      <c r="F199" s="16"/>
      <c r="G199" s="18"/>
      <c r="H199" s="18"/>
      <c r="I199" s="18"/>
      <c r="J199" s="18"/>
      <c r="K199" s="19"/>
    </row>
    <row r="200" ht="22.5" customHeight="1">
      <c r="A200" s="17"/>
      <c r="B200" s="18"/>
      <c r="C200" s="14"/>
      <c r="D200" s="15"/>
      <c r="E200" s="16"/>
      <c r="F200" s="16"/>
      <c r="G200" s="18"/>
      <c r="H200" s="18"/>
      <c r="I200" s="18"/>
      <c r="J200" s="18"/>
      <c r="K200" s="19"/>
    </row>
    <row r="201" ht="22.5" customHeight="1">
      <c r="A201" s="17"/>
      <c r="B201" s="18"/>
      <c r="C201" s="14"/>
      <c r="D201" s="15"/>
      <c r="E201" s="16"/>
      <c r="F201" s="16"/>
      <c r="G201" s="18"/>
      <c r="H201" s="18"/>
      <c r="I201" s="18"/>
      <c r="J201" s="18"/>
      <c r="K201" s="19"/>
    </row>
    <row r="202" ht="22.5" customHeight="1">
      <c r="A202" s="17"/>
      <c r="B202" s="18"/>
      <c r="C202" s="14"/>
      <c r="D202" s="15"/>
      <c r="E202" s="16"/>
      <c r="F202" s="16"/>
      <c r="G202" s="18"/>
      <c r="H202" s="18"/>
      <c r="I202" s="18"/>
      <c r="J202" s="18"/>
      <c r="K202" s="19"/>
    </row>
    <row r="203" ht="22.5" customHeight="1">
      <c r="A203" s="17"/>
      <c r="B203" s="18"/>
      <c r="C203" s="14"/>
      <c r="D203" s="15"/>
      <c r="E203" s="16"/>
      <c r="F203" s="16"/>
      <c r="G203" s="18"/>
      <c r="H203" s="18"/>
      <c r="I203" s="18"/>
      <c r="J203" s="18"/>
      <c r="K203" s="19"/>
    </row>
    <row r="204" ht="22.5" customHeight="1">
      <c r="A204" s="17"/>
      <c r="B204" s="18"/>
      <c r="C204" s="14"/>
      <c r="D204" s="15"/>
      <c r="E204" s="16"/>
      <c r="F204" s="16"/>
      <c r="G204" s="18"/>
      <c r="H204" s="18"/>
      <c r="I204" s="18"/>
      <c r="J204" s="18"/>
      <c r="K204" s="19"/>
    </row>
    <row r="205" ht="22.5" customHeight="1">
      <c r="A205" s="17"/>
      <c r="B205" s="18"/>
      <c r="C205" s="14"/>
      <c r="D205" s="15"/>
      <c r="E205" s="16"/>
      <c r="F205" s="16"/>
      <c r="G205" s="18"/>
      <c r="H205" s="18"/>
      <c r="I205" s="18"/>
      <c r="J205" s="18"/>
      <c r="K205" s="19"/>
    </row>
    <row r="206" ht="22.5" customHeight="1">
      <c r="A206" s="17"/>
      <c r="B206" s="18"/>
      <c r="C206" s="14"/>
      <c r="D206" s="15"/>
      <c r="E206" s="16"/>
      <c r="F206" s="16"/>
      <c r="G206" s="18"/>
      <c r="H206" s="18"/>
      <c r="I206" s="18"/>
      <c r="J206" s="18"/>
      <c r="K206" s="19"/>
    </row>
    <row r="207" ht="22.5" customHeight="1">
      <c r="A207" s="17"/>
      <c r="B207" s="18"/>
      <c r="C207" s="14"/>
      <c r="D207" s="15"/>
      <c r="E207" s="16"/>
      <c r="F207" s="16"/>
      <c r="G207" s="18"/>
      <c r="H207" s="18"/>
      <c r="I207" s="18"/>
      <c r="J207" s="18"/>
      <c r="K207" s="19"/>
    </row>
    <row r="208" ht="22.5" customHeight="1">
      <c r="A208" s="17"/>
      <c r="B208" s="18"/>
      <c r="C208" s="14"/>
      <c r="D208" s="15"/>
      <c r="E208" s="16"/>
      <c r="F208" s="16"/>
      <c r="G208" s="18"/>
      <c r="H208" s="18"/>
      <c r="I208" s="18"/>
      <c r="J208" s="18"/>
      <c r="K208" s="19"/>
    </row>
    <row r="209" ht="22.5" customHeight="1">
      <c r="A209" s="17"/>
      <c r="B209" s="18"/>
      <c r="C209" s="14"/>
      <c r="D209" s="15"/>
      <c r="E209" s="16"/>
      <c r="F209" s="16"/>
      <c r="G209" s="18"/>
      <c r="H209" s="18"/>
      <c r="I209" s="18"/>
      <c r="J209" s="18"/>
      <c r="K209" s="19"/>
    </row>
    <row r="210" ht="22.5" customHeight="1">
      <c r="A210" s="17"/>
      <c r="B210" s="18"/>
      <c r="C210" s="14"/>
      <c r="D210" s="15"/>
      <c r="E210" s="16"/>
      <c r="F210" s="16"/>
      <c r="G210" s="18"/>
      <c r="H210" s="18"/>
      <c r="I210" s="18"/>
      <c r="J210" s="18"/>
      <c r="K210" s="19"/>
    </row>
    <row r="211" ht="22.5" customHeight="1">
      <c r="A211" s="17"/>
      <c r="B211" s="18"/>
      <c r="C211" s="14"/>
      <c r="D211" s="15"/>
      <c r="E211" s="16"/>
      <c r="F211" s="16"/>
      <c r="G211" s="18"/>
      <c r="H211" s="18"/>
      <c r="I211" s="18"/>
      <c r="J211" s="18"/>
      <c r="K211" s="19"/>
    </row>
    <row r="212" ht="22.5" customHeight="1">
      <c r="A212" s="17"/>
      <c r="B212" s="18"/>
      <c r="C212" s="14"/>
      <c r="D212" s="15"/>
      <c r="E212" s="16"/>
      <c r="F212" s="16"/>
      <c r="G212" s="18"/>
      <c r="H212" s="18"/>
      <c r="I212" s="18"/>
      <c r="J212" s="18"/>
      <c r="K212" s="19"/>
    </row>
    <row r="213" ht="22.5" customHeight="1">
      <c r="A213" s="17"/>
      <c r="B213" s="18"/>
      <c r="C213" s="14"/>
      <c r="D213" s="15"/>
      <c r="E213" s="16"/>
      <c r="F213" s="16"/>
      <c r="G213" s="18"/>
      <c r="H213" s="18"/>
      <c r="I213" s="18"/>
      <c r="J213" s="18"/>
      <c r="K213" s="19"/>
    </row>
    <row r="214" ht="22.5" customHeight="1">
      <c r="A214" s="17"/>
      <c r="B214" s="18"/>
      <c r="C214" s="14"/>
      <c r="D214" s="15"/>
      <c r="E214" s="16"/>
      <c r="F214" s="16"/>
      <c r="G214" s="18"/>
      <c r="H214" s="18"/>
      <c r="I214" s="18"/>
      <c r="J214" s="18"/>
      <c r="K214" s="19"/>
    </row>
    <row r="215" ht="22.5" customHeight="1">
      <c r="A215" s="17"/>
      <c r="B215" s="18"/>
      <c r="C215" s="14"/>
      <c r="D215" s="15"/>
      <c r="E215" s="16"/>
      <c r="F215" s="16"/>
      <c r="G215" s="18"/>
      <c r="H215" s="18"/>
      <c r="I215" s="18"/>
      <c r="J215" s="18"/>
      <c r="K215" s="19"/>
    </row>
    <row r="216" ht="22.5" customHeight="1">
      <c r="A216" s="17"/>
      <c r="B216" s="18"/>
      <c r="C216" s="14"/>
      <c r="D216" s="15"/>
      <c r="E216" s="16"/>
      <c r="F216" s="16"/>
      <c r="G216" s="18"/>
      <c r="H216" s="18"/>
      <c r="I216" s="18"/>
      <c r="J216" s="18"/>
      <c r="K216" s="19"/>
    </row>
    <row r="217" ht="22.5" customHeight="1">
      <c r="A217" s="17"/>
      <c r="B217" s="18"/>
      <c r="C217" s="14"/>
      <c r="D217" s="15"/>
      <c r="E217" s="16"/>
      <c r="F217" s="16"/>
      <c r="G217" s="18"/>
      <c r="H217" s="18"/>
      <c r="I217" s="18"/>
      <c r="J217" s="18"/>
      <c r="K217" s="19"/>
    </row>
    <row r="218" ht="22.5" customHeight="1">
      <c r="A218" s="17"/>
      <c r="B218" s="18"/>
      <c r="C218" s="14"/>
      <c r="D218" s="15"/>
      <c r="E218" s="16"/>
      <c r="F218" s="16"/>
      <c r="G218" s="18"/>
      <c r="H218" s="18"/>
      <c r="I218" s="18"/>
      <c r="J218" s="18"/>
      <c r="K218" s="19"/>
    </row>
    <row r="219" ht="22.5" customHeight="1">
      <c r="A219" s="17"/>
      <c r="B219" s="18"/>
      <c r="C219" s="14"/>
      <c r="D219" s="15"/>
      <c r="E219" s="16"/>
      <c r="F219" s="16"/>
      <c r="G219" s="18"/>
      <c r="H219" s="18"/>
      <c r="I219" s="18"/>
      <c r="J219" s="18"/>
      <c r="K219" s="19"/>
    </row>
    <row r="220" ht="22.5" customHeight="1">
      <c r="A220" s="17"/>
      <c r="B220" s="18"/>
      <c r="C220" s="14"/>
      <c r="D220" s="15"/>
      <c r="E220" s="16"/>
      <c r="F220" s="16"/>
      <c r="G220" s="18"/>
      <c r="H220" s="18"/>
      <c r="I220" s="18"/>
      <c r="J220" s="18"/>
      <c r="K220" s="19"/>
    </row>
    <row r="221" ht="22.5" customHeight="1">
      <c r="A221" s="20"/>
      <c r="B221" s="21"/>
      <c r="C221" s="22"/>
      <c r="D221" s="23"/>
      <c r="E221" s="24"/>
      <c r="F221" s="24"/>
      <c r="G221" s="21"/>
      <c r="H221" s="21"/>
      <c r="I221" s="21"/>
      <c r="J221" s="21"/>
      <c r="K221" s="25"/>
    </row>
    <row r="222">
      <c r="C222" s="26"/>
    </row>
  </sheetData>
  <dataValidations>
    <dataValidation type="list" allowBlank="1" sqref="D79:D80">
      <formula1>DA!$E$8:$AH$8</formula1>
    </dataValidation>
    <dataValidation type="list" allowBlank="1" sqref="E2:F221">
      <formula1>#REF!</formula1>
    </dataValidation>
    <dataValidation type="list" allowBlank="1" sqref="D10 D15">
      <formula1>DA!$E$5:$AH$5</formula1>
    </dataValidation>
    <dataValidation type="list" allowBlank="1" sqref="D99 D101:D102 D108 D127:D130">
      <formula1>DA!$E$2:$AJ$2</formula1>
    </dataValidation>
    <dataValidation type="list" allowBlank="1" sqref="D17 D19:D21 D35">
      <formula1>DA!$E$2:$AH$2</formula1>
    </dataValidation>
    <dataValidation type="list" allowBlank="1" sqref="C2:C221">
      <formula1>#REF!</formula1>
    </dataValidation>
  </dataValidations>
  <hyperlinks>
    <hyperlink r:id="rId1" ref="I2"/>
    <hyperlink r:id="rId2" location="gid=381248333" ref="K2"/>
    <hyperlink r:id="rId3" ref="I3"/>
    <hyperlink r:id="rId4" location="gid=719807340" ref="K3"/>
    <hyperlink r:id="rId5" ref="I4"/>
    <hyperlink r:id="rId6" location="gid=613858032" ref="K4"/>
    <hyperlink r:id="rId7" ref="I5"/>
    <hyperlink r:id="rId8" location="gid=776359699" ref="K5"/>
    <hyperlink r:id="rId9" ref="I6"/>
    <hyperlink r:id="rId10" location="gid=297945086" ref="K6"/>
    <hyperlink r:id="rId11" ref="I7"/>
    <hyperlink r:id="rId12" location="gid=1434122094" ref="K7"/>
    <hyperlink r:id="rId13" ref="I8"/>
    <hyperlink r:id="rId14" location="gid=1343629697" ref="K8"/>
    <hyperlink r:id="rId15" ref="I9"/>
    <hyperlink r:id="rId16" location="gid=1939727268" ref="K9"/>
    <hyperlink r:id="rId17" ref="I10"/>
    <hyperlink r:id="rId18" location="gid=521061255" ref="K10"/>
    <hyperlink r:id="rId19" ref="I11"/>
    <hyperlink r:id="rId20" location="gid=43389025" ref="K11"/>
    <hyperlink r:id="rId21" ref="I12"/>
    <hyperlink r:id="rId22" location="gid=840328025" ref="K12"/>
    <hyperlink r:id="rId23" ref="I13"/>
    <hyperlink r:id="rId24" location="gid=2147263564" ref="K13"/>
    <hyperlink r:id="rId25" ref="I14"/>
    <hyperlink r:id="rId26" location="gid=871533734" ref="K14"/>
    <hyperlink r:id="rId27" ref="I15"/>
    <hyperlink r:id="rId28" location="gid=2114974678" ref="K15"/>
    <hyperlink r:id="rId29" ref="I16"/>
    <hyperlink r:id="rId30" location="gid=1929956439" ref="K16"/>
    <hyperlink r:id="rId31" ref="I17"/>
    <hyperlink r:id="rId32" location="gid=439108111" ref="K17"/>
    <hyperlink r:id="rId33" ref="I18"/>
    <hyperlink r:id="rId34" location="gid=181159026" ref="K18"/>
    <hyperlink r:id="rId35" ref="I19"/>
    <hyperlink r:id="rId36" location="gid=503737629" ref="K19"/>
    <hyperlink r:id="rId37" ref="I20"/>
    <hyperlink r:id="rId38" location="gid=200001199" ref="K20"/>
    <hyperlink r:id="rId39" ref="I21"/>
    <hyperlink r:id="rId40" location="gid=170329310" ref="K21"/>
    <hyperlink r:id="rId41" ref="I22"/>
    <hyperlink r:id="rId42" location="gid=1891850908" ref="K22"/>
    <hyperlink r:id="rId43" ref="I23"/>
    <hyperlink r:id="rId44" location="gid=1297848502" ref="K23"/>
    <hyperlink r:id="rId45" ref="I24"/>
    <hyperlink r:id="rId46" location="gid=682280645" ref="K24"/>
    <hyperlink r:id="rId47" ref="I25"/>
    <hyperlink r:id="rId48" location="gid=1465670474" ref="K25"/>
    <hyperlink r:id="rId49" ref="I26"/>
    <hyperlink r:id="rId50" location="gid=1115539690" ref="K26"/>
    <hyperlink r:id="rId51" ref="I27"/>
    <hyperlink r:id="rId52" location="gid=1317988991" ref="K27"/>
    <hyperlink r:id="rId53" ref="I28"/>
    <hyperlink r:id="rId54" location="gid=1432955178" ref="K28"/>
    <hyperlink r:id="rId55" ref="I29"/>
    <hyperlink r:id="rId56" location="gid=27562904" ref="K29"/>
    <hyperlink r:id="rId57" ref="I30"/>
    <hyperlink r:id="rId58" location="gid=884025617" ref="K30"/>
    <hyperlink r:id="rId59" ref="I31"/>
    <hyperlink r:id="rId60" location="gid=1175686769" ref="K31"/>
    <hyperlink r:id="rId61" ref="I32"/>
    <hyperlink r:id="rId62" location="gid=745442252" ref="K32"/>
    <hyperlink r:id="rId63" ref="I33"/>
    <hyperlink r:id="rId64" location="gid=816551626" ref="K33"/>
    <hyperlink r:id="rId65" ref="I34"/>
    <hyperlink r:id="rId66" location="gid=1125231152" ref="K34"/>
    <hyperlink r:id="rId67" ref="I35"/>
    <hyperlink r:id="rId68" location="gid=1013273451" ref="K35"/>
    <hyperlink r:id="rId69" ref="I36"/>
    <hyperlink r:id="rId70" location="gid=2142301770" ref="K36"/>
    <hyperlink r:id="rId71" ref="I37"/>
    <hyperlink r:id="rId72" location="gid=572729912" ref="K37"/>
    <hyperlink r:id="rId73" ref="I38"/>
    <hyperlink r:id="rId74" location="gid=1719763944" ref="K38"/>
    <hyperlink r:id="rId75" ref="I39"/>
    <hyperlink r:id="rId76" location="gid=1735637034" ref="K39"/>
    <hyperlink r:id="rId77" ref="I40"/>
    <hyperlink r:id="rId78" location="gid=13861866" ref="K40"/>
    <hyperlink r:id="rId79" ref="I41"/>
    <hyperlink r:id="rId80" location="gid=698338549" ref="K41"/>
    <hyperlink r:id="rId81" ref="I42"/>
    <hyperlink r:id="rId82" location="gid=1622840458" ref="K42"/>
    <hyperlink r:id="rId83" ref="I43"/>
    <hyperlink r:id="rId84" location="gid=168035183" ref="K43"/>
    <hyperlink r:id="rId85" ref="I44"/>
    <hyperlink r:id="rId86" location="gid=1361367316" ref="K44"/>
    <hyperlink r:id="rId87" ref="I45"/>
    <hyperlink r:id="rId88" location="gid=1312707846" ref="K45"/>
    <hyperlink r:id="rId89" ref="I46"/>
    <hyperlink r:id="rId90" location="gid=1792920235" ref="K46"/>
    <hyperlink r:id="rId91" ref="I47"/>
    <hyperlink r:id="rId92" location="gid=181961218" ref="K47"/>
    <hyperlink r:id="rId93" ref="I48"/>
    <hyperlink r:id="rId94" location="gid=228925528" ref="K48"/>
    <hyperlink r:id="rId95" ref="I49"/>
    <hyperlink r:id="rId96" location="gid=90635227" ref="K49"/>
    <hyperlink r:id="rId97" ref="I50"/>
    <hyperlink r:id="rId98" location="gid=1752683119" ref="K50"/>
    <hyperlink r:id="rId99" ref="I51"/>
    <hyperlink r:id="rId100" location="gid=2089243561" ref="K51"/>
    <hyperlink r:id="rId101" ref="I52"/>
    <hyperlink r:id="rId102" location="gid=29300301" ref="K52"/>
    <hyperlink r:id="rId103" ref="I53"/>
    <hyperlink r:id="rId104" location="gid=729790117" ref="K53"/>
    <hyperlink r:id="rId105" ref="I54"/>
    <hyperlink r:id="rId106" location="gid=1241181213" ref="K54"/>
    <hyperlink r:id="rId107" ref="I55"/>
    <hyperlink r:id="rId108" location="gid=52014704" ref="K55"/>
    <hyperlink r:id="rId109" ref="I56"/>
    <hyperlink r:id="rId110" location="gid=1571397415" ref="K56"/>
    <hyperlink r:id="rId111" ref="I57"/>
    <hyperlink r:id="rId112" location="gid=1224096325" ref="K57"/>
    <hyperlink r:id="rId113" ref="I58"/>
    <hyperlink r:id="rId114" location="gid=950378032" ref="K58"/>
    <hyperlink r:id="rId115" ref="I59"/>
    <hyperlink r:id="rId116" location="gid=628822082" ref="K59"/>
    <hyperlink r:id="rId117" ref="I60"/>
    <hyperlink r:id="rId118" location="gid=1885972753" ref="K60"/>
    <hyperlink r:id="rId119" ref="I61"/>
    <hyperlink r:id="rId120" location="gid=683174191" ref="K61"/>
    <hyperlink r:id="rId121" ref="I62"/>
    <hyperlink r:id="rId122" location="gid=603448856" ref="K62"/>
    <hyperlink r:id="rId123" ref="I63"/>
    <hyperlink r:id="rId124" location="gid=1323371280" ref="K63"/>
    <hyperlink r:id="rId125" ref="I64"/>
    <hyperlink r:id="rId126" location="gid=900456021" ref="K64"/>
    <hyperlink r:id="rId127" ref="I65"/>
    <hyperlink r:id="rId128" location="gid=1781611519" ref="K65"/>
    <hyperlink r:id="rId129" ref="I66"/>
    <hyperlink r:id="rId130" location="gid=77016772" ref="K66"/>
    <hyperlink r:id="rId131" ref="I67"/>
    <hyperlink r:id="rId132" location="gid=1027989724" ref="K67"/>
    <hyperlink r:id="rId133" ref="I68"/>
    <hyperlink r:id="rId134" location="gid=696741632" ref="K68"/>
    <hyperlink r:id="rId135" ref="I69"/>
    <hyperlink r:id="rId136" location="gid=723226844" ref="K69"/>
    <hyperlink r:id="rId137" ref="I70"/>
    <hyperlink r:id="rId138" location="gid=1918606885" ref="K70"/>
    <hyperlink r:id="rId139" ref="I71"/>
    <hyperlink r:id="rId140" location="gid=1352044110" ref="K71"/>
    <hyperlink r:id="rId141" ref="I72"/>
    <hyperlink r:id="rId142" location="gid=1672289555" ref="K72"/>
    <hyperlink r:id="rId143" ref="I73"/>
    <hyperlink r:id="rId144" location="gid=815191346" ref="K73"/>
    <hyperlink r:id="rId145" ref="I74"/>
    <hyperlink r:id="rId146" location="gid=757649177" ref="K74"/>
    <hyperlink r:id="rId147" ref="I75"/>
    <hyperlink r:id="rId148" location="gid=112229521" ref="K75"/>
    <hyperlink r:id="rId149" ref="I76"/>
    <hyperlink r:id="rId150" location="gid=1584365992" ref="K76"/>
    <hyperlink r:id="rId151" ref="I77"/>
    <hyperlink r:id="rId152" location="gid=354440817" ref="K77"/>
    <hyperlink r:id="rId153" ref="I78"/>
    <hyperlink r:id="rId154" location="gid=1669870335" ref="K78"/>
    <hyperlink r:id="rId155" ref="I79"/>
    <hyperlink r:id="rId156" location="gid=946495409" ref="K79"/>
    <hyperlink r:id="rId157" ref="I80"/>
    <hyperlink r:id="rId158" location="gid=1897823719" ref="K80"/>
    <hyperlink r:id="rId159" ref="I81"/>
    <hyperlink r:id="rId160" location="gid=1826557931" ref="K81"/>
    <hyperlink r:id="rId161" ref="I82"/>
    <hyperlink r:id="rId162" location="gid=904757614" ref="K82"/>
    <hyperlink r:id="rId163" ref="I83"/>
    <hyperlink r:id="rId164" location="gid=251685273" ref="K83"/>
    <hyperlink r:id="rId165" ref="I84"/>
    <hyperlink r:id="rId166" location="gid=1663450757" ref="K84"/>
    <hyperlink r:id="rId167" ref="I85"/>
    <hyperlink r:id="rId168" location="gid=1433140433" ref="K85"/>
    <hyperlink r:id="rId169" ref="I86"/>
    <hyperlink r:id="rId170" location="gid=731025286" ref="K86"/>
    <hyperlink r:id="rId171" ref="I87"/>
    <hyperlink r:id="rId172" location="gid=459093526" ref="K87"/>
    <hyperlink r:id="rId173" ref="I88"/>
    <hyperlink r:id="rId174" location="gid=276627277" ref="K88"/>
    <hyperlink r:id="rId175" ref="I89"/>
    <hyperlink r:id="rId176" location="gid=1257098675" ref="K89"/>
    <hyperlink r:id="rId177" ref="I90"/>
    <hyperlink r:id="rId178" location="gid=172195853" ref="K90"/>
    <hyperlink r:id="rId179" ref="I91"/>
    <hyperlink r:id="rId180" location="gid=288472743" ref="K91"/>
    <hyperlink r:id="rId181" ref="I92"/>
    <hyperlink r:id="rId182" location="gid=637938638" ref="K92"/>
    <hyperlink r:id="rId183" ref="I93"/>
    <hyperlink r:id="rId184" location="gid=1560961462" ref="K93"/>
    <hyperlink r:id="rId185" ref="I94"/>
    <hyperlink r:id="rId186" location="gid=716502459" ref="K94"/>
    <hyperlink r:id="rId187" ref="I95"/>
    <hyperlink r:id="rId188" location="gid=1282713500" ref="K95"/>
    <hyperlink r:id="rId189" ref="I96"/>
    <hyperlink r:id="rId190" location="gid=812217999" ref="K96"/>
    <hyperlink r:id="rId191" ref="I97"/>
    <hyperlink r:id="rId192" location="gid=423377933" ref="K97"/>
    <hyperlink r:id="rId193" ref="I98"/>
    <hyperlink r:id="rId194" location="gid=2003067199" ref="K98"/>
    <hyperlink r:id="rId195" ref="I99"/>
    <hyperlink r:id="rId196" location="gid=1055834595" ref="K99"/>
    <hyperlink r:id="rId197" ref="I100"/>
    <hyperlink r:id="rId198" location="gid=1002529363" ref="K100"/>
    <hyperlink r:id="rId199" ref="I101"/>
    <hyperlink r:id="rId200" location="gid=1913858064" ref="K101"/>
    <hyperlink r:id="rId201" ref="I102"/>
    <hyperlink r:id="rId202" location="gid=1010994760" ref="K102"/>
    <hyperlink r:id="rId203" ref="I103"/>
    <hyperlink r:id="rId204" location="gid=1803533846" ref="K103"/>
    <hyperlink r:id="rId205" ref="I104"/>
    <hyperlink r:id="rId206" location="gid=910515240" ref="K104"/>
    <hyperlink r:id="rId207" ref="I105"/>
    <hyperlink r:id="rId208" location="gid=1875252097" ref="K105"/>
    <hyperlink r:id="rId209" ref="I106"/>
    <hyperlink r:id="rId210" location="gid=116686204" ref="K106"/>
    <hyperlink r:id="rId211" ref="I107"/>
    <hyperlink r:id="rId212" location="gid=1275413763" ref="K107"/>
    <hyperlink r:id="rId213" ref="I108"/>
    <hyperlink r:id="rId214" location="gid=530154088" ref="K108"/>
    <hyperlink r:id="rId215" ref="I109"/>
    <hyperlink r:id="rId216" location="gid=1295758987" ref="K109"/>
    <hyperlink r:id="rId217" ref="I110"/>
    <hyperlink r:id="rId218" location="gid=1308672381" ref="K110"/>
    <hyperlink r:id="rId219" ref="I111"/>
    <hyperlink r:id="rId220" location="gid=103936162" ref="K111"/>
    <hyperlink r:id="rId221" ref="I112"/>
    <hyperlink r:id="rId222" location="gid=1874685409" ref="K112"/>
    <hyperlink r:id="rId223" ref="I113"/>
    <hyperlink r:id="rId224" location="gid=879596208" ref="K113"/>
    <hyperlink r:id="rId225" ref="I114"/>
    <hyperlink r:id="rId226" location="gid=19357859" ref="K114"/>
    <hyperlink r:id="rId227" ref="I115"/>
    <hyperlink r:id="rId228" location="gid=281272542" ref="K115"/>
    <hyperlink r:id="rId229" ref="I116"/>
    <hyperlink r:id="rId230" location="gid=1505928906" ref="K116"/>
    <hyperlink r:id="rId231" ref="I117"/>
    <hyperlink r:id="rId232" location="gid=2124732072" ref="K117"/>
    <hyperlink r:id="rId233" ref="I118"/>
    <hyperlink r:id="rId234" location="gid=41112230" ref="K118"/>
    <hyperlink r:id="rId235" ref="I119"/>
    <hyperlink r:id="rId236" location="gid=300819011" ref="K119"/>
    <hyperlink r:id="rId237" ref="I120"/>
    <hyperlink r:id="rId238" location="gid=1257734761" ref="K120"/>
    <hyperlink r:id="rId239" ref="I121"/>
    <hyperlink r:id="rId240" location="gid=226409383" ref="K121"/>
    <hyperlink r:id="rId241" ref="I122"/>
    <hyperlink r:id="rId242" location="gid=1175769367" ref="K122"/>
    <hyperlink r:id="rId243" ref="I123"/>
    <hyperlink r:id="rId244" location="gid=1209476573" ref="K123"/>
    <hyperlink r:id="rId245" ref="I124"/>
    <hyperlink r:id="rId246" location="gid=749318447" ref="K124"/>
    <hyperlink r:id="rId247" ref="I125"/>
    <hyperlink r:id="rId248" location="gid=711354284" ref="K125"/>
    <hyperlink r:id="rId249" ref="I126"/>
    <hyperlink r:id="rId250" location="gid=802389428" ref="K126"/>
    <hyperlink r:id="rId251" ref="I127"/>
    <hyperlink r:id="rId252" location="gid=984262380" ref="K127"/>
    <hyperlink r:id="rId253" ref="I128"/>
    <hyperlink r:id="rId254" location="gid=1712496205" ref="K128"/>
    <hyperlink r:id="rId255" ref="I129"/>
    <hyperlink r:id="rId256" location="gid=1091645834" ref="K129"/>
    <hyperlink r:id="rId257" ref="I130"/>
    <hyperlink r:id="rId258" location="gid=1010154829" ref="K130"/>
    <hyperlink r:id="rId259" ref="I131"/>
    <hyperlink r:id="rId260" location="gid=1474217205" ref="K131"/>
    <hyperlink r:id="rId261" ref="I132"/>
    <hyperlink r:id="rId262" location="gid=1252559655" ref="K132"/>
    <hyperlink r:id="rId263" ref="I133"/>
    <hyperlink r:id="rId264" location="gid=876418230" ref="K133"/>
    <hyperlink r:id="rId265" ref="I134"/>
    <hyperlink r:id="rId266" location="gid=2055140575" ref="K134"/>
    <hyperlink r:id="rId267" ref="I135"/>
    <hyperlink r:id="rId268" location="gid=135032137" ref="K135"/>
    <hyperlink r:id="rId269" ref="I136"/>
    <hyperlink r:id="rId270" location="gid=1707714982" ref="K136"/>
    <hyperlink r:id="rId271" ref="I137"/>
    <hyperlink r:id="rId272" location="gid=1087068502" ref="K137"/>
    <hyperlink r:id="rId273" ref="I138"/>
    <hyperlink r:id="rId274" location="gid=518651905" ref="K138"/>
    <hyperlink r:id="rId275" ref="I139"/>
    <hyperlink r:id="rId276" location="gid=1885888206" ref="K139"/>
    <hyperlink r:id="rId277" ref="I140"/>
    <hyperlink r:id="rId278" location="gid=379194499" ref="K140"/>
    <hyperlink r:id="rId279" ref="I141"/>
    <hyperlink r:id="rId280" location="gid=1236433964" ref="K141"/>
    <hyperlink r:id="rId281" ref="I142"/>
    <hyperlink r:id="rId282" location="gid=57158133" ref="K142"/>
    <hyperlink r:id="rId283" ref="I143"/>
    <hyperlink r:id="rId284" location="gid=1854764062" ref="K143"/>
  </hyperlinks>
  <drawing r:id="rId285"/>
  <tableParts count="1">
    <tablePart r:id="rId287"/>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7.5"/>
  </cols>
  <sheetData>
    <row r="1">
      <c r="A1" s="27" t="s">
        <v>682</v>
      </c>
    </row>
    <row r="2">
      <c r="A2" s="27" t="s">
        <v>683</v>
      </c>
    </row>
    <row r="3">
      <c r="A3" s="28" t="s">
        <v>684</v>
      </c>
    </row>
    <row r="4">
      <c r="A4" s="29" t="s">
        <v>685</v>
      </c>
    </row>
    <row r="5">
      <c r="A5" s="29" t="s">
        <v>686</v>
      </c>
    </row>
    <row r="6">
      <c r="A6" s="29" t="s">
        <v>687</v>
      </c>
    </row>
    <row r="7">
      <c r="A7" s="29" t="s">
        <v>688</v>
      </c>
    </row>
    <row r="8">
      <c r="A8" s="29" t="s">
        <v>689</v>
      </c>
    </row>
    <row r="9">
      <c r="A9" s="29" t="s">
        <v>690</v>
      </c>
    </row>
    <row r="10">
      <c r="A10" s="29" t="s">
        <v>691</v>
      </c>
    </row>
    <row r="11">
      <c r="A11" s="29" t="s">
        <v>692</v>
      </c>
    </row>
    <row r="12">
      <c r="A12" s="29" t="s">
        <v>693</v>
      </c>
    </row>
    <row r="13">
      <c r="A13" s="29" t="s">
        <v>694</v>
      </c>
    </row>
    <row r="14">
      <c r="A14" s="29" t="s">
        <v>695</v>
      </c>
    </row>
    <row r="15">
      <c r="A15" s="29" t="s">
        <v>696</v>
      </c>
    </row>
    <row r="16">
      <c r="A16" s="29" t="s">
        <v>697</v>
      </c>
    </row>
    <row r="17">
      <c r="A17" s="29" t="s">
        <v>698</v>
      </c>
    </row>
    <row r="18">
      <c r="A18" s="30" t="s">
        <v>699</v>
      </c>
    </row>
    <row r="19">
      <c r="A19" s="30" t="s">
        <v>700</v>
      </c>
    </row>
    <row r="20">
      <c r="A20" s="30" t="s">
        <v>701</v>
      </c>
    </row>
    <row r="21">
      <c r="A21" s="30" t="s">
        <v>702</v>
      </c>
    </row>
    <row r="22">
      <c r="A22" s="30" t="s">
        <v>703</v>
      </c>
    </row>
    <row r="23">
      <c r="A23" s="30" t="s">
        <v>704</v>
      </c>
    </row>
    <row r="24">
      <c r="A24" s="30" t="s">
        <v>705</v>
      </c>
    </row>
    <row r="25">
      <c r="A25" s="30" t="s">
        <v>706</v>
      </c>
    </row>
    <row r="26">
      <c r="A26" s="30" t="s">
        <v>707</v>
      </c>
    </row>
    <row r="27">
      <c r="A27" s="30" t="s">
        <v>708</v>
      </c>
    </row>
    <row r="28">
      <c r="A28" s="30" t="s">
        <v>709</v>
      </c>
    </row>
    <row r="29">
      <c r="A29" s="30" t="s">
        <v>710</v>
      </c>
    </row>
    <row r="30">
      <c r="A30" s="30" t="s">
        <v>711</v>
      </c>
    </row>
    <row r="31">
      <c r="A31" s="30" t="s">
        <v>712</v>
      </c>
    </row>
    <row r="32">
      <c r="A32" s="30" t="s">
        <v>713</v>
      </c>
    </row>
    <row r="33">
      <c r="A33" s="30" t="s">
        <v>714</v>
      </c>
    </row>
    <row r="34">
      <c r="A34" s="30" t="s">
        <v>715</v>
      </c>
    </row>
    <row r="35">
      <c r="A35" s="30" t="s">
        <v>716</v>
      </c>
    </row>
    <row r="36">
      <c r="A36" s="30" t="s">
        <v>717</v>
      </c>
    </row>
    <row r="37">
      <c r="A37" s="30" t="s">
        <v>718</v>
      </c>
    </row>
    <row r="38">
      <c r="A38" s="30" t="s">
        <v>719</v>
      </c>
    </row>
    <row r="39">
      <c r="A39" s="30" t="s">
        <v>720</v>
      </c>
    </row>
    <row r="40">
      <c r="A40" s="30" t="s">
        <v>721</v>
      </c>
    </row>
    <row r="41">
      <c r="A41" s="30" t="s">
        <v>722</v>
      </c>
    </row>
    <row r="42">
      <c r="A42" s="30" t="s">
        <v>723</v>
      </c>
    </row>
    <row r="43">
      <c r="A43" s="30" t="s">
        <v>724</v>
      </c>
    </row>
    <row r="44">
      <c r="A44" s="30" t="s">
        <v>725</v>
      </c>
    </row>
    <row r="45">
      <c r="A45" s="30" t="s">
        <v>726</v>
      </c>
    </row>
    <row r="46">
      <c r="A46" s="30" t="s">
        <v>727</v>
      </c>
    </row>
    <row r="47">
      <c r="A47" s="30" t="s">
        <v>728</v>
      </c>
    </row>
    <row r="48">
      <c r="A48" s="30" t="s">
        <v>729</v>
      </c>
    </row>
    <row r="49">
      <c r="A49" s="30" t="s">
        <v>730</v>
      </c>
    </row>
    <row r="50">
      <c r="A50" s="30" t="s">
        <v>731</v>
      </c>
    </row>
    <row r="51">
      <c r="A51" s="30" t="s">
        <v>732</v>
      </c>
    </row>
    <row r="52">
      <c r="A52" s="30" t="s">
        <v>733</v>
      </c>
    </row>
    <row r="53">
      <c r="A53" s="30" t="s">
        <v>734</v>
      </c>
    </row>
    <row r="54">
      <c r="A54" s="30" t="s">
        <v>735</v>
      </c>
    </row>
    <row r="55">
      <c r="A55" s="31" t="s">
        <v>736</v>
      </c>
    </row>
    <row r="56">
      <c r="A56" s="31" t="s">
        <v>737</v>
      </c>
    </row>
    <row r="57">
      <c r="A57" s="31" t="s">
        <v>738</v>
      </c>
    </row>
    <row r="58">
      <c r="A58" s="31" t="s">
        <v>739</v>
      </c>
    </row>
    <row r="59">
      <c r="A59" s="31" t="s">
        <v>740</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2" t="str">
        <f>IFERROR(__xludf.DUMMYFUNCTION("IMPORTRANGE(""https://docs.google.com/spreadsheets/d/11OCL1Rzjik3aja9P7Ur6Bx6nwlNwmGJaiyTOvOLhPMQ/edit?gid=48111186#gid=48111186"", ""DA!A:AZ"")
"),"CustomerID")</f>
        <v>CustomerID</v>
      </c>
      <c r="B1" s="33" t="str">
        <f>IFERROR(__xludf.DUMMYFUNCTION("""COMPUTED_VALUE"""),"Support")</f>
        <v>Support</v>
      </c>
      <c r="C1" s="33" t="str">
        <f>IFERROR(__xludf.DUMMYFUNCTION("""COMPUTED_VALUE"""),"Trả lời thầu ngoài")</f>
        <v>Trả lời thầu ngoài</v>
      </c>
      <c r="D1" s="33" t="str">
        <f>IFERROR(__xludf.DUMMYFUNCTION("""COMPUTED_VALUE"""),"Tư vấn")</f>
        <v>Tư vấn</v>
      </c>
      <c r="E1" s="32" t="str">
        <f>IFERROR(__xludf.DUMMYFUNCTION("""COMPUTED_VALUE"""),"2025_Bid1")</f>
        <v>2025_Bid1</v>
      </c>
      <c r="F1" s="32" t="str">
        <f>IFERROR(__xludf.DUMMYFUNCTION("""COMPUTED_VALUE"""),"2025_Bid2")</f>
        <v>2025_Bid2</v>
      </c>
      <c r="G1" s="32" t="str">
        <f>IFERROR(__xludf.DUMMYFUNCTION("""COMPUTED_VALUE"""),"2025_Bid3")</f>
        <v>2025_Bid3</v>
      </c>
      <c r="H1" s="32" t="str">
        <f>IFERROR(__xludf.DUMMYFUNCTION("""COMPUTED_VALUE"""),"2025_Bid4")</f>
        <v>2025_Bid4</v>
      </c>
      <c r="I1" s="32" t="str">
        <f>IFERROR(__xludf.DUMMYFUNCTION("""COMPUTED_VALUE"""),"2025_Bid5")</f>
        <v>2025_Bid5</v>
      </c>
      <c r="J1" s="32" t="str">
        <f>IFERROR(__xludf.DUMMYFUNCTION("""COMPUTED_VALUE"""),"2025_Bid6")</f>
        <v>2025_Bid6</v>
      </c>
      <c r="K1" s="32" t="str">
        <f>IFERROR(__xludf.DUMMYFUNCTION("""COMPUTED_VALUE"""),"2025_Bid7")</f>
        <v>2025_Bid7</v>
      </c>
      <c r="L1" s="32" t="str">
        <f>IFERROR(__xludf.DUMMYFUNCTION("""COMPUTED_VALUE"""),"2025_Bid8")</f>
        <v>2025_Bid8</v>
      </c>
      <c r="M1" s="32" t="str">
        <f>IFERROR(__xludf.DUMMYFUNCTION("""COMPUTED_VALUE"""),"2025_Bid9")</f>
        <v>2025_Bid9</v>
      </c>
      <c r="N1" s="32" t="str">
        <f>IFERROR(__xludf.DUMMYFUNCTION("""COMPUTED_VALUE"""),"2025_Bid10")</f>
        <v>2025_Bid10</v>
      </c>
      <c r="O1" s="32" t="str">
        <f>IFERROR(__xludf.DUMMYFUNCTION("""COMPUTED_VALUE"""),"2025_Bid11")</f>
        <v>2025_Bid11</v>
      </c>
      <c r="P1" s="32" t="str">
        <f>IFERROR(__xludf.DUMMYFUNCTION("""COMPUTED_VALUE"""),"2025_Bid12")</f>
        <v>2025_Bid12</v>
      </c>
      <c r="Q1" s="32" t="str">
        <f>IFERROR(__xludf.DUMMYFUNCTION("""COMPUTED_VALUE"""),"2025_Bid13")</f>
        <v>2025_Bid13</v>
      </c>
      <c r="R1" s="32" t="str">
        <f>IFERROR(__xludf.DUMMYFUNCTION("""COMPUTED_VALUE"""),"2025_Bid14")</f>
        <v>2025_Bid14</v>
      </c>
      <c r="S1" s="32" t="str">
        <f>IFERROR(__xludf.DUMMYFUNCTION("""COMPUTED_VALUE"""),"2025_Bid15")</f>
        <v>2025_Bid15</v>
      </c>
      <c r="T1" s="32" t="str">
        <f>IFERROR(__xludf.DUMMYFUNCTION("""COMPUTED_VALUE"""),"2025_Bid16")</f>
        <v>2025_Bid16</v>
      </c>
      <c r="U1" s="32" t="str">
        <f>IFERROR(__xludf.DUMMYFUNCTION("""COMPUTED_VALUE"""),"2025_Bid17")</f>
        <v>2025_Bid17</v>
      </c>
      <c r="V1" s="32" t="str">
        <f>IFERROR(__xludf.DUMMYFUNCTION("""COMPUTED_VALUE"""),"2025_Bid18")</f>
        <v>2025_Bid18</v>
      </c>
      <c r="W1" s="32" t="str">
        <f>IFERROR(__xludf.DUMMYFUNCTION("""COMPUTED_VALUE"""),"2025_Bid19")</f>
        <v>2025_Bid19</v>
      </c>
      <c r="X1" s="32" t="str">
        <f>IFERROR(__xludf.DUMMYFUNCTION("""COMPUTED_VALUE"""),"2025_Bid20")</f>
        <v>2025_Bid20</v>
      </c>
      <c r="Y1" s="32" t="str">
        <f>IFERROR(__xludf.DUMMYFUNCTION("""COMPUTED_VALUE"""),"2026_Bid1")</f>
        <v>2026_Bid1</v>
      </c>
      <c r="Z1" s="32" t="str">
        <f>IFERROR(__xludf.DUMMYFUNCTION("""COMPUTED_VALUE"""),"2026_Bid2")</f>
        <v>2026_Bid2</v>
      </c>
      <c r="AA1" s="32" t="str">
        <f>IFERROR(__xludf.DUMMYFUNCTION("""COMPUTED_VALUE"""),"2026_Bid3")</f>
        <v>2026_Bid3</v>
      </c>
      <c r="AB1" s="32" t="str">
        <f>IFERROR(__xludf.DUMMYFUNCTION("""COMPUTED_VALUE"""),"2026_Bid4")</f>
        <v>2026_Bid4</v>
      </c>
      <c r="AC1" s="32" t="str">
        <f>IFERROR(__xludf.DUMMYFUNCTION("""COMPUTED_VALUE"""),"2026_Bid5")</f>
        <v>2026_Bid5</v>
      </c>
      <c r="AD1" s="32" t="str">
        <f>IFERROR(__xludf.DUMMYFUNCTION("""COMPUTED_VALUE"""),"2026_Bid6")</f>
        <v>2026_Bid6</v>
      </c>
      <c r="AE1" s="32" t="str">
        <f>IFERROR(__xludf.DUMMYFUNCTION("""COMPUTED_VALUE"""),"2026_Bid7")</f>
        <v>2026_Bid7</v>
      </c>
      <c r="AF1" s="32" t="str">
        <f>IFERROR(__xludf.DUMMYFUNCTION("""COMPUTED_VALUE"""),"2026_Bid8")</f>
        <v>2026_Bid8</v>
      </c>
      <c r="AG1" s="32" t="str">
        <f>IFERROR(__xludf.DUMMYFUNCTION("""COMPUTED_VALUE"""),"2026_Bid9")</f>
        <v>2026_Bid9</v>
      </c>
      <c r="AH1" s="32" t="str">
        <f>IFERROR(__xludf.DUMMYFUNCTION("""COMPUTED_VALUE"""),"2026_Bid10")</f>
        <v>2026_Bid10</v>
      </c>
      <c r="AI1" s="32" t="str">
        <f>IFERROR(__xludf.DUMMYFUNCTION("""COMPUTED_VALUE"""),"2026_Bid11")</f>
        <v>2026_Bid11</v>
      </c>
      <c r="AJ1" s="32" t="str">
        <f>IFERROR(__xludf.DUMMYFUNCTION("""COMPUTED_VALUE"""),"2026_Bid12")</f>
        <v>2026_Bid12</v>
      </c>
    </row>
    <row r="2">
      <c r="A2" s="32" t="str">
        <f>IFERROR(__xludf.DUMMYFUNCTION("""COMPUTED_VALUE"""),"59.0. SecurityZone")</f>
        <v>59.0. SecurityZone</v>
      </c>
      <c r="B2" s="32" t="str">
        <f>IFERROR(__xludf.DUMMYFUNCTION("""COMPUTED_VALUE"""),"Support")</f>
        <v>Support</v>
      </c>
      <c r="C2" s="32" t="str">
        <f>IFERROR(__xludf.DUMMYFUNCTION("""COMPUTED_VALUE"""),"Thầu khác")</f>
        <v>Thầu khác</v>
      </c>
      <c r="D2" s="32" t="str">
        <f>IFERROR(__xludf.DUMMYFUNCTION("""COMPUTED_VALUE"""),"Tư vấn")</f>
        <v>Tư vấn</v>
      </c>
      <c r="E2" s="32" t="str">
        <f>IFERROR(__xludf.DUMMYFUNCTION("""COMPUTED_VALUE"""),"[2025] Dự án Thiết kế web &amp; domain")</f>
        <v>[2025] Dự án Thiết kế web &amp; domain</v>
      </c>
      <c r="F2" s="32" t="str">
        <f>IFERROR(__xludf.DUMMYFUNCTION("""COMPUTED_VALUE"""),"[2025] Dự án Travel Hạ long - Danang")</f>
        <v>[2025] Dự án Travel Hạ long - Danang</v>
      </c>
      <c r="G2" s="32" t="str">
        <f>IFERROR(__xludf.DUMMYFUNCTION("""COMPUTED_VALUE"""),"[2025] Dự án Markee")</f>
        <v>[2025] Dự án Markee</v>
      </c>
      <c r="H2" s="32" t="str">
        <f>IFERROR(__xludf.DUMMYFUNCTION("""COMPUTED_VALUE"""),"[2025] SMB")</f>
        <v>[2025] SMB</v>
      </c>
      <c r="I2" s="32" t="str">
        <f>IFERROR(__xludf.DUMMYFUNCTION("""COMPUTED_VALUE"""),"[2025] Triển khai PAM Beyontrust")</f>
        <v>[2025] Triển khai PAM Beyontrust</v>
      </c>
      <c r="J2" s="32" t="str">
        <f>IFERROR(__xludf.DUMMYFUNCTION("""COMPUTED_VALUE"""),"[2025] Triển khai log và SIEM cho Securityzone")</f>
        <v>[2025] Triển khai log và SIEM cho Securityzone</v>
      </c>
      <c r="K2" s="32" t="str">
        <f>IFERROR(__xludf.DUMMYFUNCTION("""COMPUTED_VALUE"""),"[2025] Triển khai log và SIEM cho Securityzone (Thiện)")</f>
        <v>[2025] Triển khai log và SIEM cho Securityzone (Thiện)</v>
      </c>
      <c r="L2" s="32" t="str">
        <f>IFERROR(__xludf.DUMMYFUNCTION("""COMPUTED_VALUE"""),"[2025] Viettopme")</f>
        <v>[2025] Viettopme</v>
      </c>
      <c r="M2" s="32" t="str">
        <f>IFERROR(__xludf.DUMMYFUNCTION("""COMPUTED_VALUE"""),"[2025] Dự án Getcloudgate")</f>
        <v>[2025] Dự án Getcloudgate</v>
      </c>
      <c r="N2" s="32" t="str">
        <f>IFERROR(__xludf.DUMMYFUNCTION("""COMPUTED_VALUE"""),"[2025] Dự án Villas Đà Nẵng")</f>
        <v>[2025] Dự án Villas Đà Nẵng</v>
      </c>
      <c r="O2" s="32" t="str">
        <f>IFERROR(__xludf.DUMMYFUNCTION("""COMPUTED_VALUE"""),"[2025] Dự án Hichat")</f>
        <v>[2025] Dự án Hichat</v>
      </c>
      <c r="P2" s="32" t="str">
        <f>IFERROR(__xludf.DUMMYFUNCTION("""COMPUTED_VALUE"""),"[2025] Hệ thống Demo CDP và Camera AI")</f>
        <v>[2025] Hệ thống Demo CDP và Camera AI</v>
      </c>
      <c r="Q2" s="32"/>
      <c r="R2" s="32"/>
      <c r="S2" s="32"/>
      <c r="T2" s="32"/>
      <c r="U2" s="32"/>
      <c r="V2" s="32"/>
      <c r="W2" s="32"/>
      <c r="X2" s="32"/>
      <c r="Y2" s="32" t="str">
        <f>IFERROR(__xludf.DUMMYFUNCTION("""COMPUTED_VALUE"""),"[2026] Dự án Go Đà Nẵng")</f>
        <v>[2026] Dự án Go Đà Nẵng</v>
      </c>
      <c r="Z2" s="32" t="str">
        <f>IFERROR(__xludf.DUMMYFUNCTION("""COMPUTED_VALUE"""),"[2026] FlowAI")</f>
        <v>[2026] FlowAI</v>
      </c>
      <c r="AA2" s="32" t="str">
        <f>IFERROR(__xludf.DUMMYFUNCTION("""COMPUTED_VALUE"""),"[2026] MarkeeChat")</f>
        <v>[2026] MarkeeChat</v>
      </c>
      <c r="AB2" s="32" t="str">
        <f>IFERROR(__xludf.DUMMYFUNCTION("""COMPUTED_VALUE"""),"[2026] Xây dựng hệ thống AI localteam  - MỚI (Interns)")</f>
        <v>[2026] Xây dựng hệ thống AI localteam  - MỚI (Interns)</v>
      </c>
      <c r="AC2" s="32" t="str">
        <f>IFERROR(__xludf.DUMMYFUNCTION("""COMPUTED_VALUE"""),"[2026] Chạy ADS Markee")</f>
        <v>[2026] Chạy ADS Markee</v>
      </c>
      <c r="AD2" s="32" t="str">
        <f>IFERROR(__xludf.DUMMYFUNCTION("""COMPUTED_VALUE"""),"[2026] MARKEE_TRUYỀN THÔNG")</f>
        <v>[2026] MARKEE_TRUYỀN THÔNG</v>
      </c>
      <c r="AE2" s="32" t="str">
        <f>IFERROR(__xludf.DUMMYFUNCTION("""COMPUTED_VALUE"""),"[2026] MARKEE_PRODUCT")</f>
        <v>[2026] MARKEE_PRODUCT</v>
      </c>
      <c r="AF2" s="32" t="str">
        <f>IFERROR(__xludf.DUMMYFUNCTION("""COMPUTED_VALUE"""),"[2026] Task chưa có Project Plan")</f>
        <v>[2026] Task chưa có Project Plan</v>
      </c>
      <c r="AG2" s="32" t="str">
        <f>IFERROR(__xludf.DUMMYFUNCTION("""COMPUTED_VALUE"""),"[2026] Website StarTech")</f>
        <v>[2026] Website StarTech</v>
      </c>
      <c r="AH2" s="32" t="str">
        <f>IFERROR(__xludf.DUMMYFUNCTION("""COMPUTED_VALUE"""),"[2026] Xây dựng hệ thống AI localteam (MỚI)")</f>
        <v>[2026] Xây dựng hệ thống AI localteam (MỚI)</v>
      </c>
      <c r="AI2" s="32" t="str">
        <f>IFERROR(__xludf.DUMMYFUNCTION("""COMPUTED_VALUE"""),"[2026] Seeding")</f>
        <v>[2026] Seeding</v>
      </c>
      <c r="AJ2" s="32"/>
    </row>
    <row r="3">
      <c r="A3" s="32" t="str">
        <f>IFERROR(__xludf.DUMMYFUNCTION("""COMPUTED_VALUE"""),"92.0. Hội An-sport ")</f>
        <v>92.0. Hội An-sport </v>
      </c>
      <c r="B3" s="32" t="str">
        <f>IFERROR(__xludf.DUMMYFUNCTION("""COMPUTED_VALUE"""),"Support")</f>
        <v>Support</v>
      </c>
      <c r="C3" s="32" t="str">
        <f>IFERROR(__xludf.DUMMYFUNCTION("""COMPUTED_VALUE"""),"Thầu khác")</f>
        <v>Thầu khác</v>
      </c>
      <c r="D3" s="32" t="str">
        <f>IFERROR(__xludf.DUMMYFUNCTION("""COMPUTED_VALUE"""),"Tư vấn")</f>
        <v>Tư vấn</v>
      </c>
      <c r="E3" s="32" t="str">
        <f>IFERROR(__xludf.DUMMYFUNCTION("""COMPUTED_VALUE"""),"[2025] Dự án Paragliding")</f>
        <v>[2025] Dự án Paragliding</v>
      </c>
      <c r="F3" s="32" t="str">
        <f>IFERROR(__xludf.DUMMYFUNCTION("""COMPUTED_VALUE"""),"[2025] TESTING DỰ ÁN MỚI")</f>
        <v>[2025] TESTING DỰ ÁN MỚI</v>
      </c>
      <c r="G3" s="32"/>
      <c r="H3" s="32"/>
      <c r="I3" s="32"/>
      <c r="J3" s="32"/>
      <c r="K3" s="32"/>
      <c r="L3" s="32"/>
      <c r="M3" s="32"/>
      <c r="N3" s="32"/>
      <c r="O3" s="32"/>
      <c r="P3" s="32"/>
      <c r="Q3" s="32"/>
      <c r="R3" s="32"/>
      <c r="S3" s="32"/>
      <c r="T3" s="32"/>
      <c r="U3" s="32"/>
      <c r="V3" s="32"/>
      <c r="W3" s="32"/>
      <c r="X3" s="32"/>
      <c r="Y3" s="32"/>
      <c r="Z3" s="32"/>
      <c r="AA3" s="32"/>
      <c r="AB3" s="32"/>
      <c r="AC3" s="32"/>
      <c r="AD3" s="32"/>
      <c r="AE3" s="32"/>
      <c r="AF3" s="32"/>
      <c r="AG3" s="32"/>
      <c r="AH3" s="32"/>
      <c r="AI3" s="32"/>
      <c r="AJ3" s="32"/>
    </row>
    <row r="4">
      <c r="A4" s="32" t="str">
        <f>IFERROR(__xludf.DUMMYFUNCTION("""COMPUTED_VALUE"""),"52.0. SG-eLearning")</f>
        <v>52.0. SG-eLearning</v>
      </c>
      <c r="B4" s="32" t="str">
        <f>IFERROR(__xludf.DUMMYFUNCTION("""COMPUTED_VALUE"""),"Support")</f>
        <v>Support</v>
      </c>
      <c r="C4" s="32" t="str">
        <f>IFERROR(__xludf.DUMMYFUNCTION("""COMPUTED_VALUE"""),"Thầu khác")</f>
        <v>Thầu khác</v>
      </c>
      <c r="D4" s="32" t="str">
        <f>IFERROR(__xludf.DUMMYFUNCTION("""COMPUTED_VALUE"""),"Tư vấn")</f>
        <v>Tư vấn</v>
      </c>
      <c r="E4" s="32" t="str">
        <f>IFERROR(__xludf.DUMMYFUNCTION("""COMPUTED_VALUE"""),"[2025] Dự án Khoahoconline")</f>
        <v>[2025] Dự án Khoahoconline</v>
      </c>
      <c r="F4" s="32"/>
      <c r="G4" s="32"/>
      <c r="H4" s="32"/>
      <c r="I4" s="32"/>
      <c r="J4" s="32"/>
      <c r="K4" s="32"/>
      <c r="L4" s="32"/>
      <c r="M4" s="32"/>
      <c r="N4" s="32"/>
      <c r="O4" s="32"/>
      <c r="P4" s="32"/>
      <c r="Q4" s="32"/>
      <c r="R4" s="32"/>
      <c r="S4" s="32"/>
      <c r="T4" s="32"/>
      <c r="U4" s="32"/>
      <c r="V4" s="32"/>
      <c r="W4" s="32"/>
      <c r="X4" s="32"/>
      <c r="Y4" s="32"/>
      <c r="Z4" s="32"/>
      <c r="AA4" s="32"/>
      <c r="AB4" s="32"/>
      <c r="AC4" s="32"/>
      <c r="AD4" s="32"/>
      <c r="AE4" s="32"/>
      <c r="AF4" s="32"/>
      <c r="AG4" s="32"/>
      <c r="AH4" s="32"/>
      <c r="AI4" s="32"/>
      <c r="AJ4" s="32"/>
    </row>
    <row r="5">
      <c r="A5" s="32" t="str">
        <f>IFERROR(__xludf.DUMMYFUNCTION("""COMPUTED_VALUE"""),"59.0. POPTECH")</f>
        <v>59.0. POPTECH</v>
      </c>
      <c r="B5" s="32" t="str">
        <f>IFERROR(__xludf.DUMMYFUNCTION("""COMPUTED_VALUE"""),"Support")</f>
        <v>Support</v>
      </c>
      <c r="C5" s="32" t="str">
        <f>IFERROR(__xludf.DUMMYFUNCTION("""COMPUTED_VALUE"""),"Localteam")</f>
        <v>Localteam</v>
      </c>
      <c r="D5" s="32" t="str">
        <f>IFERROR(__xludf.DUMMYFUNCTION("""COMPUTED_VALUE"""),"Tư vấn")</f>
        <v>Tư vấn</v>
      </c>
      <c r="E5" s="32" t="str">
        <f>IFERROR(__xludf.DUMMYFUNCTION("""COMPUTED_VALUE"""),"[2025] Dự án Omnichannel")</f>
        <v>[2025] Dự án Omnichannel</v>
      </c>
      <c r="F5" s="32" t="str">
        <f>IFERROR(__xludf.DUMMYFUNCTION("""COMPUTED_VALUE"""),"[2025] Build Securityzone")</f>
        <v>[2025] Build Securityzone</v>
      </c>
      <c r="G5" s="32" t="str">
        <f>IFERROR(__xludf.DUMMYFUNCTION("""COMPUTED_VALUE"""),"[2025] Dự án Hosting, N8N &amp; auto SEO")</f>
        <v>[2025] Dự án Hosting, N8N &amp; auto SEO</v>
      </c>
      <c r="H5" s="32" t="str">
        <f>IFERROR(__xludf.DUMMYFUNCTION("""COMPUTED_VALUE"""),"[2025] Dự án Khoahoc &amp; đào tạo")</f>
        <v>[2025] Dự án Khoahoc &amp; đào tạo</v>
      </c>
      <c r="I5" s="32" t="str">
        <f>IFERROR(__xludf.DUMMYFUNCTION("""COMPUTED_VALUE"""),"[2025] Hệ thống PM, KPI và Chi phí")</f>
        <v>[2025] Hệ thống PM, KPI và Chi phí</v>
      </c>
      <c r="J5" s="32" t="str">
        <f>IFERROR(__xludf.DUMMYFUNCTION("""COMPUTED_VALUE"""),"[2025] Trang thiết bị và quản lý văn phòng Đà Nẵng")</f>
        <v>[2025] Trang thiết bị và quản lý văn phòng Đà Nẵng</v>
      </c>
      <c r="K5" s="32"/>
      <c r="L5" s="32"/>
      <c r="M5" s="32"/>
      <c r="N5" s="32"/>
      <c r="O5" s="32"/>
      <c r="P5" s="32"/>
      <c r="Q5" s="32"/>
      <c r="R5" s="32"/>
      <c r="S5" s="32"/>
      <c r="T5" s="32"/>
      <c r="U5" s="32"/>
      <c r="V5" s="32"/>
      <c r="W5" s="32"/>
      <c r="X5" s="32"/>
      <c r="Y5" s="32" t="str">
        <f>IFERROR(__xludf.DUMMYFUNCTION("""COMPUTED_VALUE"""),"[2026] Xây dựng hệ thống AI localteam")</f>
        <v>[2026] Xây dựng hệ thống AI localteam</v>
      </c>
      <c r="Z5" s="32" t="str">
        <f>IFERROR(__xludf.DUMMYFUNCTION("""COMPUTED_VALUE"""),"[2026] Hệ thống PM, KPI và Chi phí")</f>
        <v>[2026] Hệ thống PM, KPI và Chi phí</v>
      </c>
      <c r="AA5" s="32"/>
      <c r="AB5" s="32"/>
      <c r="AC5" s="32"/>
      <c r="AD5" s="32"/>
      <c r="AE5" s="32"/>
      <c r="AF5" s="32"/>
      <c r="AG5" s="32"/>
      <c r="AH5" s="32"/>
      <c r="AI5" s="32"/>
      <c r="AJ5" s="32"/>
    </row>
    <row r="6">
      <c r="A6" s="32" t="str">
        <f>IFERROR(__xludf.DUMMYFUNCTION("""COMPUTED_VALUE"""),"59.35. TrungNguyen")</f>
        <v>59.35. TrungNguyen</v>
      </c>
      <c r="B6" s="32" t="str">
        <f>IFERROR(__xludf.DUMMYFUNCTION("""COMPUTED_VALUE"""),"Support")</f>
        <v>Support</v>
      </c>
      <c r="C6" s="32" t="str">
        <f>IFERROR(__xludf.DUMMYFUNCTION("""COMPUTED_VALUE"""),"Thầu khác")</f>
        <v>Thầu khác</v>
      </c>
      <c r="D6" s="32" t="str">
        <f>IFERROR(__xludf.DUMMYFUNCTION("""COMPUTED_VALUE"""),"Tư vấn")</f>
        <v>Tư vấn</v>
      </c>
      <c r="E6" s="32" t="str">
        <f>IFERROR(__xludf.DUMMYFUNCTION("""COMPUTED_VALUE"""),"[2025] Cafe Trung Nguyên")</f>
        <v>[2025] Cafe Trung Nguyên</v>
      </c>
      <c r="F6" s="32"/>
      <c r="G6" s="32"/>
      <c r="H6" s="32"/>
      <c r="I6" s="32"/>
      <c r="J6" s="32"/>
      <c r="K6" s="32"/>
      <c r="L6" s="32"/>
      <c r="M6" s="32"/>
      <c r="N6" s="32"/>
      <c r="O6" s="32"/>
      <c r="P6" s="32"/>
      <c r="Q6" s="32"/>
      <c r="R6" s="32"/>
      <c r="S6" s="32"/>
      <c r="T6" s="32"/>
      <c r="U6" s="32"/>
      <c r="V6" s="32"/>
      <c r="W6" s="32"/>
      <c r="X6" s="32"/>
      <c r="Y6" s="32"/>
      <c r="Z6" s="32"/>
      <c r="AA6" s="32"/>
      <c r="AB6" s="32"/>
      <c r="AC6" s="32"/>
      <c r="AD6" s="32"/>
      <c r="AE6" s="32"/>
      <c r="AF6" s="32"/>
      <c r="AG6" s="32"/>
      <c r="AH6" s="32"/>
      <c r="AI6" s="32"/>
      <c r="AJ6" s="32"/>
    </row>
    <row r="7">
      <c r="A7" s="32" t="str">
        <f>IFERROR(__xludf.DUMMYFUNCTION("""COMPUTED_VALUE"""),"43.1. CPCIT")</f>
        <v>43.1. CPCIT</v>
      </c>
      <c r="B7" s="32" t="str">
        <f>IFERROR(__xludf.DUMMYFUNCTION("""COMPUTED_VALUE"""),"Support")</f>
        <v>Support</v>
      </c>
      <c r="C7" s="32" t="str">
        <f>IFERROR(__xludf.DUMMYFUNCTION("""COMPUTED_VALUE"""),"Thầu khác")</f>
        <v>Thầu khác</v>
      </c>
      <c r="D7" s="32" t="str">
        <f>IFERROR(__xludf.DUMMYFUNCTION("""COMPUTED_VALUE"""),"Tư vấn")</f>
        <v>Tư vấn</v>
      </c>
      <c r="E7" s="32" t="str">
        <f>IFERROR(__xludf.DUMMYFUNCTION("""COMPUTED_VALUE"""),"[2025] CMIS DC")</f>
        <v>[2025] CMIS DC</v>
      </c>
      <c r="F7" s="32" t="str">
        <f>IFERROR(__xludf.DUMMYFUNCTION("""COMPUTED_VALUE"""),"[2025] BACKUP GD1")</f>
        <v>[2025] BACKUP GD1</v>
      </c>
      <c r="G7" s="32" t="str">
        <f>IFERROR(__xludf.DUMMYFUNCTION("""COMPUTED_VALUE"""),"[2025] LUUTRU GD1")</f>
        <v>[2025] LUUTRU GD1</v>
      </c>
      <c r="H7" s="32" t="str">
        <f>IFERROR(__xludf.DUMMYFUNCTION("""COMPUTED_VALUE"""),"[2025] Nâng cao an toàn cho ứng dụng Mobile")</f>
        <v>[2025] Nâng cao an toàn cho ứng dụng Mobile</v>
      </c>
      <c r="I7" s="32" t="str">
        <f>IFERROR(__xludf.DUMMYFUNCTION("""COMPUTED_VALUE"""),"[2025] CMIS DR")</f>
        <v>[2025] CMIS DR</v>
      </c>
      <c r="J7" s="32" t="str">
        <f>IFERROR(__xludf.DUMMYFUNCTION("""COMPUTED_VALUE"""),"[2026] BS TaiNguyen TTDL")</f>
        <v>[2026] BS TaiNguyen TTDL</v>
      </c>
      <c r="K7" s="32"/>
      <c r="L7" s="32"/>
      <c r="M7" s="32"/>
      <c r="N7" s="32"/>
      <c r="O7" s="32"/>
      <c r="P7" s="32"/>
      <c r="Q7" s="32"/>
      <c r="R7" s="32"/>
      <c r="S7" s="32"/>
      <c r="T7" s="32"/>
      <c r="U7" s="32"/>
      <c r="V7" s="32"/>
      <c r="W7" s="32"/>
      <c r="X7" s="32"/>
      <c r="Y7" s="32" t="str">
        <f>IFERROR(__xludf.DUMMYFUNCTION("""COMPUTED_VALUE"""),"[2026] BS TaiNguyen TTDL")</f>
        <v>[2026] BS TaiNguyen TTDL</v>
      </c>
      <c r="Z7" s="32"/>
      <c r="AA7" s="32"/>
      <c r="AB7" s="32"/>
      <c r="AC7" s="32"/>
      <c r="AD7" s="32"/>
      <c r="AE7" s="32"/>
      <c r="AF7" s="32"/>
      <c r="AG7" s="32"/>
      <c r="AH7" s="32"/>
      <c r="AI7" s="32"/>
      <c r="AJ7" s="32"/>
    </row>
    <row r="8">
      <c r="A8" s="32" t="str">
        <f>IFERROR(__xludf.DUMMYFUNCTION("""COMPUTED_VALUE"""),"43.1. CG")</f>
        <v>43.1. CG</v>
      </c>
      <c r="B8" s="32" t="str">
        <f>IFERROR(__xludf.DUMMYFUNCTION("""COMPUTED_VALUE"""),"Support")</f>
        <v>Support</v>
      </c>
      <c r="C8" s="32" t="str">
        <f>IFERROR(__xludf.DUMMYFUNCTION("""COMPUTED_VALUE"""),"Thầu khác")</f>
        <v>Thầu khác</v>
      </c>
      <c r="D8" s="32" t="str">
        <f>IFERROR(__xludf.DUMMYFUNCTION("""COMPUTED_VALUE"""),"Tư vấn")</f>
        <v>Tư vấn</v>
      </c>
      <c r="E8" s="32" t="str">
        <f>IFERROR(__xludf.DUMMYFUNCTION("""COMPUTED_VALUE"""),"[2025] Marketing Automation")</f>
        <v>[2025] Marketing Automation</v>
      </c>
      <c r="F8" s="32"/>
      <c r="G8" s="32"/>
      <c r="H8" s="32"/>
      <c r="I8" s="32"/>
      <c r="J8" s="32"/>
      <c r="K8" s="32"/>
      <c r="L8" s="32"/>
      <c r="M8" s="32"/>
      <c r="N8" s="32"/>
      <c r="O8" s="32"/>
      <c r="P8" s="32"/>
      <c r="Q8" s="32"/>
      <c r="R8" s="32"/>
      <c r="S8" s="32"/>
      <c r="T8" s="32"/>
      <c r="U8" s="32"/>
      <c r="V8" s="32"/>
      <c r="W8" s="32"/>
      <c r="X8" s="32"/>
      <c r="Y8" s="32"/>
      <c r="Z8" s="32"/>
      <c r="AA8" s="32"/>
      <c r="AB8" s="32"/>
      <c r="AC8" s="32"/>
      <c r="AD8" s="32"/>
      <c r="AE8" s="32"/>
      <c r="AF8" s="32"/>
      <c r="AG8" s="32"/>
      <c r="AH8" s="32"/>
      <c r="AI8" s="32"/>
      <c r="AJ8" s="32"/>
    </row>
    <row r="9">
      <c r="A9" s="32" t="str">
        <f>IFERROR(__xludf.DUMMYFUNCTION("""COMPUTED_VALUE"""),"47.0 Nông Sản Việt")</f>
        <v>47.0 Nông Sản Việt</v>
      </c>
      <c r="B9" s="32" t="str">
        <f>IFERROR(__xludf.DUMMYFUNCTION("""COMPUTED_VALUE"""),"Support")</f>
        <v>Support</v>
      </c>
      <c r="C9" s="32" t="str">
        <f>IFERROR(__xludf.DUMMYFUNCTION("""COMPUTED_VALUE"""),"Thầu khác")</f>
        <v>Thầu khác</v>
      </c>
      <c r="D9" s="32" t="str">
        <f>IFERROR(__xludf.DUMMYFUNCTION("""COMPUTED_VALUE"""),"Tư vấn")</f>
        <v>Tư vấn</v>
      </c>
      <c r="E9" s="32" t="str">
        <f>IFERROR(__xludf.DUMMYFUNCTION("""COMPUTED_VALUE"""),"[2025] Dự án Nông sản Việt")</f>
        <v>[2025] Dự án Nông sản Việt</v>
      </c>
      <c r="F9" s="32"/>
      <c r="G9" s="32"/>
      <c r="H9" s="32"/>
      <c r="I9" s="32"/>
      <c r="J9" s="32"/>
      <c r="K9" s="32"/>
      <c r="L9" s="32"/>
      <c r="M9" s="32"/>
      <c r="N9" s="32"/>
      <c r="O9" s="32"/>
      <c r="P9" s="32"/>
      <c r="Q9" s="32"/>
      <c r="R9" s="32"/>
      <c r="S9" s="32"/>
      <c r="T9" s="32"/>
      <c r="U9" s="32"/>
      <c r="V9" s="32"/>
      <c r="W9" s="32"/>
      <c r="X9" s="32"/>
      <c r="Y9" s="32"/>
      <c r="Z9" s="32"/>
      <c r="AA9" s="32"/>
      <c r="AB9" s="32"/>
      <c r="AC9" s="32"/>
      <c r="AD9" s="32"/>
      <c r="AE9" s="32"/>
      <c r="AF9" s="32"/>
      <c r="AG9" s="32"/>
      <c r="AH9" s="32"/>
      <c r="AI9" s="32"/>
      <c r="AJ9" s="32"/>
    </row>
    <row r="10">
      <c r="A10" s="32" t="str">
        <f>IFERROR(__xludf.DUMMYFUNCTION("""COMPUTED_VALUE"""),"43.2. PCDaNang")</f>
        <v>43.2. PCDaNang</v>
      </c>
      <c r="B10" s="32" t="str">
        <f>IFERROR(__xludf.DUMMYFUNCTION("""COMPUTED_VALUE"""),"Support")</f>
        <v>Support</v>
      </c>
      <c r="C10" s="32" t="str">
        <f>IFERROR(__xludf.DUMMYFUNCTION("""COMPUTED_VALUE"""),"Thầu khác")</f>
        <v>Thầu khác</v>
      </c>
      <c r="D10" s="32" t="str">
        <f>IFERROR(__xludf.DUMMYFUNCTION("""COMPUTED_VALUE"""),"Tư vấn")</f>
        <v>Tư vấn</v>
      </c>
      <c r="E10" s="32" t="str">
        <f>IFERROR(__xludf.DUMMYFUNCTION("""COMPUTED_VALUE"""),"[2025] Gói thầu số 111: Mua sắm vật tư thiết bị và phần mềm hoàn thiện hệ thống tường lửa mạng OT")</f>
        <v>[2025] Gói thầu số 111: Mua sắm vật tư thiết bị và phần mềm hoàn thiện hệ thống tường lửa mạng OT</v>
      </c>
      <c r="F10" s="32"/>
      <c r="G10" s="32"/>
      <c r="H10" s="32"/>
      <c r="I10" s="32"/>
      <c r="J10" s="32"/>
      <c r="K10" s="32"/>
      <c r="L10" s="32"/>
      <c r="M10" s="32"/>
      <c r="N10" s="32"/>
      <c r="O10" s="32"/>
      <c r="P10" s="32"/>
      <c r="Q10" s="32"/>
      <c r="R10" s="32"/>
      <c r="S10" s="32"/>
      <c r="T10" s="32"/>
      <c r="U10" s="32"/>
      <c r="V10" s="32"/>
      <c r="W10" s="32"/>
      <c r="X10" s="32"/>
      <c r="Y10" s="32"/>
      <c r="Z10" s="32"/>
      <c r="AA10" s="32"/>
      <c r="AB10" s="32"/>
      <c r="AC10" s="32"/>
      <c r="AD10" s="32"/>
      <c r="AE10" s="32"/>
      <c r="AF10" s="32"/>
      <c r="AG10" s="32"/>
      <c r="AH10" s="32"/>
      <c r="AI10" s="32"/>
      <c r="AJ10" s="32"/>
    </row>
    <row r="11">
      <c r="A11" s="32" t="str">
        <f>IFERROR(__xludf.DUMMYFUNCTION("""COMPUTED_VALUE"""),"59.0. POPTECH_Private")</f>
        <v>59.0. POPTECH_Private</v>
      </c>
      <c r="B11" s="32"/>
      <c r="C11" s="32"/>
      <c r="D11" s="32"/>
      <c r="E11" s="32" t="str">
        <f>IFERROR(__xludf.DUMMYFUNCTION("""COMPUTED_VALUE"""),"[2025] Plan công việc của Long Vũ")</f>
        <v>[2025] Plan công việc của Long Vũ</v>
      </c>
      <c r="F11" s="32" t="str">
        <f>IFERROR(__xludf.DUMMYFUNCTION("""COMPUTED_VALUE"""),"[2025] Plan công việc của Minh Khôi")</f>
        <v>[2025] Plan công việc của Minh Khôi</v>
      </c>
      <c r="G11" s="32"/>
      <c r="H11" s="32"/>
      <c r="I11" s="32"/>
      <c r="J11" s="32"/>
      <c r="K11" s="32"/>
      <c r="L11" s="32"/>
      <c r="M11" s="32"/>
      <c r="N11" s="32"/>
      <c r="O11" s="32"/>
      <c r="P11" s="32"/>
      <c r="Q11" s="32"/>
      <c r="R11" s="32"/>
      <c r="S11" s="32"/>
      <c r="T11" s="32"/>
      <c r="U11" s="32"/>
      <c r="V11" s="32"/>
      <c r="W11" s="32"/>
      <c r="X11" s="32"/>
      <c r="Y11" s="32"/>
      <c r="Z11" s="32"/>
      <c r="AA11" s="32"/>
      <c r="AB11" s="32"/>
      <c r="AC11" s="32"/>
      <c r="AD11" s="32"/>
      <c r="AE11" s="32"/>
      <c r="AF11" s="32"/>
      <c r="AG11" s="32"/>
      <c r="AH11" s="32"/>
      <c r="AI11" s="32"/>
      <c r="AJ11" s="32"/>
    </row>
    <row r="12">
      <c r="A12" s="32" t="str">
        <f>IFERROR(__xludf.DUMMYFUNCTION("""COMPUTED_VALUE"""),"59.38. CaoSon")</f>
        <v>59.38. CaoSon</v>
      </c>
      <c r="B12" s="32" t="str">
        <f>IFERROR(__xludf.DUMMYFUNCTION("""COMPUTED_VALUE"""),"Support")</f>
        <v>Support</v>
      </c>
      <c r="C12" s="32" t="str">
        <f>IFERROR(__xludf.DUMMYFUNCTION("""COMPUTED_VALUE"""),"Thầu khác")</f>
        <v>Thầu khác</v>
      </c>
      <c r="D12" s="32" t="str">
        <f>IFERROR(__xludf.DUMMYFUNCTION("""COMPUTED_VALUE"""),"Tư vấn")</f>
        <v>Tư vấn</v>
      </c>
      <c r="E12" s="32"/>
      <c r="F12" s="32"/>
      <c r="G12" s="32"/>
      <c r="H12" s="32"/>
      <c r="I12" s="32"/>
      <c r="J12" s="32"/>
      <c r="K12" s="32"/>
      <c r="L12" s="32"/>
      <c r="M12" s="32"/>
      <c r="N12" s="32"/>
      <c r="O12" s="32"/>
      <c r="P12" s="32"/>
      <c r="Q12" s="32"/>
      <c r="R12" s="32"/>
      <c r="S12" s="32"/>
      <c r="T12" s="32"/>
      <c r="U12" s="32"/>
      <c r="V12" s="32"/>
      <c r="W12" s="32"/>
      <c r="X12" s="32"/>
      <c r="Y12" s="32" t="str">
        <f>IFERROR(__xludf.DUMMYFUNCTION("""COMPUTED_VALUE"""),"[2026] VLCN Cao Sơn")</f>
        <v>[2026] VLCN Cao Sơn</v>
      </c>
      <c r="Z12" s="32"/>
      <c r="AA12" s="32"/>
      <c r="AB12" s="32"/>
      <c r="AC12" s="32"/>
      <c r="AD12" s="32"/>
      <c r="AE12" s="32"/>
      <c r="AF12" s="32"/>
      <c r="AG12" s="32"/>
      <c r="AH12" s="32"/>
      <c r="AI12" s="32"/>
      <c r="AJ12" s="32"/>
    </row>
    <row r="13">
      <c r="A13" s="32" t="str">
        <f>IFERROR(__xludf.DUMMYFUNCTION("""COMPUTED_VALUE"""),"74. PCQuangTri")</f>
        <v>74. PCQuangTri</v>
      </c>
      <c r="B13" s="32" t="str">
        <f>IFERROR(__xludf.DUMMYFUNCTION("""COMPUTED_VALUE"""),"Support")</f>
        <v>Support</v>
      </c>
      <c r="C13" s="32" t="str">
        <f>IFERROR(__xludf.DUMMYFUNCTION("""COMPUTED_VALUE"""),"Thầu khác")</f>
        <v>Thầu khác</v>
      </c>
      <c r="D13" s="32" t="str">
        <f>IFERROR(__xludf.DUMMYFUNCTION("""COMPUTED_VALUE"""),"Tư vấn")</f>
        <v>Tư vấn</v>
      </c>
      <c r="E13" s="32"/>
      <c r="F13" s="32"/>
      <c r="G13" s="32"/>
      <c r="H13" s="32"/>
      <c r="I13" s="32"/>
      <c r="J13" s="32"/>
      <c r="K13" s="32"/>
      <c r="L13" s="32"/>
      <c r="M13" s="32"/>
      <c r="N13" s="32"/>
      <c r="O13" s="32"/>
      <c r="P13" s="32"/>
      <c r="Q13" s="32"/>
      <c r="R13" s="32"/>
      <c r="S13" s="32"/>
      <c r="T13" s="32"/>
      <c r="U13" s="32"/>
      <c r="V13" s="32"/>
      <c r="W13" s="32"/>
      <c r="X13" s="32"/>
      <c r="Y13" s="32" t="str">
        <f>IFERROR(__xludf.DUMMYFUNCTION("""COMPUTED_VALUE"""),"[2026] Gói thầu số 19: Mua sắm bản quyền thiết bị và phần mềm")</f>
        <v>[2026] Gói thầu số 19: Mua sắm bản quyền thiết bị và phần mềm</v>
      </c>
      <c r="Z13" s="32"/>
      <c r="AA13" s="32"/>
      <c r="AB13" s="32"/>
      <c r="AC13" s="32"/>
      <c r="AD13" s="32"/>
      <c r="AE13" s="32"/>
      <c r="AF13" s="32"/>
      <c r="AG13" s="32"/>
      <c r="AH13" s="32"/>
      <c r="AI13" s="32"/>
      <c r="AJ13" s="32"/>
    </row>
    <row r="14">
      <c r="A14" s="32" t="str">
        <f>IFERROR(__xludf.DUMMYFUNCTION("""COMPUTED_VALUE"""),"59.1. SPCCC")</f>
        <v>59.1. SPCCC</v>
      </c>
      <c r="B14" s="32" t="str">
        <f>IFERROR(__xludf.DUMMYFUNCTION("""COMPUTED_VALUE"""),"Support")</f>
        <v>Support</v>
      </c>
      <c r="C14" s="32" t="str">
        <f>IFERROR(__xludf.DUMMYFUNCTION("""COMPUTED_VALUE"""),"Thầu khác")</f>
        <v>Thầu khác</v>
      </c>
      <c r="D14" s="32" t="str">
        <f>IFERROR(__xludf.DUMMYFUNCTION("""COMPUTED_VALUE"""),"Tư vấn")</f>
        <v>Tư vấn</v>
      </c>
      <c r="E14" s="32"/>
      <c r="F14" s="32"/>
      <c r="G14" s="32"/>
      <c r="H14" s="32"/>
      <c r="I14" s="32"/>
      <c r="J14" s="32"/>
      <c r="K14" s="32"/>
      <c r="L14" s="32"/>
      <c r="M14" s="32"/>
      <c r="N14" s="32"/>
      <c r="O14" s="32"/>
      <c r="P14" s="32"/>
      <c r="Q14" s="32"/>
      <c r="R14" s="32"/>
      <c r="S14" s="32"/>
      <c r="T14" s="32"/>
      <c r="U14" s="32"/>
      <c r="V14" s="32"/>
      <c r="W14" s="32"/>
      <c r="X14" s="32"/>
      <c r="Y14" s="32" t="str">
        <f>IFERROR(__xludf.DUMMYFUNCTION("""COMPUTED_VALUE"""),"[2026] Cung cấp dịch vụ gia hạn Subscription và hỗ trợ kỹ thuật cho Tường lửa Checkpoint 6900")</f>
        <v>[2026] Cung cấp dịch vụ gia hạn Subscription và hỗ trợ kỹ thuật cho Tường lửa Checkpoint 6900</v>
      </c>
      <c r="Z14" s="32"/>
      <c r="AA14" s="32"/>
      <c r="AB14" s="32"/>
      <c r="AC14" s="32"/>
      <c r="AD14" s="32"/>
      <c r="AE14" s="32"/>
      <c r="AF14" s="32"/>
      <c r="AG14" s="32"/>
      <c r="AH14" s="32"/>
      <c r="AI14" s="32"/>
      <c r="AJ14" s="32"/>
    </row>
    <row r="15">
      <c r="A15" s="32" t="str">
        <f>IFERROR(__xludf.DUMMYFUNCTION("""COMPUTED_VALUE"""),"59.3 DenFood")</f>
        <v>59.3 DenFood</v>
      </c>
      <c r="B15" s="32"/>
      <c r="C15" s="32"/>
      <c r="D15" s="32"/>
      <c r="E15" s="32"/>
      <c r="F15" s="32"/>
      <c r="G15" s="32"/>
      <c r="H15" s="32"/>
      <c r="I15" s="32"/>
      <c r="J15" s="32"/>
      <c r="K15" s="32"/>
      <c r="L15" s="32"/>
      <c r="M15" s="32"/>
      <c r="N15" s="32"/>
      <c r="O15" s="32"/>
      <c r="P15" s="32"/>
      <c r="Q15" s="32"/>
      <c r="R15" s="32"/>
      <c r="S15" s="32"/>
      <c r="T15" s="32"/>
      <c r="U15" s="32"/>
      <c r="V15" s="32"/>
      <c r="W15" s="32"/>
      <c r="X15" s="32"/>
      <c r="Y15" s="32" t="str">
        <f>IFERROR(__xludf.DUMMYFUNCTION("""COMPUTED_VALUE"""),"[2026] Website Denfood")</f>
        <v>[2026] Website Denfood</v>
      </c>
      <c r="Z15" s="32"/>
      <c r="AA15" s="32"/>
      <c r="AB15" s="32"/>
      <c r="AC15" s="32"/>
      <c r="AD15" s="32"/>
      <c r="AE15" s="32"/>
      <c r="AF15" s="32"/>
      <c r="AG15" s="32"/>
      <c r="AH15" s="32"/>
      <c r="AI15" s="32"/>
      <c r="AJ15" s="32"/>
    </row>
    <row r="16">
      <c r="A16" s="32" t="str">
        <f>IFERROR(__xludf.DUMMYFUNCTION("""COMPUTED_VALUE"""),"43.3 Villa ĐN")</f>
        <v>43.3 Villa ĐN</v>
      </c>
      <c r="B16" s="32"/>
      <c r="C16" s="32"/>
      <c r="D16" s="32"/>
      <c r="E16" s="32"/>
      <c r="F16" s="32"/>
      <c r="G16" s="32"/>
      <c r="H16" s="32"/>
      <c r="I16" s="32"/>
      <c r="J16" s="32"/>
      <c r="K16" s="32"/>
      <c r="L16" s="32"/>
      <c r="M16" s="32"/>
      <c r="N16" s="32"/>
      <c r="O16" s="32"/>
      <c r="P16" s="32"/>
      <c r="Q16" s="32"/>
      <c r="R16" s="32"/>
      <c r="S16" s="32"/>
      <c r="T16" s="32"/>
      <c r="U16" s="32"/>
      <c r="V16" s="32"/>
      <c r="W16" s="32"/>
      <c r="X16" s="32"/>
      <c r="Y16" s="32" t="str">
        <f>IFERROR(__xludf.DUMMYFUNCTION("""COMPUTED_VALUE"""),"[2026] Website Villa mới ")</f>
        <v>[2026] Website Villa mới </v>
      </c>
      <c r="Z16" s="32"/>
      <c r="AA16" s="32"/>
      <c r="AB16" s="32"/>
      <c r="AC16" s="32"/>
      <c r="AD16" s="32"/>
      <c r="AE16" s="32"/>
      <c r="AF16" s="32"/>
      <c r="AG16" s="32"/>
      <c r="AH16" s="32"/>
      <c r="AI16" s="32"/>
      <c r="AJ16" s="32"/>
    </row>
    <row r="17">
      <c r="A17" s="32"/>
      <c r="B17" s="32"/>
      <c r="C17" s="32"/>
      <c r="D17" s="32"/>
      <c r="E17" s="32"/>
      <c r="F17" s="32"/>
      <c r="G17" s="32"/>
      <c r="H17" s="32"/>
      <c r="I17" s="32"/>
      <c r="J17" s="32"/>
      <c r="K17" s="32"/>
      <c r="L17" s="32"/>
      <c r="M17" s="32"/>
      <c r="N17" s="32"/>
      <c r="O17" s="32"/>
      <c r="P17" s="32"/>
      <c r="Q17" s="32"/>
      <c r="R17" s="32"/>
      <c r="S17" s="32"/>
      <c r="T17" s="32"/>
      <c r="U17" s="32"/>
      <c r="V17" s="32"/>
      <c r="W17" s="32"/>
      <c r="X17" s="32"/>
      <c r="Y17" s="32"/>
      <c r="Z17" s="32"/>
      <c r="AA17" s="32"/>
      <c r="AB17" s="32"/>
      <c r="AC17" s="32"/>
      <c r="AD17" s="32"/>
      <c r="AE17" s="32"/>
      <c r="AF17" s="32"/>
      <c r="AG17" s="32"/>
      <c r="AH17" s="32"/>
      <c r="AI17" s="32"/>
      <c r="AJ17" s="32"/>
    </row>
    <row r="18">
      <c r="A18" s="32"/>
      <c r="B18" s="32"/>
      <c r="C18" s="32"/>
      <c r="D18" s="32"/>
      <c r="E18" s="32"/>
      <c r="F18" s="32"/>
      <c r="G18" s="32"/>
      <c r="H18" s="32"/>
      <c r="I18" s="32"/>
      <c r="J18" s="32"/>
      <c r="K18" s="32"/>
      <c r="L18" s="32"/>
      <c r="M18" s="32"/>
      <c r="N18" s="32"/>
      <c r="O18" s="32"/>
      <c r="P18" s="32"/>
      <c r="Q18" s="32"/>
      <c r="R18" s="32"/>
      <c r="S18" s="32"/>
      <c r="T18" s="32"/>
      <c r="U18" s="32"/>
      <c r="V18" s="32"/>
      <c r="W18" s="32"/>
      <c r="X18" s="32"/>
      <c r="Y18" s="32"/>
      <c r="Z18" s="32"/>
      <c r="AA18" s="32"/>
      <c r="AB18" s="32"/>
      <c r="AC18" s="32"/>
      <c r="AD18" s="32"/>
      <c r="AE18" s="32"/>
      <c r="AF18" s="32"/>
      <c r="AG18" s="32"/>
      <c r="AH18" s="32"/>
      <c r="AI18" s="32"/>
      <c r="AJ18" s="32"/>
    </row>
    <row r="19">
      <c r="A19" s="32"/>
      <c r="B19" s="32"/>
      <c r="C19" s="32"/>
      <c r="D19" s="32"/>
      <c r="E19" s="32"/>
      <c r="F19" s="32"/>
      <c r="G19" s="32"/>
      <c r="H19" s="32"/>
      <c r="I19" s="32"/>
      <c r="J19" s="32"/>
      <c r="K19" s="32"/>
      <c r="L19" s="32"/>
      <c r="M19" s="32"/>
      <c r="N19" s="32"/>
      <c r="O19" s="32"/>
      <c r="P19" s="32"/>
      <c r="Q19" s="32"/>
      <c r="R19" s="32"/>
      <c r="S19" s="32"/>
      <c r="T19" s="32"/>
      <c r="U19" s="32"/>
      <c r="V19" s="32"/>
      <c r="W19" s="32"/>
      <c r="X19" s="32"/>
      <c r="Y19" s="32"/>
      <c r="Z19" s="32"/>
      <c r="AA19" s="32"/>
      <c r="AB19" s="32"/>
      <c r="AC19" s="32"/>
      <c r="AD19" s="32"/>
      <c r="AE19" s="32"/>
      <c r="AF19" s="32"/>
      <c r="AG19" s="32"/>
      <c r="AH19" s="32"/>
      <c r="AI19" s="32"/>
      <c r="AJ19" s="32"/>
    </row>
    <row r="20">
      <c r="A20" s="32"/>
      <c r="B20" s="32"/>
      <c r="C20" s="32"/>
      <c r="D20" s="32"/>
      <c r="E20" s="32"/>
      <c r="F20" s="32"/>
      <c r="G20" s="32"/>
      <c r="H20" s="32"/>
      <c r="I20" s="32"/>
      <c r="J20" s="32"/>
      <c r="K20" s="32"/>
      <c r="L20" s="32"/>
      <c r="M20" s="32"/>
      <c r="N20" s="32"/>
      <c r="O20" s="32"/>
      <c r="P20" s="32"/>
      <c r="Q20" s="32"/>
      <c r="R20" s="32"/>
      <c r="S20" s="32"/>
      <c r="T20" s="32"/>
      <c r="U20" s="32"/>
      <c r="V20" s="32"/>
      <c r="W20" s="32"/>
      <c r="X20" s="32"/>
      <c r="Y20" s="32"/>
      <c r="Z20" s="32"/>
      <c r="AA20" s="32"/>
      <c r="AB20" s="32"/>
      <c r="AC20" s="32"/>
      <c r="AD20" s="32"/>
      <c r="AE20" s="32"/>
      <c r="AF20" s="32"/>
      <c r="AG20" s="32"/>
      <c r="AH20" s="32"/>
      <c r="AI20" s="32"/>
      <c r="AJ20" s="32"/>
    </row>
    <row r="21">
      <c r="A21" s="32"/>
      <c r="B21" s="32"/>
      <c r="C21" s="32"/>
      <c r="D21" s="32"/>
      <c r="E21" s="32"/>
      <c r="F21" s="32"/>
      <c r="G21" s="32"/>
      <c r="H21" s="32"/>
      <c r="I21" s="32"/>
      <c r="J21" s="32"/>
      <c r="K21" s="32"/>
      <c r="L21" s="32"/>
      <c r="M21" s="32"/>
      <c r="N21" s="32"/>
      <c r="O21" s="32"/>
      <c r="P21" s="32"/>
      <c r="Q21" s="32"/>
      <c r="R21" s="32"/>
      <c r="S21" s="32"/>
      <c r="T21" s="32"/>
      <c r="U21" s="32"/>
      <c r="V21" s="32"/>
      <c r="W21" s="32"/>
      <c r="X21" s="32"/>
      <c r="Y21" s="32"/>
      <c r="Z21" s="32"/>
      <c r="AA21" s="32"/>
      <c r="AB21" s="32"/>
      <c r="AC21" s="32"/>
      <c r="AD21" s="32"/>
      <c r="AE21" s="32"/>
      <c r="AF21" s="32"/>
      <c r="AG21" s="32"/>
      <c r="AH21" s="32"/>
      <c r="AI21" s="32"/>
      <c r="AJ21" s="32"/>
    </row>
    <row r="22">
      <c r="A22" s="32"/>
      <c r="B22" s="32"/>
      <c r="C22" s="32"/>
      <c r="D22" s="32"/>
      <c r="E22" s="32"/>
      <c r="F22" s="32"/>
      <c r="G22" s="32"/>
      <c r="H22" s="32"/>
      <c r="I22" s="32"/>
      <c r="J22" s="32"/>
      <c r="K22" s="32"/>
      <c r="L22" s="32"/>
      <c r="M22" s="32"/>
      <c r="N22" s="32"/>
      <c r="O22" s="32"/>
      <c r="P22" s="32"/>
      <c r="Q22" s="32"/>
      <c r="R22" s="32"/>
      <c r="S22" s="32"/>
      <c r="T22" s="32"/>
      <c r="U22" s="32"/>
      <c r="V22" s="32"/>
      <c r="W22" s="32"/>
      <c r="X22" s="32"/>
      <c r="Y22" s="32"/>
      <c r="Z22" s="32"/>
      <c r="AA22" s="32"/>
      <c r="AB22" s="32"/>
      <c r="AC22" s="32"/>
      <c r="AD22" s="32"/>
      <c r="AE22" s="32"/>
      <c r="AF22" s="32"/>
      <c r="AG22" s="32"/>
      <c r="AH22" s="32"/>
      <c r="AI22" s="32"/>
      <c r="AJ22" s="32"/>
    </row>
    <row r="23">
      <c r="A23" s="32"/>
      <c r="B23" s="32"/>
      <c r="C23" s="32"/>
      <c r="D23" s="32"/>
      <c r="E23" s="32"/>
      <c r="F23" s="32"/>
      <c r="G23" s="32"/>
      <c r="H23" s="32"/>
      <c r="I23" s="32"/>
      <c r="J23" s="32"/>
      <c r="K23" s="32"/>
      <c r="L23" s="32"/>
      <c r="M23" s="32"/>
      <c r="N23" s="32"/>
      <c r="O23" s="32"/>
      <c r="P23" s="32"/>
      <c r="Q23" s="32"/>
      <c r="R23" s="32"/>
      <c r="S23" s="32"/>
      <c r="T23" s="32"/>
      <c r="U23" s="32"/>
      <c r="V23" s="32"/>
      <c r="W23" s="32"/>
      <c r="X23" s="32"/>
      <c r="Y23" s="32"/>
      <c r="Z23" s="32"/>
      <c r="AA23" s="32"/>
      <c r="AB23" s="32"/>
      <c r="AC23" s="32"/>
      <c r="AD23" s="32"/>
      <c r="AE23" s="32"/>
      <c r="AF23" s="32"/>
      <c r="AG23" s="32"/>
      <c r="AH23" s="32"/>
      <c r="AI23" s="32"/>
      <c r="AJ23" s="32"/>
    </row>
    <row r="24">
      <c r="A24" s="32"/>
      <c r="B24" s="32"/>
      <c r="C24" s="32"/>
      <c r="D24" s="32"/>
      <c r="E24" s="32"/>
      <c r="F24" s="32"/>
      <c r="G24" s="32"/>
      <c r="H24" s="32"/>
      <c r="I24" s="32"/>
      <c r="J24" s="32"/>
      <c r="K24" s="32"/>
      <c r="L24" s="32"/>
      <c r="M24" s="32"/>
      <c r="N24" s="32"/>
      <c r="O24" s="32"/>
      <c r="P24" s="32"/>
      <c r="Q24" s="32"/>
      <c r="R24" s="32"/>
      <c r="S24" s="32"/>
      <c r="T24" s="32"/>
      <c r="U24" s="32"/>
      <c r="V24" s="32"/>
      <c r="W24" s="32"/>
      <c r="X24" s="32"/>
      <c r="Y24" s="32"/>
      <c r="Z24" s="32"/>
      <c r="AA24" s="32"/>
      <c r="AB24" s="32"/>
      <c r="AC24" s="32"/>
      <c r="AD24" s="32"/>
      <c r="AE24" s="32"/>
      <c r="AF24" s="32"/>
      <c r="AG24" s="32"/>
      <c r="AH24" s="32"/>
      <c r="AI24" s="32"/>
      <c r="AJ24" s="32"/>
    </row>
    <row r="25">
      <c r="A25" s="32"/>
      <c r="B25" s="32"/>
      <c r="C25" s="32"/>
      <c r="D25" s="32"/>
      <c r="E25" s="32"/>
      <c r="F25" s="32"/>
      <c r="G25" s="32"/>
      <c r="H25" s="32"/>
      <c r="I25" s="32"/>
      <c r="J25" s="32"/>
      <c r="K25" s="32"/>
      <c r="L25" s="32"/>
      <c r="M25" s="32"/>
      <c r="N25" s="32"/>
      <c r="O25" s="32"/>
      <c r="P25" s="32"/>
      <c r="Q25" s="32"/>
      <c r="R25" s="32"/>
      <c r="S25" s="32"/>
      <c r="T25" s="32"/>
      <c r="U25" s="32"/>
      <c r="V25" s="32"/>
      <c r="W25" s="32"/>
      <c r="X25" s="32"/>
      <c r="Y25" s="32"/>
      <c r="Z25" s="32"/>
      <c r="AA25" s="32"/>
      <c r="AB25" s="32"/>
      <c r="AC25" s="32"/>
      <c r="AD25" s="32"/>
      <c r="AE25" s="32"/>
      <c r="AF25" s="32"/>
      <c r="AG25" s="32"/>
      <c r="AH25" s="32"/>
      <c r="AI25" s="32"/>
      <c r="AJ25" s="32"/>
    </row>
    <row r="26">
      <c r="A26" s="32"/>
      <c r="B26" s="32"/>
      <c r="C26" s="32"/>
      <c r="D26" s="32"/>
      <c r="E26" s="32"/>
      <c r="F26" s="32"/>
      <c r="G26" s="32"/>
      <c r="H26" s="32"/>
      <c r="I26" s="32"/>
      <c r="J26" s="32"/>
      <c r="K26" s="32"/>
      <c r="L26" s="32"/>
      <c r="M26" s="32"/>
      <c r="N26" s="32"/>
      <c r="O26" s="32"/>
      <c r="P26" s="32"/>
      <c r="Q26" s="32"/>
      <c r="R26" s="32"/>
      <c r="S26" s="32"/>
      <c r="T26" s="32"/>
      <c r="U26" s="32"/>
      <c r="V26" s="32"/>
      <c r="W26" s="32"/>
      <c r="X26" s="32"/>
      <c r="Y26" s="32"/>
      <c r="Z26" s="32"/>
      <c r="AA26" s="32"/>
      <c r="AB26" s="32"/>
      <c r="AC26" s="32"/>
      <c r="AD26" s="32"/>
      <c r="AE26" s="32"/>
      <c r="AF26" s="32"/>
      <c r="AG26" s="32"/>
      <c r="AH26" s="32"/>
      <c r="AI26" s="32"/>
      <c r="AJ26" s="32"/>
    </row>
    <row r="27">
      <c r="A27" s="32"/>
      <c r="B27" s="32"/>
      <c r="C27" s="32"/>
      <c r="D27" s="32"/>
      <c r="E27" s="32"/>
      <c r="F27" s="32"/>
      <c r="G27" s="32"/>
      <c r="H27" s="32"/>
      <c r="I27" s="32"/>
      <c r="J27" s="32"/>
      <c r="K27" s="32"/>
      <c r="L27" s="32"/>
      <c r="M27" s="32"/>
      <c r="N27" s="32"/>
      <c r="O27" s="32"/>
      <c r="P27" s="32"/>
      <c r="Q27" s="32"/>
      <c r="R27" s="32"/>
      <c r="S27" s="32"/>
      <c r="T27" s="32"/>
      <c r="U27" s="32"/>
      <c r="V27" s="32"/>
      <c r="W27" s="32"/>
      <c r="X27" s="32"/>
      <c r="Y27" s="32"/>
      <c r="Z27" s="32"/>
      <c r="AA27" s="32"/>
      <c r="AB27" s="32"/>
      <c r="AC27" s="32"/>
      <c r="AD27" s="32"/>
      <c r="AE27" s="32"/>
      <c r="AF27" s="32"/>
      <c r="AG27" s="32"/>
      <c r="AH27" s="32"/>
      <c r="AI27" s="32"/>
      <c r="AJ27" s="32"/>
    </row>
    <row r="28">
      <c r="A28" s="32"/>
      <c r="B28" s="32"/>
      <c r="C28" s="32"/>
      <c r="D28" s="32"/>
      <c r="E28" s="32"/>
      <c r="F28" s="32"/>
      <c r="G28" s="32"/>
      <c r="H28" s="32"/>
      <c r="I28" s="32"/>
      <c r="J28" s="32"/>
      <c r="K28" s="32"/>
      <c r="L28" s="32"/>
      <c r="M28" s="32"/>
      <c r="N28" s="32"/>
      <c r="O28" s="32"/>
      <c r="P28" s="32"/>
      <c r="Q28" s="32"/>
      <c r="R28" s="32"/>
      <c r="S28" s="32"/>
      <c r="T28" s="32"/>
      <c r="U28" s="32"/>
      <c r="V28" s="32"/>
      <c r="W28" s="32"/>
      <c r="X28" s="32"/>
      <c r="Y28" s="32"/>
      <c r="Z28" s="32"/>
      <c r="AA28" s="32"/>
      <c r="AB28" s="32"/>
      <c r="AC28" s="32"/>
      <c r="AD28" s="32"/>
      <c r="AE28" s="32"/>
      <c r="AF28" s="32"/>
      <c r="AG28" s="32"/>
      <c r="AH28" s="32"/>
      <c r="AI28" s="32"/>
      <c r="AJ28" s="32"/>
    </row>
    <row r="29">
      <c r="A29" s="32"/>
      <c r="B29" s="32"/>
      <c r="C29" s="32"/>
      <c r="D29" s="32"/>
      <c r="E29" s="32"/>
      <c r="F29" s="32"/>
      <c r="G29" s="32"/>
      <c r="H29" s="32"/>
      <c r="I29" s="32"/>
      <c r="J29" s="32"/>
      <c r="K29" s="32"/>
      <c r="L29" s="32"/>
      <c r="M29" s="32"/>
      <c r="N29" s="32"/>
      <c r="O29" s="32"/>
      <c r="P29" s="32"/>
      <c r="Q29" s="32"/>
      <c r="R29" s="32"/>
      <c r="S29" s="32"/>
      <c r="T29" s="32"/>
      <c r="U29" s="32"/>
      <c r="V29" s="32"/>
      <c r="W29" s="32"/>
      <c r="X29" s="32"/>
      <c r="Y29" s="32"/>
      <c r="Z29" s="32"/>
      <c r="AA29" s="32"/>
      <c r="AB29" s="32"/>
      <c r="AC29" s="32"/>
      <c r="AD29" s="32"/>
      <c r="AE29" s="32"/>
      <c r="AF29" s="32"/>
      <c r="AG29" s="32"/>
      <c r="AH29" s="32"/>
      <c r="AI29" s="32"/>
      <c r="AJ29" s="32"/>
    </row>
    <row r="30">
      <c r="A30" s="32"/>
      <c r="B30" s="32"/>
      <c r="C30" s="32"/>
      <c r="D30" s="32"/>
      <c r="E30" s="32"/>
      <c r="F30" s="32"/>
      <c r="G30" s="32"/>
      <c r="H30" s="32"/>
      <c r="I30" s="32"/>
      <c r="J30" s="32"/>
      <c r="K30" s="32"/>
      <c r="L30" s="32"/>
      <c r="M30" s="32"/>
      <c r="N30" s="32"/>
      <c r="O30" s="32"/>
      <c r="P30" s="32"/>
      <c r="Q30" s="32"/>
      <c r="R30" s="32"/>
      <c r="S30" s="32"/>
      <c r="T30" s="32"/>
      <c r="U30" s="32"/>
      <c r="V30" s="32"/>
      <c r="W30" s="32"/>
      <c r="X30" s="32"/>
      <c r="Y30" s="32"/>
      <c r="Z30" s="32"/>
      <c r="AA30" s="32"/>
      <c r="AB30" s="32"/>
      <c r="AC30" s="32"/>
      <c r="AD30" s="32"/>
      <c r="AE30" s="32"/>
      <c r="AF30" s="32"/>
      <c r="AG30" s="32"/>
      <c r="AH30" s="32"/>
      <c r="AI30" s="32"/>
      <c r="AJ30" s="32"/>
    </row>
    <row r="31">
      <c r="A31" s="32"/>
      <c r="B31" s="32"/>
      <c r="C31" s="32"/>
      <c r="D31" s="32"/>
      <c r="E31" s="32"/>
      <c r="F31" s="32"/>
      <c r="G31" s="32"/>
      <c r="H31" s="32"/>
      <c r="I31" s="32"/>
      <c r="J31" s="32"/>
      <c r="K31" s="32"/>
      <c r="L31" s="32"/>
      <c r="M31" s="32"/>
      <c r="N31" s="32"/>
      <c r="O31" s="32"/>
      <c r="P31" s="32"/>
      <c r="Q31" s="32"/>
      <c r="R31" s="32"/>
      <c r="S31" s="32"/>
      <c r="T31" s="32"/>
      <c r="U31" s="32"/>
      <c r="V31" s="32"/>
      <c r="W31" s="32"/>
      <c r="X31" s="32"/>
      <c r="Y31" s="32"/>
      <c r="Z31" s="32"/>
      <c r="AA31" s="32"/>
      <c r="AB31" s="32"/>
      <c r="AC31" s="32"/>
      <c r="AD31" s="32"/>
      <c r="AE31" s="32"/>
      <c r="AF31" s="32"/>
      <c r="AG31" s="32"/>
      <c r="AH31" s="32"/>
      <c r="AI31" s="32"/>
      <c r="AJ31" s="32"/>
    </row>
    <row r="32">
      <c r="A32" s="32"/>
      <c r="B32" s="32"/>
      <c r="C32" s="32"/>
      <c r="D32" s="32"/>
      <c r="E32" s="32"/>
      <c r="F32" s="32"/>
      <c r="G32" s="32"/>
      <c r="H32" s="32"/>
      <c r="I32" s="32"/>
      <c r="J32" s="32"/>
      <c r="K32" s="32"/>
      <c r="L32" s="32"/>
      <c r="M32" s="32"/>
      <c r="N32" s="32"/>
      <c r="O32" s="32"/>
      <c r="P32" s="32"/>
      <c r="Q32" s="32"/>
      <c r="R32" s="32"/>
      <c r="S32" s="32"/>
      <c r="T32" s="32"/>
      <c r="U32" s="32"/>
      <c r="V32" s="32"/>
      <c r="W32" s="32"/>
      <c r="X32" s="32"/>
      <c r="Y32" s="32"/>
      <c r="Z32" s="32"/>
      <c r="AA32" s="32"/>
      <c r="AB32" s="32"/>
      <c r="AC32" s="32"/>
      <c r="AD32" s="32"/>
      <c r="AE32" s="32"/>
      <c r="AF32" s="32"/>
      <c r="AG32" s="32"/>
      <c r="AH32" s="32"/>
      <c r="AI32" s="32"/>
      <c r="AJ32" s="32"/>
    </row>
    <row r="33">
      <c r="A33" s="32"/>
      <c r="B33" s="32"/>
      <c r="C33" s="32"/>
      <c r="D33" s="32"/>
      <c r="E33" s="32"/>
      <c r="F33" s="32"/>
      <c r="G33" s="32"/>
      <c r="H33" s="32"/>
      <c r="I33" s="32"/>
      <c r="J33" s="32"/>
      <c r="K33" s="32"/>
      <c r="L33" s="32"/>
      <c r="M33" s="32"/>
      <c r="N33" s="32"/>
      <c r="O33" s="32"/>
      <c r="P33" s="32"/>
      <c r="Q33" s="32"/>
      <c r="R33" s="32"/>
      <c r="S33" s="32"/>
      <c r="T33" s="32"/>
      <c r="U33" s="32"/>
      <c r="V33" s="32"/>
      <c r="W33" s="32"/>
      <c r="X33" s="32"/>
      <c r="Y33" s="32"/>
      <c r="Z33" s="32"/>
      <c r="AA33" s="32"/>
      <c r="AB33" s="32"/>
      <c r="AC33" s="32"/>
      <c r="AD33" s="32"/>
      <c r="AE33" s="32"/>
      <c r="AF33" s="32"/>
      <c r="AG33" s="32"/>
      <c r="AH33" s="32"/>
      <c r="AI33" s="32"/>
      <c r="AJ33" s="32"/>
    </row>
    <row r="34">
      <c r="A34" s="32"/>
      <c r="B34" s="32"/>
      <c r="C34" s="32"/>
      <c r="D34" s="32"/>
      <c r="E34" s="32"/>
      <c r="F34" s="32"/>
      <c r="G34" s="32"/>
      <c r="H34" s="32"/>
      <c r="I34" s="32"/>
      <c r="J34" s="32"/>
      <c r="K34" s="32"/>
      <c r="L34" s="32"/>
      <c r="M34" s="32"/>
      <c r="N34" s="32"/>
      <c r="O34" s="32"/>
      <c r="P34" s="32"/>
      <c r="Q34" s="32"/>
      <c r="R34" s="32"/>
      <c r="S34" s="32"/>
      <c r="T34" s="32"/>
      <c r="U34" s="32"/>
      <c r="V34" s="32"/>
      <c r="W34" s="32"/>
      <c r="X34" s="32"/>
      <c r="Y34" s="32"/>
      <c r="Z34" s="32"/>
      <c r="AA34" s="32"/>
      <c r="AB34" s="32"/>
      <c r="AC34" s="32"/>
      <c r="AD34" s="32"/>
      <c r="AE34" s="32"/>
      <c r="AF34" s="32"/>
      <c r="AG34" s="32"/>
      <c r="AH34" s="32"/>
      <c r="AI34" s="32"/>
      <c r="AJ34" s="32"/>
    </row>
    <row r="35">
      <c r="A35" s="32"/>
      <c r="B35" s="32"/>
      <c r="C35" s="32"/>
      <c r="D35" s="32"/>
      <c r="E35" s="32"/>
      <c r="F35" s="32"/>
      <c r="G35" s="32"/>
      <c r="H35" s="32"/>
      <c r="I35" s="32"/>
      <c r="J35" s="32"/>
      <c r="K35" s="32"/>
      <c r="L35" s="32"/>
      <c r="M35" s="32"/>
      <c r="N35" s="32"/>
      <c r="O35" s="32"/>
      <c r="P35" s="32"/>
      <c r="Q35" s="32"/>
      <c r="R35" s="32"/>
      <c r="S35" s="32"/>
      <c r="T35" s="32"/>
      <c r="U35" s="32"/>
      <c r="V35" s="32"/>
      <c r="W35" s="32"/>
      <c r="X35" s="32"/>
      <c r="Y35" s="32"/>
      <c r="Z35" s="32"/>
      <c r="AA35" s="32"/>
      <c r="AB35" s="32"/>
      <c r="AC35" s="32"/>
      <c r="AD35" s="32"/>
      <c r="AE35" s="32"/>
      <c r="AF35" s="32"/>
      <c r="AG35" s="32"/>
      <c r="AH35" s="32"/>
      <c r="AI35" s="32"/>
      <c r="AJ35" s="32"/>
    </row>
    <row r="36">
      <c r="A36" s="32"/>
      <c r="B36" s="32"/>
      <c r="C36" s="32"/>
      <c r="D36" s="32"/>
      <c r="E36" s="32"/>
      <c r="F36" s="32"/>
      <c r="G36" s="32"/>
      <c r="H36" s="32"/>
      <c r="I36" s="32"/>
      <c r="J36" s="32"/>
      <c r="K36" s="32"/>
      <c r="L36" s="32"/>
      <c r="M36" s="32"/>
      <c r="N36" s="32"/>
      <c r="O36" s="32"/>
      <c r="P36" s="32"/>
      <c r="Q36" s="32"/>
      <c r="R36" s="32"/>
      <c r="S36" s="32"/>
      <c r="T36" s="32"/>
      <c r="U36" s="32"/>
      <c r="V36" s="32"/>
      <c r="W36" s="32"/>
      <c r="X36" s="32"/>
      <c r="Y36" s="32"/>
      <c r="Z36" s="32"/>
      <c r="AA36" s="32"/>
      <c r="AB36" s="32"/>
      <c r="AC36" s="32"/>
      <c r="AD36" s="32"/>
      <c r="AE36" s="32"/>
      <c r="AF36" s="32"/>
      <c r="AG36" s="32"/>
      <c r="AH36" s="32"/>
      <c r="AI36" s="32"/>
      <c r="AJ36" s="32"/>
    </row>
    <row r="37">
      <c r="A37" s="32"/>
      <c r="B37" s="32"/>
      <c r="C37" s="32"/>
      <c r="D37" s="32"/>
      <c r="E37" s="32"/>
      <c r="F37" s="32"/>
      <c r="G37" s="32"/>
      <c r="H37" s="32"/>
      <c r="I37" s="32"/>
      <c r="J37" s="32"/>
      <c r="K37" s="32"/>
      <c r="L37" s="32"/>
      <c r="M37" s="32"/>
      <c r="N37" s="32"/>
      <c r="O37" s="32"/>
      <c r="P37" s="32"/>
      <c r="Q37" s="32"/>
      <c r="R37" s="32"/>
      <c r="S37" s="32"/>
      <c r="T37" s="32"/>
      <c r="U37" s="32"/>
      <c r="V37" s="32"/>
      <c r="W37" s="32"/>
      <c r="X37" s="32"/>
      <c r="Y37" s="32"/>
      <c r="Z37" s="32"/>
      <c r="AA37" s="32"/>
      <c r="AB37" s="32"/>
      <c r="AC37" s="32"/>
      <c r="AD37" s="32"/>
      <c r="AE37" s="32"/>
      <c r="AF37" s="32"/>
      <c r="AG37" s="32"/>
      <c r="AH37" s="32"/>
      <c r="AI37" s="32"/>
      <c r="AJ37" s="32"/>
    </row>
    <row r="38">
      <c r="A38" s="32"/>
      <c r="B38" s="32"/>
      <c r="C38" s="32"/>
      <c r="D38" s="32"/>
      <c r="E38" s="32"/>
      <c r="F38" s="32"/>
      <c r="G38" s="32"/>
      <c r="H38" s="32"/>
      <c r="I38" s="32"/>
      <c r="J38" s="32"/>
      <c r="K38" s="32"/>
      <c r="L38" s="32"/>
      <c r="M38" s="32"/>
      <c r="N38" s="32"/>
      <c r="O38" s="32"/>
      <c r="P38" s="32"/>
      <c r="Q38" s="32"/>
      <c r="R38" s="32"/>
      <c r="S38" s="32"/>
      <c r="T38" s="32"/>
      <c r="U38" s="32"/>
      <c r="V38" s="32"/>
      <c r="W38" s="32"/>
      <c r="X38" s="32"/>
      <c r="Y38" s="32"/>
      <c r="Z38" s="32"/>
      <c r="AA38" s="32"/>
      <c r="AB38" s="32"/>
      <c r="AC38" s="32"/>
      <c r="AD38" s="32"/>
      <c r="AE38" s="32"/>
      <c r="AF38" s="32"/>
      <c r="AG38" s="32"/>
      <c r="AH38" s="32"/>
      <c r="AI38" s="32"/>
      <c r="AJ38" s="32"/>
    </row>
    <row r="39">
      <c r="A39" s="32"/>
      <c r="B39" s="32"/>
      <c r="C39" s="32"/>
      <c r="D39" s="32"/>
      <c r="E39" s="32"/>
      <c r="F39" s="32"/>
      <c r="G39" s="32"/>
      <c r="H39" s="32"/>
      <c r="I39" s="32"/>
      <c r="J39" s="32"/>
      <c r="K39" s="32"/>
      <c r="L39" s="32"/>
      <c r="M39" s="32"/>
      <c r="N39" s="32"/>
      <c r="O39" s="32"/>
      <c r="P39" s="32"/>
      <c r="Q39" s="32"/>
      <c r="R39" s="32"/>
      <c r="S39" s="32"/>
      <c r="T39" s="32"/>
      <c r="U39" s="32"/>
      <c r="V39" s="32"/>
      <c r="W39" s="32"/>
      <c r="X39" s="32"/>
      <c r="Y39" s="32"/>
      <c r="Z39" s="32"/>
      <c r="AA39" s="32"/>
      <c r="AB39" s="32"/>
      <c r="AC39" s="32"/>
      <c r="AD39" s="32"/>
      <c r="AE39" s="32"/>
      <c r="AF39" s="32"/>
      <c r="AG39" s="32"/>
      <c r="AH39" s="32"/>
      <c r="AI39" s="32"/>
      <c r="AJ39" s="32"/>
    </row>
    <row r="40">
      <c r="A40" s="32"/>
      <c r="B40" s="32"/>
      <c r="C40" s="32"/>
      <c r="D40" s="32"/>
      <c r="E40" s="32"/>
      <c r="F40" s="32"/>
      <c r="G40" s="32"/>
      <c r="H40" s="32"/>
      <c r="I40" s="32"/>
      <c r="J40" s="32"/>
      <c r="K40" s="32"/>
      <c r="L40" s="32"/>
      <c r="M40" s="32"/>
      <c r="N40" s="32"/>
      <c r="O40" s="32"/>
      <c r="P40" s="32"/>
      <c r="Q40" s="32"/>
      <c r="R40" s="32"/>
      <c r="S40" s="32"/>
      <c r="T40" s="32"/>
      <c r="U40" s="32"/>
      <c r="V40" s="32"/>
      <c r="W40" s="32"/>
      <c r="X40" s="32"/>
      <c r="Y40" s="32"/>
      <c r="Z40" s="32"/>
      <c r="AA40" s="32"/>
      <c r="AB40" s="32"/>
      <c r="AC40" s="32"/>
      <c r="AD40" s="32"/>
      <c r="AE40" s="32"/>
      <c r="AF40" s="32"/>
      <c r="AG40" s="32"/>
      <c r="AH40" s="32"/>
      <c r="AI40" s="32"/>
      <c r="AJ40" s="32"/>
    </row>
    <row r="41">
      <c r="A41" s="32"/>
      <c r="B41" s="32"/>
      <c r="C41" s="32"/>
      <c r="D41" s="32"/>
      <c r="E41" s="32"/>
      <c r="F41" s="32"/>
      <c r="G41" s="32"/>
      <c r="H41" s="32"/>
      <c r="I41" s="32"/>
      <c r="J41" s="32"/>
      <c r="K41" s="32"/>
      <c r="L41" s="32"/>
      <c r="M41" s="32"/>
      <c r="N41" s="32"/>
      <c r="O41" s="32"/>
      <c r="P41" s="32"/>
      <c r="Q41" s="32"/>
      <c r="R41" s="32"/>
      <c r="S41" s="32"/>
      <c r="T41" s="32"/>
      <c r="U41" s="32"/>
      <c r="V41" s="32"/>
      <c r="W41" s="32"/>
      <c r="X41" s="32"/>
      <c r="Y41" s="32"/>
      <c r="Z41" s="32"/>
      <c r="AA41" s="32"/>
      <c r="AB41" s="32"/>
      <c r="AC41" s="32"/>
      <c r="AD41" s="32"/>
      <c r="AE41" s="32"/>
      <c r="AF41" s="32"/>
      <c r="AG41" s="32"/>
      <c r="AH41" s="32"/>
      <c r="AI41" s="32"/>
      <c r="AJ41" s="32"/>
    </row>
    <row r="42">
      <c r="A42" s="32"/>
      <c r="B42" s="32"/>
      <c r="C42" s="32"/>
      <c r="D42" s="32"/>
      <c r="E42" s="32"/>
      <c r="F42" s="32"/>
      <c r="G42" s="32"/>
      <c r="H42" s="32"/>
      <c r="I42" s="32"/>
      <c r="J42" s="32"/>
      <c r="K42" s="32"/>
      <c r="L42" s="32"/>
      <c r="M42" s="32"/>
      <c r="N42" s="32"/>
      <c r="O42" s="32"/>
      <c r="P42" s="32"/>
      <c r="Q42" s="32"/>
      <c r="R42" s="32"/>
      <c r="S42" s="32"/>
      <c r="T42" s="32"/>
      <c r="U42" s="32"/>
      <c r="V42" s="32"/>
      <c r="W42" s="32"/>
      <c r="X42" s="32"/>
      <c r="Y42" s="32"/>
      <c r="Z42" s="32"/>
      <c r="AA42" s="32"/>
      <c r="AB42" s="32"/>
      <c r="AC42" s="32"/>
      <c r="AD42" s="32"/>
      <c r="AE42" s="32"/>
      <c r="AF42" s="32"/>
      <c r="AG42" s="32"/>
      <c r="AH42" s="32"/>
      <c r="AI42" s="32"/>
      <c r="AJ42" s="32"/>
    </row>
    <row r="43">
      <c r="A43" s="32"/>
      <c r="B43" s="32"/>
      <c r="C43" s="32"/>
      <c r="D43" s="32"/>
      <c r="E43" s="32"/>
      <c r="F43" s="32"/>
      <c r="G43" s="32"/>
      <c r="H43" s="32"/>
      <c r="I43" s="32"/>
      <c r="J43" s="32"/>
      <c r="K43" s="32"/>
      <c r="L43" s="32"/>
      <c r="M43" s="32"/>
      <c r="N43" s="32"/>
      <c r="O43" s="32"/>
      <c r="P43" s="32"/>
      <c r="Q43" s="32"/>
      <c r="R43" s="32"/>
      <c r="S43" s="32"/>
      <c r="T43" s="32"/>
      <c r="U43" s="32"/>
      <c r="V43" s="32"/>
      <c r="W43" s="32"/>
      <c r="X43" s="32"/>
      <c r="Y43" s="32"/>
      <c r="Z43" s="32"/>
      <c r="AA43" s="32"/>
      <c r="AB43" s="32"/>
      <c r="AC43" s="32"/>
      <c r="AD43" s="32"/>
      <c r="AE43" s="32"/>
      <c r="AF43" s="32"/>
      <c r="AG43" s="32"/>
      <c r="AH43" s="32"/>
      <c r="AI43" s="32"/>
      <c r="AJ43" s="32"/>
    </row>
    <row r="44">
      <c r="A44" s="32"/>
      <c r="B44" s="32"/>
      <c r="C44" s="32"/>
      <c r="D44" s="32"/>
      <c r="E44" s="32"/>
      <c r="F44" s="32"/>
      <c r="G44" s="32"/>
      <c r="H44" s="32"/>
      <c r="I44" s="32"/>
      <c r="J44" s="32"/>
      <c r="K44" s="32"/>
      <c r="L44" s="32"/>
      <c r="M44" s="32"/>
      <c r="N44" s="32"/>
      <c r="O44" s="32"/>
      <c r="P44" s="32"/>
      <c r="Q44" s="32"/>
      <c r="R44" s="32"/>
      <c r="S44" s="32"/>
      <c r="T44" s="32"/>
      <c r="U44" s="32"/>
      <c r="V44" s="32"/>
      <c r="W44" s="32"/>
      <c r="X44" s="32"/>
      <c r="Y44" s="32"/>
      <c r="Z44" s="32"/>
      <c r="AA44" s="32"/>
      <c r="AB44" s="32"/>
      <c r="AC44" s="32"/>
      <c r="AD44" s="32"/>
      <c r="AE44" s="32"/>
      <c r="AF44" s="32"/>
      <c r="AG44" s="32"/>
      <c r="AH44" s="32"/>
      <c r="AI44" s="32"/>
      <c r="AJ44" s="32"/>
    </row>
    <row r="45">
      <c r="A45" s="32"/>
      <c r="B45" s="32"/>
      <c r="C45" s="32"/>
      <c r="D45" s="32"/>
      <c r="E45" s="32"/>
      <c r="F45" s="32"/>
      <c r="G45" s="32"/>
      <c r="H45" s="32"/>
      <c r="I45" s="32"/>
      <c r="J45" s="32"/>
      <c r="K45" s="32"/>
      <c r="L45" s="32"/>
      <c r="M45" s="32"/>
      <c r="N45" s="32"/>
      <c r="O45" s="32"/>
      <c r="P45" s="32"/>
      <c r="Q45" s="32"/>
      <c r="R45" s="32"/>
      <c r="S45" s="32"/>
      <c r="T45" s="32"/>
      <c r="U45" s="32"/>
      <c r="V45" s="32"/>
      <c r="W45" s="32"/>
      <c r="X45" s="32"/>
      <c r="Y45" s="32"/>
      <c r="Z45" s="32"/>
      <c r="AA45" s="32"/>
      <c r="AB45" s="32"/>
      <c r="AC45" s="32"/>
      <c r="AD45" s="32"/>
      <c r="AE45" s="32"/>
      <c r="AF45" s="32"/>
      <c r="AG45" s="32"/>
      <c r="AH45" s="32"/>
      <c r="AI45" s="32"/>
      <c r="AJ45" s="32"/>
    </row>
    <row r="46">
      <c r="A46" s="32"/>
      <c r="B46" s="32"/>
      <c r="C46" s="32"/>
      <c r="D46" s="32"/>
      <c r="E46" s="32"/>
      <c r="F46" s="32"/>
      <c r="G46" s="32"/>
      <c r="H46" s="32"/>
      <c r="I46" s="32"/>
      <c r="J46" s="32"/>
      <c r="K46" s="32"/>
      <c r="L46" s="32"/>
      <c r="M46" s="32"/>
      <c r="N46" s="32"/>
      <c r="O46" s="32"/>
      <c r="P46" s="32"/>
      <c r="Q46" s="32"/>
      <c r="R46" s="32"/>
      <c r="S46" s="32"/>
      <c r="T46" s="32"/>
      <c r="U46" s="32"/>
      <c r="V46" s="32"/>
      <c r="W46" s="32"/>
      <c r="X46" s="32"/>
      <c r="Y46" s="32"/>
      <c r="Z46" s="32"/>
      <c r="AA46" s="32"/>
      <c r="AB46" s="32"/>
      <c r="AC46" s="32"/>
      <c r="AD46" s="32"/>
      <c r="AE46" s="32"/>
      <c r="AF46" s="32"/>
      <c r="AG46" s="32"/>
      <c r="AH46" s="32"/>
      <c r="AI46" s="32"/>
      <c r="AJ46" s="32"/>
    </row>
    <row r="47">
      <c r="A47" s="32"/>
      <c r="B47" s="32"/>
      <c r="C47" s="32"/>
      <c r="D47" s="32"/>
      <c r="E47" s="32"/>
      <c r="F47" s="32"/>
      <c r="G47" s="32"/>
      <c r="H47" s="32"/>
      <c r="I47" s="32"/>
      <c r="J47" s="32"/>
      <c r="K47" s="32"/>
      <c r="L47" s="32"/>
      <c r="M47" s="32"/>
      <c r="N47" s="32"/>
      <c r="O47" s="32"/>
      <c r="P47" s="32"/>
      <c r="Q47" s="32"/>
      <c r="R47" s="32"/>
      <c r="S47" s="32"/>
      <c r="T47" s="32"/>
      <c r="U47" s="32"/>
      <c r="V47" s="32"/>
      <c r="W47" s="32"/>
      <c r="X47" s="32"/>
      <c r="Y47" s="32"/>
      <c r="Z47" s="32"/>
      <c r="AA47" s="32"/>
      <c r="AB47" s="32"/>
      <c r="AC47" s="32"/>
      <c r="AD47" s="32"/>
      <c r="AE47" s="32"/>
      <c r="AF47" s="32"/>
      <c r="AG47" s="32"/>
      <c r="AH47" s="32"/>
      <c r="AI47" s="32"/>
      <c r="AJ47" s="32"/>
    </row>
    <row r="48">
      <c r="A48" s="32"/>
      <c r="B48" s="32"/>
      <c r="C48" s="32"/>
      <c r="D48" s="32"/>
      <c r="E48" s="32"/>
      <c r="F48" s="32"/>
      <c r="G48" s="32"/>
      <c r="H48" s="32"/>
      <c r="I48" s="32"/>
      <c r="J48" s="32"/>
      <c r="K48" s="32"/>
      <c r="L48" s="32"/>
      <c r="M48" s="32"/>
      <c r="N48" s="32"/>
      <c r="O48" s="32"/>
      <c r="P48" s="32"/>
      <c r="Q48" s="32"/>
      <c r="R48" s="32"/>
      <c r="S48" s="32"/>
      <c r="T48" s="32"/>
      <c r="U48" s="32"/>
      <c r="V48" s="32"/>
      <c r="W48" s="32"/>
      <c r="X48" s="32"/>
      <c r="Y48" s="32"/>
      <c r="Z48" s="32"/>
      <c r="AA48" s="32"/>
      <c r="AB48" s="32"/>
      <c r="AC48" s="32"/>
      <c r="AD48" s="32"/>
      <c r="AE48" s="32"/>
      <c r="AF48" s="32"/>
      <c r="AG48" s="32"/>
      <c r="AH48" s="32"/>
      <c r="AI48" s="32"/>
      <c r="AJ48" s="32"/>
    </row>
    <row r="49">
      <c r="A49" s="32"/>
      <c r="B49" s="32"/>
      <c r="C49" s="32"/>
      <c r="D49" s="32"/>
      <c r="E49" s="32"/>
      <c r="F49" s="32"/>
      <c r="G49" s="32"/>
      <c r="H49" s="32"/>
      <c r="I49" s="32"/>
      <c r="J49" s="32"/>
      <c r="K49" s="32"/>
      <c r="L49" s="32"/>
      <c r="M49" s="32"/>
      <c r="N49" s="32"/>
      <c r="O49" s="32"/>
      <c r="P49" s="32"/>
      <c r="Q49" s="32"/>
      <c r="R49" s="32"/>
      <c r="S49" s="32"/>
      <c r="T49" s="32"/>
      <c r="U49" s="32"/>
      <c r="V49" s="32"/>
      <c r="W49" s="32"/>
      <c r="X49" s="32"/>
      <c r="Y49" s="32"/>
      <c r="Z49" s="32"/>
      <c r="AA49" s="32"/>
      <c r="AB49" s="32"/>
      <c r="AC49" s="32"/>
      <c r="AD49" s="32"/>
      <c r="AE49" s="32"/>
      <c r="AF49" s="32"/>
      <c r="AG49" s="32"/>
      <c r="AH49" s="32"/>
      <c r="AI49" s="32"/>
      <c r="AJ49" s="32"/>
    </row>
    <row r="50">
      <c r="A50" s="32"/>
      <c r="B50" s="32"/>
      <c r="C50" s="32"/>
      <c r="D50" s="32"/>
      <c r="E50" s="32"/>
      <c r="F50" s="32"/>
      <c r="G50" s="32"/>
      <c r="H50" s="32"/>
      <c r="I50" s="32"/>
      <c r="J50" s="32"/>
      <c r="K50" s="32"/>
      <c r="L50" s="32"/>
      <c r="M50" s="32"/>
      <c r="N50" s="32"/>
      <c r="O50" s="32"/>
      <c r="P50" s="32"/>
      <c r="Q50" s="32"/>
      <c r="R50" s="32"/>
      <c r="S50" s="32"/>
      <c r="T50" s="32"/>
      <c r="U50" s="32"/>
      <c r="V50" s="32"/>
      <c r="W50" s="32"/>
      <c r="X50" s="32"/>
      <c r="Y50" s="32"/>
      <c r="Z50" s="32"/>
      <c r="AA50" s="32"/>
      <c r="AB50" s="32"/>
      <c r="AC50" s="32"/>
      <c r="AD50" s="32"/>
      <c r="AE50" s="32"/>
      <c r="AF50" s="32"/>
      <c r="AG50" s="32"/>
      <c r="AH50" s="32"/>
      <c r="AI50" s="32"/>
      <c r="AJ50" s="32"/>
    </row>
    <row r="51">
      <c r="A51" s="32"/>
      <c r="B51" s="32"/>
      <c r="C51" s="32"/>
      <c r="D51" s="32"/>
      <c r="E51" s="32"/>
      <c r="F51" s="32"/>
      <c r="G51" s="32"/>
      <c r="H51" s="32"/>
      <c r="I51" s="32"/>
      <c r="J51" s="32"/>
      <c r="K51" s="32"/>
      <c r="L51" s="32"/>
      <c r="M51" s="32"/>
      <c r="N51" s="32"/>
      <c r="O51" s="32"/>
      <c r="P51" s="32"/>
      <c r="Q51" s="32"/>
      <c r="R51" s="32"/>
      <c r="S51" s="32"/>
      <c r="T51" s="32"/>
      <c r="U51" s="32"/>
      <c r="V51" s="32"/>
      <c r="W51" s="32"/>
      <c r="X51" s="32"/>
      <c r="Y51" s="32"/>
      <c r="Z51" s="32"/>
      <c r="AA51" s="32"/>
      <c r="AB51" s="32"/>
      <c r="AC51" s="32"/>
      <c r="AD51" s="32"/>
      <c r="AE51" s="32"/>
      <c r="AF51" s="32"/>
      <c r="AG51" s="32"/>
      <c r="AH51" s="32"/>
      <c r="AI51" s="32"/>
      <c r="AJ51" s="32"/>
    </row>
    <row r="52">
      <c r="A52" s="32"/>
      <c r="B52" s="32"/>
      <c r="C52" s="32"/>
      <c r="D52" s="32"/>
      <c r="E52" s="32"/>
      <c r="F52" s="32"/>
      <c r="G52" s="32"/>
      <c r="H52" s="32"/>
      <c r="I52" s="32"/>
      <c r="J52" s="32"/>
      <c r="K52" s="32"/>
      <c r="L52" s="32"/>
      <c r="M52" s="32"/>
      <c r="N52" s="32"/>
      <c r="O52" s="32"/>
      <c r="P52" s="32"/>
      <c r="Q52" s="32"/>
      <c r="R52" s="32"/>
      <c r="S52" s="32"/>
      <c r="T52" s="32"/>
      <c r="U52" s="32"/>
      <c r="V52" s="32"/>
      <c r="W52" s="32"/>
      <c r="X52" s="32"/>
      <c r="Y52" s="32"/>
      <c r="Z52" s="32"/>
      <c r="AA52" s="32"/>
      <c r="AB52" s="32"/>
      <c r="AC52" s="32"/>
      <c r="AD52" s="32"/>
      <c r="AE52" s="32"/>
      <c r="AF52" s="32"/>
      <c r="AG52" s="32"/>
      <c r="AH52" s="32"/>
      <c r="AI52" s="32"/>
      <c r="AJ52" s="32"/>
    </row>
    <row r="53">
      <c r="A53" s="32"/>
      <c r="B53" s="32"/>
      <c r="C53" s="32"/>
      <c r="D53" s="32"/>
      <c r="E53" s="32"/>
      <c r="F53" s="32"/>
      <c r="G53" s="32"/>
      <c r="H53" s="32"/>
      <c r="I53" s="32"/>
      <c r="J53" s="32"/>
      <c r="K53" s="32"/>
      <c r="L53" s="32"/>
      <c r="M53" s="32"/>
      <c r="N53" s="32"/>
      <c r="O53" s="32"/>
      <c r="P53" s="32"/>
      <c r="Q53" s="32"/>
      <c r="R53" s="32"/>
      <c r="S53" s="32"/>
      <c r="T53" s="32"/>
      <c r="U53" s="32"/>
      <c r="V53" s="32"/>
      <c r="W53" s="32"/>
      <c r="X53" s="32"/>
      <c r="Y53" s="32"/>
      <c r="Z53" s="32"/>
      <c r="AA53" s="32"/>
      <c r="AB53" s="32"/>
      <c r="AC53" s="32"/>
      <c r="AD53" s="32"/>
      <c r="AE53" s="32"/>
      <c r="AF53" s="32"/>
      <c r="AG53" s="32"/>
      <c r="AH53" s="32"/>
      <c r="AI53" s="32"/>
      <c r="AJ53" s="32"/>
    </row>
    <row r="54">
      <c r="A54" s="32"/>
      <c r="B54" s="32"/>
      <c r="C54" s="32"/>
      <c r="D54" s="32"/>
      <c r="E54" s="32"/>
      <c r="F54" s="32"/>
      <c r="G54" s="32"/>
      <c r="H54" s="32"/>
      <c r="I54" s="32"/>
      <c r="J54" s="32"/>
      <c r="K54" s="32"/>
      <c r="L54" s="32"/>
      <c r="M54" s="32"/>
      <c r="N54" s="32"/>
      <c r="O54" s="32"/>
      <c r="P54" s="32"/>
      <c r="Q54" s="32"/>
      <c r="R54" s="32"/>
      <c r="S54" s="32"/>
      <c r="T54" s="32"/>
      <c r="U54" s="32"/>
      <c r="V54" s="32"/>
      <c r="W54" s="32"/>
      <c r="X54" s="32"/>
      <c r="Y54" s="32"/>
      <c r="Z54" s="32"/>
      <c r="AA54" s="32"/>
      <c r="AB54" s="32"/>
      <c r="AC54" s="32"/>
      <c r="AD54" s="32"/>
      <c r="AE54" s="32"/>
      <c r="AF54" s="32"/>
      <c r="AG54" s="32"/>
      <c r="AH54" s="32"/>
      <c r="AI54" s="32"/>
      <c r="AJ54" s="32"/>
    </row>
    <row r="55">
      <c r="A55" s="32"/>
      <c r="B55" s="32"/>
      <c r="C55" s="32"/>
      <c r="D55" s="32"/>
      <c r="E55" s="32"/>
      <c r="F55" s="32"/>
      <c r="G55" s="32"/>
      <c r="H55" s="32"/>
      <c r="I55" s="32"/>
      <c r="J55" s="32"/>
      <c r="K55" s="32"/>
      <c r="L55" s="32"/>
      <c r="M55" s="32"/>
      <c r="N55" s="32"/>
      <c r="O55" s="32"/>
      <c r="P55" s="32"/>
      <c r="Q55" s="32"/>
      <c r="R55" s="32"/>
      <c r="S55" s="32"/>
      <c r="T55" s="32"/>
      <c r="U55" s="32"/>
      <c r="V55" s="32"/>
      <c r="W55" s="32"/>
      <c r="X55" s="32"/>
      <c r="Y55" s="32"/>
      <c r="Z55" s="32"/>
      <c r="AA55" s="32"/>
      <c r="AB55" s="32"/>
      <c r="AC55" s="32"/>
      <c r="AD55" s="32"/>
      <c r="AE55" s="32"/>
      <c r="AF55" s="32"/>
      <c r="AG55" s="32"/>
      <c r="AH55" s="32"/>
      <c r="AI55" s="32"/>
      <c r="AJ55" s="32"/>
    </row>
    <row r="56">
      <c r="A56" s="32"/>
      <c r="B56" s="32"/>
      <c r="C56" s="32"/>
      <c r="D56" s="32"/>
      <c r="E56" s="32"/>
      <c r="F56" s="32"/>
      <c r="G56" s="32"/>
      <c r="H56" s="32"/>
      <c r="I56" s="32"/>
      <c r="J56" s="32"/>
      <c r="K56" s="32"/>
      <c r="L56" s="32"/>
      <c r="M56" s="32"/>
      <c r="N56" s="32"/>
      <c r="O56" s="32"/>
      <c r="P56" s="32"/>
      <c r="Q56" s="32"/>
      <c r="R56" s="32"/>
      <c r="S56" s="32"/>
      <c r="T56" s="32"/>
      <c r="U56" s="32"/>
      <c r="V56" s="32"/>
      <c r="W56" s="32"/>
      <c r="X56" s="32"/>
      <c r="Y56" s="32"/>
      <c r="Z56" s="32"/>
      <c r="AA56" s="32"/>
      <c r="AB56" s="32"/>
      <c r="AC56" s="32"/>
      <c r="AD56" s="32"/>
      <c r="AE56" s="32"/>
      <c r="AF56" s="32"/>
      <c r="AG56" s="32"/>
      <c r="AH56" s="32"/>
      <c r="AI56" s="32"/>
      <c r="AJ56" s="32"/>
    </row>
    <row r="57">
      <c r="A57" s="32"/>
      <c r="B57" s="32"/>
      <c r="C57" s="32"/>
      <c r="D57" s="32"/>
      <c r="E57" s="32"/>
      <c r="F57" s="32"/>
      <c r="G57" s="32"/>
      <c r="H57" s="32"/>
      <c r="I57" s="32"/>
      <c r="J57" s="32"/>
      <c r="K57" s="32"/>
      <c r="L57" s="32"/>
      <c r="M57" s="32"/>
      <c r="N57" s="32"/>
      <c r="O57" s="32"/>
      <c r="P57" s="32"/>
      <c r="Q57" s="32"/>
      <c r="R57" s="32"/>
      <c r="S57" s="32"/>
      <c r="T57" s="32"/>
      <c r="U57" s="32"/>
      <c r="V57" s="32"/>
      <c r="W57" s="32"/>
      <c r="X57" s="32"/>
      <c r="Y57" s="32"/>
      <c r="Z57" s="32"/>
      <c r="AA57" s="32"/>
      <c r="AB57" s="32"/>
      <c r="AC57" s="32"/>
      <c r="AD57" s="32"/>
      <c r="AE57" s="32"/>
      <c r="AF57" s="32"/>
      <c r="AG57" s="32"/>
      <c r="AH57" s="32"/>
      <c r="AI57" s="32"/>
      <c r="AJ57" s="32"/>
    </row>
    <row r="58">
      <c r="A58" s="32"/>
      <c r="B58" s="32"/>
      <c r="C58" s="32"/>
      <c r="D58" s="32"/>
      <c r="E58" s="32"/>
      <c r="F58" s="32"/>
      <c r="G58" s="32"/>
      <c r="H58" s="32"/>
      <c r="I58" s="32"/>
      <c r="J58" s="32"/>
      <c r="K58" s="32"/>
      <c r="L58" s="32"/>
      <c r="M58" s="32"/>
      <c r="N58" s="32"/>
      <c r="O58" s="32"/>
      <c r="P58" s="32"/>
      <c r="Q58" s="32"/>
      <c r="R58" s="32"/>
      <c r="S58" s="32"/>
      <c r="T58" s="32"/>
      <c r="U58" s="32"/>
      <c r="V58" s="32"/>
      <c r="W58" s="32"/>
      <c r="X58" s="32"/>
      <c r="Y58" s="32"/>
      <c r="Z58" s="32"/>
      <c r="AA58" s="32"/>
      <c r="AB58" s="32"/>
      <c r="AC58" s="32"/>
      <c r="AD58" s="32"/>
      <c r="AE58" s="32"/>
      <c r="AF58" s="32"/>
      <c r="AG58" s="32"/>
      <c r="AH58" s="32"/>
      <c r="AI58" s="32"/>
      <c r="AJ58" s="32"/>
    </row>
    <row r="59">
      <c r="A59" s="32"/>
      <c r="B59" s="32"/>
      <c r="C59" s="32"/>
      <c r="D59" s="32"/>
      <c r="E59" s="32"/>
      <c r="F59" s="32"/>
      <c r="G59" s="32"/>
      <c r="H59" s="32"/>
      <c r="I59" s="32"/>
      <c r="J59" s="32"/>
      <c r="K59" s="32"/>
      <c r="L59" s="32"/>
      <c r="M59" s="32"/>
      <c r="N59" s="32"/>
      <c r="O59" s="32"/>
      <c r="P59" s="32"/>
      <c r="Q59" s="32"/>
      <c r="R59" s="32"/>
      <c r="S59" s="32"/>
      <c r="T59" s="32"/>
      <c r="U59" s="32"/>
      <c r="V59" s="32"/>
      <c r="W59" s="32"/>
      <c r="X59" s="32"/>
      <c r="Y59" s="32"/>
      <c r="Z59" s="32"/>
      <c r="AA59" s="32"/>
      <c r="AB59" s="32"/>
      <c r="AC59" s="32"/>
      <c r="AD59" s="32"/>
      <c r="AE59" s="32"/>
      <c r="AF59" s="32"/>
      <c r="AG59" s="32"/>
      <c r="AH59" s="32"/>
      <c r="AI59" s="32"/>
      <c r="AJ59" s="32"/>
    </row>
    <row r="60">
      <c r="A60" s="32"/>
      <c r="B60" s="32"/>
      <c r="C60" s="32"/>
      <c r="D60" s="32"/>
      <c r="E60" s="32"/>
      <c r="F60" s="32"/>
      <c r="G60" s="32"/>
      <c r="H60" s="32"/>
      <c r="I60" s="32"/>
      <c r="J60" s="32"/>
      <c r="K60" s="32"/>
      <c r="L60" s="32"/>
      <c r="M60" s="32"/>
      <c r="N60" s="32"/>
      <c r="O60" s="32"/>
      <c r="P60" s="32"/>
      <c r="Q60" s="32"/>
      <c r="R60" s="32"/>
      <c r="S60" s="32"/>
      <c r="T60" s="32"/>
      <c r="U60" s="32"/>
      <c r="V60" s="32"/>
      <c r="W60" s="32"/>
      <c r="X60" s="32"/>
      <c r="Y60" s="32"/>
      <c r="Z60" s="32"/>
      <c r="AA60" s="32"/>
      <c r="AB60" s="32"/>
      <c r="AC60" s="32"/>
      <c r="AD60" s="32"/>
      <c r="AE60" s="32"/>
      <c r="AF60" s="32"/>
      <c r="AG60" s="32"/>
      <c r="AH60" s="32"/>
      <c r="AI60" s="32"/>
      <c r="AJ60" s="32"/>
    </row>
    <row r="61">
      <c r="A61" s="32"/>
      <c r="B61" s="32"/>
      <c r="C61" s="32"/>
      <c r="D61" s="32"/>
      <c r="E61" s="32"/>
      <c r="F61" s="32"/>
      <c r="G61" s="32"/>
      <c r="H61" s="32"/>
      <c r="I61" s="32"/>
      <c r="J61" s="32"/>
      <c r="K61" s="32"/>
      <c r="L61" s="32"/>
      <c r="M61" s="32"/>
      <c r="N61" s="32"/>
      <c r="O61" s="32"/>
      <c r="P61" s="32"/>
      <c r="Q61" s="32"/>
      <c r="R61" s="32"/>
      <c r="S61" s="32"/>
      <c r="T61" s="32"/>
      <c r="U61" s="32"/>
      <c r="V61" s="32"/>
      <c r="W61" s="32"/>
      <c r="X61" s="32"/>
      <c r="Y61" s="32"/>
      <c r="Z61" s="32"/>
      <c r="AA61" s="32"/>
      <c r="AB61" s="32"/>
      <c r="AC61" s="32"/>
      <c r="AD61" s="32"/>
      <c r="AE61" s="32"/>
      <c r="AF61" s="32"/>
      <c r="AG61" s="32"/>
      <c r="AH61" s="32"/>
      <c r="AI61" s="32"/>
      <c r="AJ61" s="32"/>
    </row>
    <row r="62">
      <c r="A62" s="32"/>
      <c r="B62" s="32"/>
      <c r="C62" s="32"/>
      <c r="D62" s="32"/>
      <c r="E62" s="32"/>
      <c r="F62" s="32"/>
      <c r="G62" s="32"/>
      <c r="H62" s="32"/>
      <c r="I62" s="32"/>
      <c r="J62" s="32"/>
      <c r="K62" s="32"/>
      <c r="L62" s="32"/>
      <c r="M62" s="32"/>
      <c r="N62" s="32"/>
      <c r="O62" s="32"/>
      <c r="P62" s="32"/>
      <c r="Q62" s="32"/>
      <c r="R62" s="32"/>
      <c r="S62" s="32"/>
      <c r="T62" s="32"/>
      <c r="U62" s="32"/>
      <c r="V62" s="32"/>
      <c r="W62" s="32"/>
      <c r="X62" s="32"/>
      <c r="Y62" s="32"/>
      <c r="Z62" s="32"/>
      <c r="AA62" s="32"/>
      <c r="AB62" s="32"/>
      <c r="AC62" s="32"/>
      <c r="AD62" s="32"/>
      <c r="AE62" s="32"/>
      <c r="AF62" s="32"/>
      <c r="AG62" s="32"/>
      <c r="AH62" s="32"/>
      <c r="AI62" s="32"/>
      <c r="AJ62" s="32"/>
    </row>
    <row r="63">
      <c r="A63" s="32"/>
      <c r="B63" s="32"/>
      <c r="C63" s="32"/>
      <c r="D63" s="32"/>
      <c r="E63" s="32"/>
      <c r="F63" s="32"/>
      <c r="G63" s="32"/>
      <c r="H63" s="32"/>
      <c r="I63" s="32"/>
      <c r="J63" s="32"/>
      <c r="K63" s="32"/>
      <c r="L63" s="32"/>
      <c r="M63" s="32"/>
      <c r="N63" s="32"/>
      <c r="O63" s="32"/>
      <c r="P63" s="32"/>
      <c r="Q63" s="32"/>
      <c r="R63" s="32"/>
      <c r="S63" s="32"/>
      <c r="T63" s="32"/>
      <c r="U63" s="32"/>
      <c r="V63" s="32"/>
      <c r="W63" s="32"/>
      <c r="X63" s="32"/>
      <c r="Y63" s="32"/>
      <c r="Z63" s="32"/>
      <c r="AA63" s="32"/>
      <c r="AB63" s="32"/>
      <c r="AC63" s="32"/>
      <c r="AD63" s="32"/>
      <c r="AE63" s="32"/>
      <c r="AF63" s="32"/>
      <c r="AG63" s="32"/>
      <c r="AH63" s="32"/>
      <c r="AI63" s="32"/>
      <c r="AJ63" s="32"/>
    </row>
    <row r="64">
      <c r="A64" s="32"/>
      <c r="B64" s="32"/>
      <c r="C64" s="32"/>
      <c r="D64" s="32"/>
      <c r="E64" s="32"/>
      <c r="F64" s="32"/>
      <c r="G64" s="32"/>
      <c r="H64" s="32"/>
      <c r="I64" s="32"/>
      <c r="J64" s="32"/>
      <c r="K64" s="32"/>
      <c r="L64" s="32"/>
      <c r="M64" s="32"/>
      <c r="N64" s="32"/>
      <c r="O64" s="32"/>
      <c r="P64" s="32"/>
      <c r="Q64" s="32"/>
      <c r="R64" s="32"/>
      <c r="S64" s="32"/>
      <c r="T64" s="32"/>
      <c r="U64" s="32"/>
      <c r="V64" s="32"/>
      <c r="W64" s="32"/>
      <c r="X64" s="32"/>
      <c r="Y64" s="32"/>
      <c r="Z64" s="32"/>
      <c r="AA64" s="32"/>
      <c r="AB64" s="32"/>
      <c r="AC64" s="32"/>
      <c r="AD64" s="32"/>
      <c r="AE64" s="32"/>
      <c r="AF64" s="32"/>
      <c r="AG64" s="32"/>
      <c r="AH64" s="32"/>
      <c r="AI64" s="32"/>
      <c r="AJ64" s="32"/>
    </row>
    <row r="65">
      <c r="A65" s="32"/>
      <c r="B65" s="32"/>
      <c r="C65" s="32"/>
      <c r="D65" s="32"/>
      <c r="E65" s="32"/>
      <c r="F65" s="32"/>
      <c r="G65" s="32"/>
      <c r="H65" s="32"/>
      <c r="I65" s="32"/>
      <c r="J65" s="32"/>
      <c r="K65" s="32"/>
      <c r="L65" s="32"/>
      <c r="M65" s="32"/>
      <c r="N65" s="32"/>
      <c r="O65" s="32"/>
      <c r="P65" s="32"/>
      <c r="Q65" s="32"/>
      <c r="R65" s="32"/>
      <c r="S65" s="32"/>
      <c r="T65" s="32"/>
      <c r="U65" s="32"/>
      <c r="V65" s="32"/>
      <c r="W65" s="32"/>
      <c r="X65" s="32"/>
      <c r="Y65" s="32"/>
      <c r="Z65" s="32"/>
      <c r="AA65" s="32"/>
      <c r="AB65" s="32"/>
      <c r="AC65" s="32"/>
      <c r="AD65" s="32"/>
      <c r="AE65" s="32"/>
      <c r="AF65" s="32"/>
      <c r="AG65" s="32"/>
      <c r="AH65" s="32"/>
      <c r="AI65" s="32"/>
      <c r="AJ65" s="32"/>
    </row>
    <row r="66">
      <c r="A66" s="32"/>
      <c r="B66" s="32"/>
      <c r="C66" s="32"/>
      <c r="D66" s="32"/>
      <c r="E66" s="32"/>
      <c r="F66" s="32"/>
      <c r="G66" s="32"/>
      <c r="H66" s="32"/>
      <c r="I66" s="32"/>
      <c r="J66" s="32"/>
      <c r="K66" s="32"/>
      <c r="L66" s="32"/>
      <c r="M66" s="32"/>
      <c r="N66" s="32"/>
      <c r="O66" s="32"/>
      <c r="P66" s="32"/>
      <c r="Q66" s="32"/>
      <c r="R66" s="32"/>
      <c r="S66" s="32"/>
      <c r="T66" s="32"/>
      <c r="U66" s="32"/>
      <c r="V66" s="32"/>
      <c r="W66" s="32"/>
      <c r="X66" s="32"/>
      <c r="Y66" s="32"/>
      <c r="Z66" s="32"/>
      <c r="AA66" s="32"/>
      <c r="AB66" s="32"/>
      <c r="AC66" s="32"/>
      <c r="AD66" s="32"/>
      <c r="AE66" s="32"/>
      <c r="AF66" s="32"/>
      <c r="AG66" s="32"/>
      <c r="AH66" s="32"/>
      <c r="AI66" s="32"/>
      <c r="AJ66" s="32"/>
    </row>
    <row r="67">
      <c r="A67" s="32"/>
      <c r="B67" s="32"/>
      <c r="C67" s="32"/>
      <c r="D67" s="32"/>
      <c r="E67" s="32"/>
      <c r="F67" s="32"/>
      <c r="G67" s="32"/>
      <c r="H67" s="32"/>
      <c r="I67" s="32"/>
      <c r="J67" s="32"/>
      <c r="K67" s="32"/>
      <c r="L67" s="32"/>
      <c r="M67" s="32"/>
      <c r="N67" s="32"/>
      <c r="O67" s="32"/>
      <c r="P67" s="32"/>
      <c r="Q67" s="32"/>
      <c r="R67" s="32"/>
      <c r="S67" s="32"/>
      <c r="T67" s="32"/>
      <c r="U67" s="32"/>
      <c r="V67" s="32"/>
      <c r="W67" s="32"/>
      <c r="X67" s="32"/>
      <c r="Y67" s="32"/>
      <c r="Z67" s="32"/>
      <c r="AA67" s="32"/>
      <c r="AB67" s="32"/>
      <c r="AC67" s="32"/>
      <c r="AD67" s="32"/>
      <c r="AE67" s="32"/>
      <c r="AF67" s="32"/>
      <c r="AG67" s="32"/>
      <c r="AH67" s="32"/>
      <c r="AI67" s="32"/>
      <c r="AJ67" s="32"/>
    </row>
    <row r="68">
      <c r="A68" s="32"/>
      <c r="B68" s="32"/>
      <c r="C68" s="32"/>
      <c r="D68" s="32"/>
      <c r="E68" s="32"/>
      <c r="F68" s="32"/>
      <c r="G68" s="32"/>
      <c r="H68" s="32"/>
      <c r="I68" s="32"/>
      <c r="J68" s="32"/>
      <c r="K68" s="32"/>
      <c r="L68" s="32"/>
      <c r="M68" s="32"/>
      <c r="N68" s="32"/>
      <c r="O68" s="32"/>
      <c r="P68" s="32"/>
      <c r="Q68" s="32"/>
      <c r="R68" s="32"/>
      <c r="S68" s="32"/>
      <c r="T68" s="32"/>
      <c r="U68" s="32"/>
      <c r="V68" s="32"/>
      <c r="W68" s="32"/>
      <c r="X68" s="32"/>
      <c r="Y68" s="32"/>
      <c r="Z68" s="32"/>
      <c r="AA68" s="32"/>
      <c r="AB68" s="32"/>
      <c r="AC68" s="32"/>
      <c r="AD68" s="32"/>
      <c r="AE68" s="32"/>
      <c r="AF68" s="32"/>
      <c r="AG68" s="32"/>
      <c r="AH68" s="32"/>
      <c r="AI68" s="32"/>
      <c r="AJ68" s="32"/>
    </row>
    <row r="69">
      <c r="A69" s="32"/>
      <c r="B69" s="32"/>
      <c r="C69" s="32"/>
      <c r="D69" s="32"/>
      <c r="E69" s="32"/>
      <c r="F69" s="32"/>
      <c r="G69" s="32"/>
      <c r="H69" s="32"/>
      <c r="I69" s="32"/>
      <c r="J69" s="32"/>
      <c r="K69" s="32"/>
      <c r="L69" s="32"/>
      <c r="M69" s="32"/>
      <c r="N69" s="32"/>
      <c r="O69" s="32"/>
      <c r="P69" s="32"/>
      <c r="Q69" s="32"/>
      <c r="R69" s="32"/>
      <c r="S69" s="32"/>
      <c r="T69" s="32"/>
      <c r="U69" s="32"/>
      <c r="V69" s="32"/>
      <c r="W69" s="32"/>
      <c r="X69" s="32"/>
      <c r="Y69" s="32"/>
      <c r="Z69" s="32"/>
      <c r="AA69" s="32"/>
      <c r="AB69" s="32"/>
      <c r="AC69" s="32"/>
      <c r="AD69" s="32"/>
      <c r="AE69" s="32"/>
      <c r="AF69" s="32"/>
      <c r="AG69" s="32"/>
      <c r="AH69" s="32"/>
      <c r="AI69" s="32"/>
      <c r="AJ69" s="32"/>
    </row>
    <row r="70">
      <c r="A70" s="32"/>
      <c r="B70" s="32"/>
      <c r="C70" s="32"/>
      <c r="D70" s="32"/>
      <c r="E70" s="32"/>
      <c r="F70" s="32"/>
      <c r="G70" s="32"/>
      <c r="H70" s="32"/>
      <c r="I70" s="32"/>
      <c r="J70" s="32"/>
      <c r="K70" s="32"/>
      <c r="L70" s="32"/>
      <c r="M70" s="32"/>
      <c r="N70" s="32"/>
      <c r="O70" s="32"/>
      <c r="P70" s="32"/>
      <c r="Q70" s="32"/>
      <c r="R70" s="32"/>
      <c r="S70" s="32"/>
      <c r="T70" s="32"/>
      <c r="U70" s="32"/>
      <c r="V70" s="32"/>
      <c r="W70" s="32"/>
      <c r="X70" s="32"/>
      <c r="Y70" s="32"/>
      <c r="Z70" s="32"/>
      <c r="AA70" s="32"/>
      <c r="AB70" s="32"/>
      <c r="AC70" s="32"/>
      <c r="AD70" s="32"/>
      <c r="AE70" s="32"/>
      <c r="AF70" s="32"/>
      <c r="AG70" s="32"/>
      <c r="AH70" s="32"/>
      <c r="AI70" s="32"/>
      <c r="AJ70" s="32"/>
    </row>
    <row r="71">
      <c r="A71" s="32"/>
      <c r="B71" s="32"/>
      <c r="C71" s="32"/>
      <c r="D71" s="32"/>
      <c r="E71" s="32"/>
      <c r="F71" s="32"/>
      <c r="G71" s="32"/>
      <c r="H71" s="32"/>
      <c r="I71" s="32"/>
      <c r="J71" s="32"/>
      <c r="K71" s="32"/>
      <c r="L71" s="32"/>
      <c r="M71" s="32"/>
      <c r="N71" s="32"/>
      <c r="O71" s="32"/>
      <c r="P71" s="32"/>
      <c r="Q71" s="32"/>
      <c r="R71" s="32"/>
      <c r="S71" s="32"/>
      <c r="T71" s="32"/>
      <c r="U71" s="32"/>
      <c r="V71" s="32"/>
      <c r="W71" s="32"/>
      <c r="X71" s="32"/>
      <c r="Y71" s="32"/>
      <c r="Z71" s="32"/>
      <c r="AA71" s="32"/>
      <c r="AB71" s="32"/>
      <c r="AC71" s="32"/>
      <c r="AD71" s="32"/>
      <c r="AE71" s="32"/>
      <c r="AF71" s="32"/>
      <c r="AG71" s="32"/>
      <c r="AH71" s="32"/>
      <c r="AI71" s="32"/>
      <c r="AJ71" s="32"/>
    </row>
    <row r="72">
      <c r="A72" s="32"/>
      <c r="B72" s="32"/>
      <c r="C72" s="32"/>
      <c r="D72" s="32"/>
      <c r="E72" s="32"/>
      <c r="F72" s="32"/>
      <c r="G72" s="32"/>
      <c r="H72" s="32"/>
      <c r="I72" s="32"/>
      <c r="J72" s="32"/>
      <c r="K72" s="32"/>
      <c r="L72" s="32"/>
      <c r="M72" s="32"/>
      <c r="N72" s="32"/>
      <c r="O72" s="32"/>
      <c r="P72" s="32"/>
      <c r="Q72" s="32"/>
      <c r="R72" s="32"/>
      <c r="S72" s="32"/>
      <c r="T72" s="32"/>
      <c r="U72" s="32"/>
      <c r="V72" s="32"/>
      <c r="W72" s="32"/>
      <c r="X72" s="32"/>
      <c r="Y72" s="32"/>
      <c r="Z72" s="32"/>
      <c r="AA72" s="32"/>
      <c r="AB72" s="32"/>
      <c r="AC72" s="32"/>
      <c r="AD72" s="32"/>
      <c r="AE72" s="32"/>
      <c r="AF72" s="32"/>
      <c r="AG72" s="32"/>
      <c r="AH72" s="32"/>
      <c r="AI72" s="32"/>
      <c r="AJ72" s="32"/>
    </row>
    <row r="73">
      <c r="A73" s="32"/>
      <c r="B73" s="32"/>
      <c r="C73" s="32"/>
      <c r="D73" s="32"/>
      <c r="E73" s="32"/>
      <c r="F73" s="32"/>
      <c r="G73" s="32"/>
      <c r="H73" s="32"/>
      <c r="I73" s="32"/>
      <c r="J73" s="32"/>
      <c r="K73" s="32"/>
      <c r="L73" s="32"/>
      <c r="M73" s="32"/>
      <c r="N73" s="32"/>
      <c r="O73" s="32"/>
      <c r="P73" s="32"/>
      <c r="Q73" s="32"/>
      <c r="R73" s="32"/>
      <c r="S73" s="32"/>
      <c r="T73" s="32"/>
      <c r="U73" s="32"/>
      <c r="V73" s="32"/>
      <c r="W73" s="32"/>
      <c r="X73" s="32"/>
      <c r="Y73" s="32"/>
      <c r="Z73" s="32"/>
      <c r="AA73" s="32"/>
      <c r="AB73" s="32"/>
      <c r="AC73" s="32"/>
      <c r="AD73" s="32"/>
      <c r="AE73" s="32"/>
      <c r="AF73" s="32"/>
      <c r="AG73" s="32"/>
      <c r="AH73" s="32"/>
      <c r="AI73" s="32"/>
      <c r="AJ73" s="32"/>
    </row>
    <row r="74">
      <c r="A74" s="32"/>
      <c r="B74" s="32"/>
      <c r="C74" s="32"/>
      <c r="D74" s="32"/>
      <c r="E74" s="32"/>
      <c r="F74" s="32"/>
      <c r="G74" s="32"/>
      <c r="H74" s="32"/>
      <c r="I74" s="32"/>
      <c r="J74" s="32"/>
      <c r="K74" s="32"/>
      <c r="L74" s="32"/>
      <c r="M74" s="32"/>
      <c r="N74" s="32"/>
      <c r="O74" s="32"/>
      <c r="P74" s="32"/>
      <c r="Q74" s="32"/>
      <c r="R74" s="32"/>
      <c r="S74" s="32"/>
      <c r="T74" s="32"/>
      <c r="U74" s="32"/>
      <c r="V74" s="32"/>
      <c r="W74" s="32"/>
      <c r="X74" s="32"/>
      <c r="Y74" s="32"/>
      <c r="Z74" s="32"/>
      <c r="AA74" s="32"/>
      <c r="AB74" s="32"/>
      <c r="AC74" s="32"/>
      <c r="AD74" s="32"/>
      <c r="AE74" s="32"/>
      <c r="AF74" s="32"/>
      <c r="AG74" s="32"/>
      <c r="AH74" s="32"/>
      <c r="AI74" s="32"/>
      <c r="AJ74" s="32"/>
    </row>
    <row r="75">
      <c r="A75" s="32"/>
      <c r="B75" s="32"/>
      <c r="C75" s="32"/>
      <c r="D75" s="32"/>
      <c r="E75" s="32"/>
      <c r="F75" s="32"/>
      <c r="G75" s="32"/>
      <c r="H75" s="32"/>
      <c r="I75" s="32"/>
      <c r="J75" s="32"/>
      <c r="K75" s="32"/>
      <c r="L75" s="32"/>
      <c r="M75" s="32"/>
      <c r="N75" s="32"/>
      <c r="O75" s="32"/>
      <c r="P75" s="32"/>
      <c r="Q75" s="32"/>
      <c r="R75" s="32"/>
      <c r="S75" s="32"/>
      <c r="T75" s="32"/>
      <c r="U75" s="32"/>
      <c r="V75" s="32"/>
      <c r="W75" s="32"/>
      <c r="X75" s="32"/>
      <c r="Y75" s="32"/>
      <c r="Z75" s="32"/>
      <c r="AA75" s="32"/>
      <c r="AB75" s="32"/>
      <c r="AC75" s="32"/>
      <c r="AD75" s="32"/>
      <c r="AE75" s="32"/>
      <c r="AF75" s="32"/>
      <c r="AG75" s="32"/>
      <c r="AH75" s="32"/>
      <c r="AI75" s="32"/>
      <c r="AJ75" s="32"/>
    </row>
    <row r="76">
      <c r="A76" s="32"/>
      <c r="B76" s="32"/>
      <c r="C76" s="32"/>
      <c r="D76" s="32"/>
      <c r="E76" s="32"/>
      <c r="F76" s="32"/>
      <c r="G76" s="32"/>
      <c r="H76" s="32"/>
      <c r="I76" s="32"/>
      <c r="J76" s="32"/>
      <c r="K76" s="32"/>
      <c r="L76" s="32"/>
      <c r="M76" s="32"/>
      <c r="N76" s="32"/>
      <c r="O76" s="32"/>
      <c r="P76" s="32"/>
      <c r="Q76" s="32"/>
      <c r="R76" s="32"/>
      <c r="S76" s="32"/>
      <c r="T76" s="32"/>
      <c r="U76" s="32"/>
      <c r="V76" s="32"/>
      <c r="W76" s="32"/>
      <c r="X76" s="32"/>
      <c r="Y76" s="32"/>
      <c r="Z76" s="32"/>
      <c r="AA76" s="32"/>
      <c r="AB76" s="32"/>
      <c r="AC76" s="32"/>
      <c r="AD76" s="32"/>
      <c r="AE76" s="32"/>
      <c r="AF76" s="32"/>
      <c r="AG76" s="32"/>
      <c r="AH76" s="32"/>
      <c r="AI76" s="32"/>
      <c r="AJ76" s="32"/>
    </row>
    <row r="77">
      <c r="A77" s="32"/>
      <c r="B77" s="32"/>
      <c r="C77" s="32"/>
      <c r="D77" s="32"/>
      <c r="E77" s="32"/>
      <c r="F77" s="32"/>
      <c r="G77" s="32"/>
      <c r="H77" s="32"/>
      <c r="I77" s="32"/>
      <c r="J77" s="32"/>
      <c r="K77" s="32"/>
      <c r="L77" s="32"/>
      <c r="M77" s="32"/>
      <c r="N77" s="32"/>
      <c r="O77" s="32"/>
      <c r="P77" s="32"/>
      <c r="Q77" s="32"/>
      <c r="R77" s="32"/>
      <c r="S77" s="32"/>
      <c r="T77" s="32"/>
      <c r="U77" s="32"/>
      <c r="V77" s="32"/>
      <c r="W77" s="32"/>
      <c r="X77" s="32"/>
      <c r="Y77" s="32"/>
      <c r="Z77" s="32"/>
      <c r="AA77" s="32"/>
      <c r="AB77" s="32"/>
      <c r="AC77" s="32"/>
      <c r="AD77" s="32"/>
      <c r="AE77" s="32"/>
      <c r="AF77" s="32"/>
      <c r="AG77" s="32"/>
      <c r="AH77" s="32"/>
      <c r="AI77" s="32"/>
      <c r="AJ77" s="32"/>
    </row>
    <row r="78">
      <c r="A78" s="32"/>
      <c r="B78" s="32"/>
      <c r="C78" s="32"/>
      <c r="D78" s="32"/>
      <c r="E78" s="32"/>
      <c r="F78" s="32"/>
      <c r="G78" s="32"/>
      <c r="H78" s="32"/>
      <c r="I78" s="32"/>
      <c r="J78" s="32"/>
      <c r="K78" s="32"/>
      <c r="L78" s="32"/>
      <c r="M78" s="32"/>
      <c r="N78" s="32"/>
      <c r="O78" s="32"/>
      <c r="P78" s="32"/>
      <c r="Q78" s="32"/>
      <c r="R78" s="32"/>
      <c r="S78" s="32"/>
      <c r="T78" s="32"/>
      <c r="U78" s="32"/>
      <c r="V78" s="32"/>
      <c r="W78" s="32"/>
      <c r="X78" s="32"/>
      <c r="Y78" s="32"/>
      <c r="Z78" s="32"/>
      <c r="AA78" s="32"/>
      <c r="AB78" s="32"/>
      <c r="AC78" s="32"/>
      <c r="AD78" s="32"/>
      <c r="AE78" s="32"/>
      <c r="AF78" s="32"/>
      <c r="AG78" s="32"/>
      <c r="AH78" s="32"/>
      <c r="AI78" s="32"/>
      <c r="AJ78" s="32"/>
    </row>
    <row r="79">
      <c r="A79" s="32"/>
      <c r="B79" s="32"/>
      <c r="C79" s="32"/>
      <c r="D79" s="32"/>
      <c r="E79" s="32"/>
      <c r="F79" s="32"/>
      <c r="G79" s="32"/>
      <c r="H79" s="32"/>
      <c r="I79" s="32"/>
      <c r="J79" s="32"/>
      <c r="K79" s="32"/>
      <c r="L79" s="32"/>
      <c r="M79" s="32"/>
      <c r="N79" s="32"/>
      <c r="O79" s="32"/>
      <c r="P79" s="32"/>
      <c r="Q79" s="32"/>
      <c r="R79" s="32"/>
      <c r="S79" s="32"/>
      <c r="T79" s="32"/>
      <c r="U79" s="32"/>
      <c r="V79" s="32"/>
      <c r="W79" s="32"/>
      <c r="X79" s="32"/>
      <c r="Y79" s="32"/>
      <c r="Z79" s="32"/>
      <c r="AA79" s="32"/>
      <c r="AB79" s="32"/>
      <c r="AC79" s="32"/>
      <c r="AD79" s="32"/>
      <c r="AE79" s="32"/>
      <c r="AF79" s="32"/>
      <c r="AG79" s="32"/>
      <c r="AH79" s="32"/>
      <c r="AI79" s="32"/>
      <c r="AJ79" s="32"/>
    </row>
    <row r="80">
      <c r="A80" s="32"/>
      <c r="B80" s="32"/>
      <c r="C80" s="32"/>
      <c r="D80" s="32"/>
      <c r="E80" s="32"/>
      <c r="F80" s="32"/>
      <c r="G80" s="32"/>
      <c r="H80" s="32"/>
      <c r="I80" s="32"/>
      <c r="J80" s="32"/>
      <c r="K80" s="32"/>
      <c r="L80" s="32"/>
      <c r="M80" s="32"/>
      <c r="N80" s="32"/>
      <c r="O80" s="32"/>
      <c r="P80" s="32"/>
      <c r="Q80" s="32"/>
      <c r="R80" s="32"/>
      <c r="S80" s="32"/>
      <c r="T80" s="32"/>
      <c r="U80" s="32"/>
      <c r="V80" s="32"/>
      <c r="W80" s="32"/>
      <c r="X80" s="32"/>
      <c r="Y80" s="32"/>
      <c r="Z80" s="32"/>
      <c r="AA80" s="32"/>
      <c r="AB80" s="32"/>
      <c r="AC80" s="32"/>
      <c r="AD80" s="32"/>
      <c r="AE80" s="32"/>
      <c r="AF80" s="32"/>
      <c r="AG80" s="32"/>
      <c r="AH80" s="32"/>
      <c r="AI80" s="32"/>
      <c r="AJ80" s="32"/>
    </row>
    <row r="81">
      <c r="A81" s="32"/>
      <c r="B81" s="32"/>
      <c r="C81" s="32"/>
      <c r="D81" s="32"/>
      <c r="E81" s="32"/>
      <c r="F81" s="32"/>
      <c r="G81" s="32"/>
      <c r="H81" s="32"/>
      <c r="I81" s="32"/>
      <c r="J81" s="32"/>
      <c r="K81" s="32"/>
      <c r="L81" s="32"/>
      <c r="M81" s="32"/>
      <c r="N81" s="32"/>
      <c r="O81" s="32"/>
      <c r="P81" s="32"/>
      <c r="Q81" s="32"/>
      <c r="R81" s="32"/>
      <c r="S81" s="32"/>
      <c r="T81" s="32"/>
      <c r="U81" s="32"/>
      <c r="V81" s="32"/>
      <c r="W81" s="32"/>
      <c r="X81" s="32"/>
      <c r="Y81" s="32"/>
      <c r="Z81" s="32"/>
      <c r="AA81" s="32"/>
      <c r="AB81" s="32"/>
      <c r="AC81" s="32"/>
      <c r="AD81" s="32"/>
      <c r="AE81" s="32"/>
      <c r="AF81" s="32"/>
      <c r="AG81" s="32"/>
      <c r="AH81" s="32"/>
      <c r="AI81" s="32"/>
      <c r="AJ81" s="32"/>
    </row>
    <row r="82">
      <c r="A82" s="32"/>
      <c r="B82" s="32"/>
      <c r="C82" s="32"/>
      <c r="D82" s="32"/>
      <c r="E82" s="32"/>
      <c r="F82" s="32"/>
      <c r="G82" s="32"/>
      <c r="H82" s="32"/>
      <c r="I82" s="32"/>
      <c r="J82" s="32"/>
      <c r="K82" s="32"/>
      <c r="L82" s="32"/>
      <c r="M82" s="32"/>
      <c r="N82" s="32"/>
      <c r="O82" s="32"/>
      <c r="P82" s="32"/>
      <c r="Q82" s="32"/>
      <c r="R82" s="32"/>
      <c r="S82" s="32"/>
      <c r="T82" s="32"/>
      <c r="U82" s="32"/>
      <c r="V82" s="32"/>
      <c r="W82" s="32"/>
      <c r="X82" s="32"/>
      <c r="Y82" s="32"/>
      <c r="Z82" s="32"/>
      <c r="AA82" s="32"/>
      <c r="AB82" s="32"/>
      <c r="AC82" s="32"/>
      <c r="AD82" s="32"/>
      <c r="AE82" s="32"/>
      <c r="AF82" s="32"/>
      <c r="AG82" s="32"/>
      <c r="AH82" s="32"/>
      <c r="AI82" s="32"/>
      <c r="AJ82" s="32"/>
    </row>
    <row r="83">
      <c r="A83" s="32"/>
      <c r="B83" s="32"/>
      <c r="C83" s="32"/>
      <c r="D83" s="32"/>
      <c r="E83" s="32"/>
      <c r="F83" s="32"/>
      <c r="G83" s="32"/>
      <c r="H83" s="32"/>
      <c r="I83" s="32"/>
      <c r="J83" s="32"/>
      <c r="K83" s="32"/>
      <c r="L83" s="32"/>
      <c r="M83" s="32"/>
      <c r="N83" s="32"/>
      <c r="O83" s="32"/>
      <c r="P83" s="32"/>
      <c r="Q83" s="32"/>
      <c r="R83" s="32"/>
      <c r="S83" s="32"/>
      <c r="T83" s="32"/>
      <c r="U83" s="32"/>
      <c r="V83" s="32"/>
      <c r="W83" s="32"/>
      <c r="X83" s="32"/>
      <c r="Y83" s="32"/>
      <c r="Z83" s="32"/>
      <c r="AA83" s="32"/>
      <c r="AB83" s="32"/>
      <c r="AC83" s="32"/>
      <c r="AD83" s="32"/>
      <c r="AE83" s="32"/>
      <c r="AF83" s="32"/>
      <c r="AG83" s="32"/>
      <c r="AH83" s="32"/>
      <c r="AI83" s="32"/>
      <c r="AJ83" s="32"/>
    </row>
    <row r="84">
      <c r="A84" s="32"/>
      <c r="B84" s="32"/>
      <c r="C84" s="32"/>
      <c r="D84" s="32"/>
      <c r="E84" s="32"/>
      <c r="F84" s="32"/>
      <c r="G84" s="32"/>
      <c r="H84" s="32"/>
      <c r="I84" s="32"/>
      <c r="J84" s="32"/>
      <c r="K84" s="32"/>
      <c r="L84" s="32"/>
      <c r="M84" s="32"/>
      <c r="N84" s="32"/>
      <c r="O84" s="32"/>
      <c r="P84" s="32"/>
      <c r="Q84" s="32"/>
      <c r="R84" s="32"/>
      <c r="S84" s="32"/>
      <c r="T84" s="32"/>
      <c r="U84" s="32"/>
      <c r="V84" s="32"/>
      <c r="W84" s="32"/>
      <c r="X84" s="32"/>
      <c r="Y84" s="32"/>
      <c r="Z84" s="32"/>
      <c r="AA84" s="32"/>
      <c r="AB84" s="32"/>
      <c r="AC84" s="32"/>
      <c r="AD84" s="32"/>
      <c r="AE84" s="32"/>
      <c r="AF84" s="32"/>
      <c r="AG84" s="32"/>
      <c r="AH84" s="32"/>
      <c r="AI84" s="32"/>
      <c r="AJ84" s="32"/>
    </row>
    <row r="85">
      <c r="A85" s="32"/>
      <c r="B85" s="32"/>
      <c r="C85" s="32"/>
      <c r="D85" s="32"/>
      <c r="E85" s="32"/>
      <c r="F85" s="32"/>
      <c r="G85" s="32"/>
      <c r="H85" s="32"/>
      <c r="I85" s="32"/>
      <c r="J85" s="32"/>
      <c r="K85" s="32"/>
      <c r="L85" s="32"/>
      <c r="M85" s="32"/>
      <c r="N85" s="32"/>
      <c r="O85" s="32"/>
      <c r="P85" s="32"/>
      <c r="Q85" s="32"/>
      <c r="R85" s="32"/>
      <c r="S85" s="32"/>
      <c r="T85" s="32"/>
      <c r="U85" s="32"/>
      <c r="V85" s="32"/>
      <c r="W85" s="32"/>
      <c r="X85" s="32"/>
      <c r="Y85" s="32"/>
      <c r="Z85" s="32"/>
      <c r="AA85" s="32"/>
      <c r="AB85" s="32"/>
      <c r="AC85" s="32"/>
      <c r="AD85" s="32"/>
      <c r="AE85" s="32"/>
      <c r="AF85" s="32"/>
      <c r="AG85" s="32"/>
      <c r="AH85" s="32"/>
      <c r="AI85" s="32"/>
      <c r="AJ85" s="32"/>
    </row>
    <row r="86">
      <c r="A86" s="32"/>
      <c r="B86" s="32"/>
      <c r="C86" s="32"/>
      <c r="D86" s="32"/>
      <c r="E86" s="32"/>
      <c r="F86" s="32"/>
      <c r="G86" s="32"/>
      <c r="H86" s="32"/>
      <c r="I86" s="32"/>
      <c r="J86" s="32"/>
      <c r="K86" s="32"/>
      <c r="L86" s="32"/>
      <c r="M86" s="32"/>
      <c r="N86" s="32"/>
      <c r="O86" s="32"/>
      <c r="P86" s="32"/>
      <c r="Q86" s="32"/>
      <c r="R86" s="32"/>
      <c r="S86" s="32"/>
      <c r="T86" s="32"/>
      <c r="U86" s="32"/>
      <c r="V86" s="32"/>
      <c r="W86" s="32"/>
      <c r="X86" s="32"/>
      <c r="Y86" s="32"/>
      <c r="Z86" s="32"/>
      <c r="AA86" s="32"/>
      <c r="AB86" s="32"/>
      <c r="AC86" s="32"/>
      <c r="AD86" s="32"/>
      <c r="AE86" s="32"/>
      <c r="AF86" s="32"/>
      <c r="AG86" s="32"/>
      <c r="AH86" s="32"/>
      <c r="AI86" s="32"/>
      <c r="AJ86" s="32"/>
    </row>
    <row r="87">
      <c r="A87" s="32"/>
      <c r="B87" s="32"/>
      <c r="C87" s="32"/>
      <c r="D87" s="32"/>
      <c r="E87" s="32"/>
      <c r="F87" s="32"/>
      <c r="G87" s="32"/>
      <c r="H87" s="32"/>
      <c r="I87" s="32"/>
      <c r="J87" s="32"/>
      <c r="K87" s="32"/>
      <c r="L87" s="32"/>
      <c r="M87" s="32"/>
      <c r="N87" s="32"/>
      <c r="O87" s="32"/>
      <c r="P87" s="32"/>
      <c r="Q87" s="32"/>
      <c r="R87" s="32"/>
      <c r="S87" s="32"/>
      <c r="T87" s="32"/>
      <c r="U87" s="32"/>
      <c r="V87" s="32"/>
      <c r="W87" s="32"/>
      <c r="X87" s="32"/>
      <c r="Y87" s="32"/>
      <c r="Z87" s="32"/>
      <c r="AA87" s="32"/>
      <c r="AB87" s="32"/>
      <c r="AC87" s="32"/>
      <c r="AD87" s="32"/>
      <c r="AE87" s="32"/>
      <c r="AF87" s="32"/>
      <c r="AG87" s="32"/>
      <c r="AH87" s="32"/>
      <c r="AI87" s="32"/>
      <c r="AJ87" s="32"/>
    </row>
    <row r="88">
      <c r="A88" s="32"/>
      <c r="B88" s="32"/>
      <c r="C88" s="32"/>
      <c r="D88" s="32"/>
      <c r="E88" s="32"/>
      <c r="F88" s="32"/>
      <c r="G88" s="32"/>
      <c r="H88" s="32"/>
      <c r="I88" s="32"/>
      <c r="J88" s="32"/>
      <c r="K88" s="32"/>
      <c r="L88" s="32"/>
      <c r="M88" s="32"/>
      <c r="N88" s="32"/>
      <c r="O88" s="32"/>
      <c r="P88" s="32"/>
      <c r="Q88" s="32"/>
      <c r="R88" s="32"/>
      <c r="S88" s="32"/>
      <c r="T88" s="32"/>
      <c r="U88" s="32"/>
      <c r="V88" s="32"/>
      <c r="W88" s="32"/>
      <c r="X88" s="32"/>
      <c r="Y88" s="32"/>
      <c r="Z88" s="32"/>
      <c r="AA88" s="32"/>
      <c r="AB88" s="32"/>
      <c r="AC88" s="32"/>
      <c r="AD88" s="32"/>
      <c r="AE88" s="32"/>
      <c r="AF88" s="32"/>
      <c r="AG88" s="32"/>
      <c r="AH88" s="32"/>
      <c r="AI88" s="32"/>
      <c r="AJ88" s="32"/>
    </row>
    <row r="89">
      <c r="A89" s="32"/>
      <c r="B89" s="32"/>
      <c r="C89" s="32"/>
      <c r="D89" s="32"/>
      <c r="E89" s="32"/>
      <c r="F89" s="32"/>
      <c r="G89" s="32"/>
      <c r="H89" s="32"/>
      <c r="I89" s="32"/>
      <c r="J89" s="32"/>
      <c r="K89" s="32"/>
      <c r="L89" s="32"/>
      <c r="M89" s="32"/>
      <c r="N89" s="32"/>
      <c r="O89" s="32"/>
      <c r="P89" s="32"/>
      <c r="Q89" s="32"/>
      <c r="R89" s="32"/>
      <c r="S89" s="32"/>
      <c r="T89" s="32"/>
      <c r="U89" s="32"/>
      <c r="V89" s="32"/>
      <c r="W89" s="32"/>
      <c r="X89" s="32"/>
      <c r="Y89" s="32"/>
      <c r="Z89" s="32"/>
      <c r="AA89" s="32"/>
      <c r="AB89" s="32"/>
      <c r="AC89" s="32"/>
      <c r="AD89" s="32"/>
      <c r="AE89" s="32"/>
      <c r="AF89" s="32"/>
      <c r="AG89" s="32"/>
      <c r="AH89" s="32"/>
      <c r="AI89" s="32"/>
      <c r="AJ89" s="32"/>
    </row>
    <row r="90">
      <c r="A90" s="32"/>
      <c r="B90" s="32"/>
      <c r="C90" s="32"/>
      <c r="D90" s="32"/>
      <c r="E90" s="32"/>
      <c r="F90" s="32"/>
      <c r="G90" s="32"/>
      <c r="H90" s="32"/>
      <c r="I90" s="32"/>
      <c r="J90" s="32"/>
      <c r="K90" s="32"/>
      <c r="L90" s="32"/>
      <c r="M90" s="32"/>
      <c r="N90" s="32"/>
      <c r="O90" s="32"/>
      <c r="P90" s="32"/>
      <c r="Q90" s="32"/>
      <c r="R90" s="32"/>
      <c r="S90" s="32"/>
      <c r="T90" s="32"/>
      <c r="U90" s="32"/>
      <c r="V90" s="32"/>
      <c r="W90" s="32"/>
      <c r="X90" s="32"/>
      <c r="Y90" s="32"/>
      <c r="Z90" s="32"/>
      <c r="AA90" s="32"/>
      <c r="AB90" s="32"/>
      <c r="AC90" s="32"/>
      <c r="AD90" s="32"/>
      <c r="AE90" s="32"/>
      <c r="AF90" s="32"/>
      <c r="AG90" s="32"/>
      <c r="AH90" s="32"/>
      <c r="AI90" s="32"/>
      <c r="AJ90" s="32"/>
    </row>
    <row r="91">
      <c r="A91" s="32"/>
      <c r="B91" s="32"/>
      <c r="C91" s="32"/>
      <c r="D91" s="32"/>
      <c r="E91" s="32"/>
      <c r="F91" s="32"/>
      <c r="G91" s="32"/>
      <c r="H91" s="32"/>
      <c r="I91" s="32"/>
      <c r="J91" s="32"/>
      <c r="K91" s="32"/>
      <c r="L91" s="32"/>
      <c r="M91" s="32"/>
      <c r="N91" s="32"/>
      <c r="O91" s="32"/>
      <c r="P91" s="32"/>
      <c r="Q91" s="32"/>
      <c r="R91" s="32"/>
      <c r="S91" s="32"/>
      <c r="T91" s="32"/>
      <c r="U91" s="32"/>
      <c r="V91" s="32"/>
      <c r="W91" s="32"/>
      <c r="X91" s="32"/>
      <c r="Y91" s="32"/>
      <c r="Z91" s="32"/>
      <c r="AA91" s="32"/>
      <c r="AB91" s="32"/>
      <c r="AC91" s="32"/>
      <c r="AD91" s="32"/>
      <c r="AE91" s="32"/>
      <c r="AF91" s="32"/>
      <c r="AG91" s="32"/>
      <c r="AH91" s="32"/>
      <c r="AI91" s="32"/>
      <c r="AJ91" s="32"/>
    </row>
    <row r="92">
      <c r="A92" s="32"/>
      <c r="B92" s="32"/>
      <c r="C92" s="32"/>
      <c r="D92" s="32"/>
      <c r="E92" s="32"/>
      <c r="F92" s="32"/>
      <c r="G92" s="32"/>
      <c r="H92" s="32"/>
      <c r="I92" s="32"/>
      <c r="J92" s="32"/>
      <c r="K92" s="32"/>
      <c r="L92" s="32"/>
      <c r="M92" s="32"/>
      <c r="N92" s="32"/>
      <c r="O92" s="32"/>
      <c r="P92" s="32"/>
      <c r="Q92" s="32"/>
      <c r="R92" s="32"/>
      <c r="S92" s="32"/>
      <c r="T92" s="32"/>
      <c r="U92" s="32"/>
      <c r="V92" s="32"/>
      <c r="W92" s="32"/>
      <c r="X92" s="32"/>
      <c r="Y92" s="32"/>
      <c r="Z92" s="32"/>
      <c r="AA92" s="32"/>
      <c r="AB92" s="32"/>
      <c r="AC92" s="32"/>
      <c r="AD92" s="32"/>
      <c r="AE92" s="32"/>
      <c r="AF92" s="32"/>
      <c r="AG92" s="32"/>
      <c r="AH92" s="32"/>
      <c r="AI92" s="32"/>
      <c r="AJ92" s="32"/>
    </row>
    <row r="93">
      <c r="A93" s="32"/>
      <c r="B93" s="32"/>
      <c r="C93" s="32"/>
      <c r="D93" s="32"/>
      <c r="E93" s="32"/>
      <c r="F93" s="32"/>
      <c r="G93" s="32"/>
      <c r="H93" s="32"/>
      <c r="I93" s="32"/>
      <c r="J93" s="32"/>
      <c r="K93" s="32"/>
      <c r="L93" s="32"/>
      <c r="M93" s="32"/>
      <c r="N93" s="32"/>
      <c r="O93" s="32"/>
      <c r="P93" s="32"/>
      <c r="Q93" s="32"/>
      <c r="R93" s="32"/>
      <c r="S93" s="32"/>
      <c r="T93" s="32"/>
      <c r="U93" s="32"/>
      <c r="V93" s="32"/>
      <c r="W93" s="32"/>
      <c r="X93" s="32"/>
      <c r="Y93" s="32"/>
      <c r="Z93" s="32"/>
      <c r="AA93" s="32"/>
      <c r="AB93" s="32"/>
      <c r="AC93" s="32"/>
      <c r="AD93" s="32"/>
      <c r="AE93" s="32"/>
      <c r="AF93" s="32"/>
      <c r="AG93" s="32"/>
      <c r="AH93" s="32"/>
      <c r="AI93" s="32"/>
      <c r="AJ93" s="32"/>
    </row>
    <row r="94">
      <c r="A94" s="32"/>
      <c r="B94" s="32"/>
      <c r="C94" s="32"/>
      <c r="D94" s="32"/>
      <c r="E94" s="32"/>
      <c r="F94" s="32"/>
      <c r="G94" s="32"/>
      <c r="H94" s="32"/>
      <c r="I94" s="32"/>
      <c r="J94" s="32"/>
      <c r="K94" s="32"/>
      <c r="L94" s="32"/>
      <c r="M94" s="32"/>
      <c r="N94" s="32"/>
      <c r="O94" s="32"/>
      <c r="P94" s="32"/>
      <c r="Q94" s="32"/>
      <c r="R94" s="32"/>
      <c r="S94" s="32"/>
      <c r="T94" s="32"/>
      <c r="U94" s="32"/>
      <c r="V94" s="32"/>
      <c r="W94" s="32"/>
      <c r="X94" s="32"/>
      <c r="Y94" s="32"/>
      <c r="Z94" s="32"/>
      <c r="AA94" s="32"/>
      <c r="AB94" s="32"/>
      <c r="AC94" s="32"/>
      <c r="AD94" s="32"/>
      <c r="AE94" s="32"/>
      <c r="AF94" s="32"/>
      <c r="AG94" s="32"/>
      <c r="AH94" s="32"/>
      <c r="AI94" s="32"/>
      <c r="AJ94" s="32"/>
    </row>
    <row r="95">
      <c r="A95" s="32"/>
      <c r="B95" s="32"/>
      <c r="C95" s="32"/>
      <c r="D95" s="32"/>
      <c r="E95" s="32"/>
      <c r="F95" s="32"/>
      <c r="G95" s="32"/>
      <c r="H95" s="32"/>
      <c r="I95" s="32"/>
      <c r="J95" s="32"/>
      <c r="K95" s="32"/>
      <c r="L95" s="32"/>
      <c r="M95" s="32"/>
      <c r="N95" s="32"/>
      <c r="O95" s="32"/>
      <c r="P95" s="32"/>
      <c r="Q95" s="32"/>
      <c r="R95" s="32"/>
      <c r="S95" s="32"/>
      <c r="T95" s="32"/>
      <c r="U95" s="32"/>
      <c r="V95" s="32"/>
      <c r="W95" s="32"/>
      <c r="X95" s="32"/>
      <c r="Y95" s="32"/>
      <c r="Z95" s="32"/>
      <c r="AA95" s="32"/>
      <c r="AB95" s="32"/>
      <c r="AC95" s="32"/>
      <c r="AD95" s="32"/>
      <c r="AE95" s="32"/>
      <c r="AF95" s="32"/>
      <c r="AG95" s="32"/>
      <c r="AH95" s="32"/>
      <c r="AI95" s="32"/>
      <c r="AJ95" s="32"/>
    </row>
    <row r="96">
      <c r="A96" s="32"/>
      <c r="B96" s="32"/>
      <c r="C96" s="32"/>
      <c r="D96" s="32"/>
      <c r="E96" s="32"/>
      <c r="F96" s="32"/>
      <c r="G96" s="32"/>
      <c r="H96" s="32"/>
      <c r="I96" s="32"/>
      <c r="J96" s="32"/>
      <c r="K96" s="32"/>
      <c r="L96" s="32"/>
      <c r="M96" s="32"/>
      <c r="N96" s="32"/>
      <c r="O96" s="32"/>
      <c r="P96" s="32"/>
      <c r="Q96" s="32"/>
      <c r="R96" s="32"/>
      <c r="S96" s="32"/>
      <c r="T96" s="32"/>
      <c r="U96" s="32"/>
      <c r="V96" s="32"/>
      <c r="W96" s="32"/>
      <c r="X96" s="32"/>
      <c r="Y96" s="32"/>
      <c r="Z96" s="32"/>
      <c r="AA96" s="32"/>
      <c r="AB96" s="32"/>
      <c r="AC96" s="32"/>
      <c r="AD96" s="32"/>
      <c r="AE96" s="32"/>
      <c r="AF96" s="32"/>
      <c r="AG96" s="32"/>
      <c r="AH96" s="32"/>
      <c r="AI96" s="32"/>
      <c r="AJ96" s="32"/>
    </row>
    <row r="97">
      <c r="A97" s="32"/>
      <c r="B97" s="32"/>
      <c r="C97" s="32"/>
      <c r="D97" s="32"/>
      <c r="E97" s="32"/>
      <c r="F97" s="32"/>
      <c r="G97" s="32"/>
      <c r="H97" s="32"/>
      <c r="I97" s="32"/>
      <c r="J97" s="32"/>
      <c r="K97" s="32"/>
      <c r="L97" s="32"/>
      <c r="M97" s="32"/>
      <c r="N97" s="32"/>
      <c r="O97" s="32"/>
      <c r="P97" s="32"/>
      <c r="Q97" s="32"/>
      <c r="R97" s="32"/>
      <c r="S97" s="32"/>
      <c r="T97" s="32"/>
      <c r="U97" s="32"/>
      <c r="V97" s="32"/>
      <c r="W97" s="32"/>
      <c r="X97" s="32"/>
      <c r="Y97" s="32"/>
      <c r="Z97" s="32"/>
      <c r="AA97" s="32"/>
      <c r="AB97" s="32"/>
      <c r="AC97" s="32"/>
      <c r="AD97" s="32"/>
      <c r="AE97" s="32"/>
      <c r="AF97" s="32"/>
      <c r="AG97" s="32"/>
      <c r="AH97" s="32"/>
      <c r="AI97" s="32"/>
      <c r="AJ97" s="32"/>
    </row>
    <row r="98">
      <c r="A98" s="32"/>
      <c r="B98" s="32"/>
      <c r="C98" s="32"/>
      <c r="D98" s="32"/>
      <c r="E98" s="32"/>
      <c r="F98" s="32"/>
      <c r="G98" s="32"/>
      <c r="H98" s="32"/>
      <c r="I98" s="32"/>
      <c r="J98" s="32"/>
      <c r="K98" s="32"/>
      <c r="L98" s="32"/>
      <c r="M98" s="32"/>
      <c r="N98" s="32"/>
      <c r="O98" s="32"/>
      <c r="P98" s="32"/>
      <c r="Q98" s="32"/>
      <c r="R98" s="32"/>
      <c r="S98" s="32"/>
      <c r="T98" s="32"/>
      <c r="U98" s="32"/>
      <c r="V98" s="32"/>
      <c r="W98" s="32"/>
      <c r="X98" s="32"/>
      <c r="Y98" s="32"/>
      <c r="Z98" s="32"/>
      <c r="AA98" s="32"/>
      <c r="AB98" s="32"/>
      <c r="AC98" s="32"/>
      <c r="AD98" s="32"/>
      <c r="AE98" s="32"/>
      <c r="AF98" s="32"/>
      <c r="AG98" s="32"/>
      <c r="AH98" s="32"/>
      <c r="AI98" s="32"/>
      <c r="AJ98" s="32"/>
    </row>
    <row r="99">
      <c r="A99" s="32"/>
      <c r="B99" s="32"/>
      <c r="C99" s="32"/>
      <c r="D99" s="32"/>
      <c r="E99" s="32"/>
      <c r="F99" s="32"/>
      <c r="G99" s="32"/>
      <c r="H99" s="32"/>
      <c r="I99" s="32"/>
      <c r="J99" s="32"/>
      <c r="K99" s="32"/>
      <c r="L99" s="32"/>
      <c r="M99" s="32"/>
      <c r="N99" s="32"/>
      <c r="O99" s="32"/>
      <c r="P99" s="32"/>
      <c r="Q99" s="32"/>
      <c r="R99" s="32"/>
      <c r="S99" s="32"/>
      <c r="T99" s="32"/>
      <c r="U99" s="32"/>
      <c r="V99" s="32"/>
      <c r="W99" s="32"/>
      <c r="X99" s="32"/>
      <c r="Y99" s="32"/>
      <c r="Z99" s="32"/>
      <c r="AA99" s="32"/>
      <c r="AB99" s="32"/>
      <c r="AC99" s="32"/>
      <c r="AD99" s="32"/>
      <c r="AE99" s="32"/>
      <c r="AF99" s="32"/>
      <c r="AG99" s="32"/>
      <c r="AH99" s="32"/>
      <c r="AI99" s="32"/>
      <c r="AJ99" s="32"/>
    </row>
    <row r="100">
      <c r="A100" s="32"/>
      <c r="B100" s="32"/>
      <c r="C100" s="32"/>
      <c r="D100" s="32"/>
      <c r="E100" s="32"/>
      <c r="F100" s="32"/>
      <c r="G100" s="32"/>
      <c r="H100" s="32"/>
      <c r="I100" s="32"/>
      <c r="J100" s="32"/>
      <c r="K100" s="32"/>
      <c r="L100" s="32"/>
      <c r="M100" s="32"/>
      <c r="N100" s="32"/>
      <c r="O100" s="32"/>
      <c r="P100" s="32"/>
      <c r="Q100" s="32"/>
      <c r="R100" s="32"/>
      <c r="S100" s="32"/>
      <c r="T100" s="32"/>
      <c r="U100" s="32"/>
      <c r="V100" s="32"/>
      <c r="W100" s="32"/>
      <c r="X100" s="32"/>
      <c r="Y100" s="32"/>
      <c r="Z100" s="32"/>
      <c r="AA100" s="32"/>
      <c r="AB100" s="32"/>
      <c r="AC100" s="32"/>
      <c r="AD100" s="32"/>
      <c r="AE100" s="32"/>
      <c r="AF100" s="32"/>
      <c r="AG100" s="32"/>
      <c r="AH100" s="32"/>
      <c r="AI100" s="32"/>
      <c r="AJ100" s="32"/>
    </row>
    <row r="101">
      <c r="A101" s="32"/>
      <c r="B101" s="32"/>
      <c r="C101" s="32"/>
      <c r="D101" s="32"/>
      <c r="E101" s="32"/>
      <c r="F101" s="32"/>
      <c r="G101" s="32"/>
      <c r="H101" s="32"/>
      <c r="I101" s="32"/>
      <c r="J101" s="32"/>
      <c r="K101" s="32"/>
      <c r="L101" s="32"/>
      <c r="M101" s="32"/>
      <c r="N101" s="32"/>
      <c r="O101" s="32"/>
      <c r="P101" s="32"/>
      <c r="Q101" s="32"/>
      <c r="R101" s="32"/>
      <c r="S101" s="32"/>
      <c r="T101" s="32"/>
      <c r="U101" s="32"/>
      <c r="V101" s="32"/>
      <c r="W101" s="32"/>
      <c r="X101" s="32"/>
      <c r="Y101" s="32"/>
      <c r="Z101" s="32"/>
      <c r="AA101" s="32"/>
      <c r="AB101" s="32"/>
      <c r="AC101" s="32"/>
      <c r="AD101" s="32"/>
      <c r="AE101" s="32"/>
      <c r="AF101" s="32"/>
      <c r="AG101" s="32"/>
      <c r="AH101" s="32"/>
      <c r="AI101" s="32"/>
      <c r="AJ101" s="32"/>
    </row>
    <row r="102">
      <c r="A102" s="32"/>
      <c r="B102" s="32"/>
      <c r="C102" s="32"/>
      <c r="D102" s="32"/>
      <c r="E102" s="32"/>
      <c r="F102" s="32"/>
      <c r="G102" s="32"/>
      <c r="H102" s="32"/>
      <c r="I102" s="32"/>
      <c r="J102" s="32"/>
      <c r="K102" s="32"/>
      <c r="L102" s="32"/>
      <c r="M102" s="32"/>
      <c r="N102" s="32"/>
      <c r="O102" s="32"/>
      <c r="P102" s="32"/>
      <c r="Q102" s="32"/>
      <c r="R102" s="32"/>
      <c r="S102" s="32"/>
      <c r="T102" s="32"/>
      <c r="U102" s="32"/>
      <c r="V102" s="32"/>
      <c r="W102" s="32"/>
      <c r="X102" s="32"/>
      <c r="Y102" s="32"/>
      <c r="Z102" s="32"/>
      <c r="AA102" s="32"/>
      <c r="AB102" s="32"/>
      <c r="AC102" s="32"/>
      <c r="AD102" s="32"/>
      <c r="AE102" s="32"/>
      <c r="AF102" s="32"/>
      <c r="AG102" s="32"/>
      <c r="AH102" s="32"/>
      <c r="AI102" s="32"/>
      <c r="AJ102" s="32"/>
    </row>
    <row r="103">
      <c r="A103" s="32"/>
      <c r="B103" s="32"/>
      <c r="C103" s="32"/>
      <c r="D103" s="32"/>
      <c r="E103" s="32"/>
      <c r="F103" s="32"/>
      <c r="G103" s="32"/>
      <c r="H103" s="32"/>
      <c r="I103" s="32"/>
      <c r="J103" s="32"/>
      <c r="K103" s="32"/>
      <c r="L103" s="32"/>
      <c r="M103" s="32"/>
      <c r="N103" s="32"/>
      <c r="O103" s="32"/>
      <c r="P103" s="32"/>
      <c r="Q103" s="32"/>
      <c r="R103" s="32"/>
      <c r="S103" s="32"/>
      <c r="T103" s="32"/>
      <c r="U103" s="32"/>
      <c r="V103" s="32"/>
      <c r="W103" s="32"/>
      <c r="X103" s="32"/>
      <c r="Y103" s="32"/>
      <c r="Z103" s="32"/>
      <c r="AA103" s="32"/>
      <c r="AB103" s="32"/>
      <c r="AC103" s="32"/>
      <c r="AD103" s="32"/>
      <c r="AE103" s="32"/>
      <c r="AF103" s="32"/>
      <c r="AG103" s="32"/>
      <c r="AH103" s="32"/>
      <c r="AI103" s="32"/>
      <c r="AJ103" s="32"/>
    </row>
    <row r="104">
      <c r="A104" s="32"/>
      <c r="B104" s="32"/>
      <c r="C104" s="32"/>
      <c r="D104" s="32"/>
      <c r="E104" s="32"/>
      <c r="F104" s="32"/>
      <c r="G104" s="32"/>
      <c r="H104" s="32"/>
      <c r="I104" s="32"/>
      <c r="J104" s="32"/>
      <c r="K104" s="32"/>
      <c r="L104" s="32"/>
      <c r="M104" s="32"/>
      <c r="N104" s="32"/>
      <c r="O104" s="32"/>
      <c r="P104" s="32"/>
      <c r="Q104" s="32"/>
      <c r="R104" s="32"/>
      <c r="S104" s="32"/>
      <c r="T104" s="32"/>
      <c r="U104" s="32"/>
      <c r="V104" s="32"/>
      <c r="W104" s="32"/>
      <c r="X104" s="32"/>
      <c r="Y104" s="32"/>
      <c r="Z104" s="32"/>
      <c r="AA104" s="32"/>
      <c r="AB104" s="32"/>
      <c r="AC104" s="32"/>
      <c r="AD104" s="32"/>
      <c r="AE104" s="32"/>
      <c r="AF104" s="32"/>
      <c r="AG104" s="32"/>
      <c r="AH104" s="32"/>
      <c r="AI104" s="32"/>
      <c r="AJ104" s="32"/>
    </row>
    <row r="105">
      <c r="A105" s="32"/>
      <c r="B105" s="32"/>
      <c r="C105" s="32"/>
      <c r="D105" s="32"/>
      <c r="E105" s="32"/>
      <c r="F105" s="32"/>
      <c r="G105" s="32"/>
      <c r="H105" s="32"/>
      <c r="I105" s="32"/>
      <c r="J105" s="32"/>
      <c r="K105" s="32"/>
      <c r="L105" s="32"/>
      <c r="M105" s="32"/>
      <c r="N105" s="32"/>
      <c r="O105" s="32"/>
      <c r="P105" s="32"/>
      <c r="Q105" s="32"/>
      <c r="R105" s="32"/>
      <c r="S105" s="32"/>
      <c r="T105" s="32"/>
      <c r="U105" s="32"/>
      <c r="V105" s="32"/>
      <c r="W105" s="32"/>
      <c r="X105" s="32"/>
      <c r="Y105" s="32"/>
      <c r="Z105" s="32"/>
      <c r="AA105" s="32"/>
      <c r="AB105" s="32"/>
      <c r="AC105" s="32"/>
      <c r="AD105" s="32"/>
      <c r="AE105" s="32"/>
      <c r="AF105" s="32"/>
      <c r="AG105" s="32"/>
      <c r="AH105" s="32"/>
      <c r="AI105" s="32"/>
      <c r="AJ105" s="32"/>
    </row>
    <row r="106">
      <c r="A106" s="32"/>
      <c r="B106" s="32"/>
      <c r="C106" s="32"/>
      <c r="D106" s="32"/>
      <c r="E106" s="32"/>
      <c r="F106" s="32"/>
      <c r="G106" s="32"/>
      <c r="H106" s="32"/>
      <c r="I106" s="32"/>
      <c r="J106" s="32"/>
      <c r="K106" s="32"/>
      <c r="L106" s="32"/>
      <c r="M106" s="32"/>
      <c r="N106" s="32"/>
      <c r="O106" s="32"/>
      <c r="P106" s="32"/>
      <c r="Q106" s="32"/>
      <c r="R106" s="32"/>
      <c r="S106" s="32"/>
      <c r="T106" s="32"/>
      <c r="U106" s="32"/>
      <c r="V106" s="32"/>
      <c r="W106" s="32"/>
      <c r="X106" s="32"/>
      <c r="Y106" s="32"/>
      <c r="Z106" s="32"/>
      <c r="AA106" s="32"/>
      <c r="AB106" s="32"/>
      <c r="AC106" s="32"/>
      <c r="AD106" s="32"/>
      <c r="AE106" s="32"/>
      <c r="AF106" s="32"/>
      <c r="AG106" s="32"/>
      <c r="AH106" s="32"/>
      <c r="AI106" s="32"/>
      <c r="AJ106" s="32"/>
    </row>
    <row r="107">
      <c r="A107" s="32"/>
      <c r="B107" s="32"/>
      <c r="C107" s="32"/>
      <c r="D107" s="32"/>
      <c r="E107" s="32"/>
      <c r="F107" s="32"/>
      <c r="G107" s="32"/>
      <c r="H107" s="32"/>
      <c r="I107" s="32"/>
      <c r="J107" s="32"/>
      <c r="K107" s="32"/>
      <c r="L107" s="32"/>
      <c r="M107" s="32"/>
      <c r="N107" s="32"/>
      <c r="O107" s="32"/>
      <c r="P107" s="32"/>
      <c r="Q107" s="32"/>
      <c r="R107" s="32"/>
      <c r="S107" s="32"/>
      <c r="T107" s="32"/>
      <c r="U107" s="32"/>
      <c r="V107" s="32"/>
      <c r="W107" s="32"/>
      <c r="X107" s="32"/>
      <c r="Y107" s="32"/>
      <c r="Z107" s="32"/>
      <c r="AA107" s="32"/>
      <c r="AB107" s="32"/>
      <c r="AC107" s="32"/>
      <c r="AD107" s="32"/>
      <c r="AE107" s="32"/>
      <c r="AF107" s="32"/>
      <c r="AG107" s="32"/>
      <c r="AH107" s="32"/>
      <c r="AI107" s="32"/>
      <c r="AJ107" s="32"/>
    </row>
    <row r="108">
      <c r="A108" s="32"/>
      <c r="B108" s="32"/>
      <c r="C108" s="32"/>
      <c r="D108" s="32"/>
      <c r="E108" s="32"/>
      <c r="F108" s="32"/>
      <c r="G108" s="32"/>
      <c r="H108" s="32"/>
      <c r="I108" s="32"/>
      <c r="J108" s="32"/>
      <c r="K108" s="32"/>
      <c r="L108" s="32"/>
      <c r="M108" s="32"/>
      <c r="N108" s="32"/>
      <c r="O108" s="32"/>
      <c r="P108" s="32"/>
      <c r="Q108" s="32"/>
      <c r="R108" s="32"/>
      <c r="S108" s="32"/>
      <c r="T108" s="32"/>
      <c r="U108" s="32"/>
      <c r="V108" s="32"/>
      <c r="W108" s="32"/>
      <c r="X108" s="32"/>
      <c r="Y108" s="32"/>
      <c r="Z108" s="32"/>
      <c r="AA108" s="32"/>
      <c r="AB108" s="32"/>
      <c r="AC108" s="32"/>
      <c r="AD108" s="32"/>
      <c r="AE108" s="32"/>
      <c r="AF108" s="32"/>
      <c r="AG108" s="32"/>
      <c r="AH108" s="32"/>
      <c r="AI108" s="32"/>
      <c r="AJ108" s="32"/>
    </row>
    <row r="109">
      <c r="A109" s="32"/>
      <c r="B109" s="32"/>
      <c r="C109" s="32"/>
      <c r="D109" s="32"/>
      <c r="E109" s="32"/>
      <c r="F109" s="32"/>
      <c r="G109" s="32"/>
      <c r="H109" s="32"/>
      <c r="I109" s="32"/>
      <c r="J109" s="32"/>
      <c r="K109" s="32"/>
      <c r="L109" s="32"/>
      <c r="M109" s="32"/>
      <c r="N109" s="32"/>
      <c r="O109" s="32"/>
      <c r="P109" s="32"/>
      <c r="Q109" s="32"/>
      <c r="R109" s="32"/>
      <c r="S109" s="32"/>
      <c r="T109" s="32"/>
      <c r="U109" s="32"/>
      <c r="V109" s="32"/>
      <c r="W109" s="32"/>
      <c r="X109" s="32"/>
      <c r="Y109" s="32"/>
      <c r="Z109" s="32"/>
      <c r="AA109" s="32"/>
      <c r="AB109" s="32"/>
      <c r="AC109" s="32"/>
      <c r="AD109" s="32"/>
      <c r="AE109" s="32"/>
      <c r="AF109" s="32"/>
      <c r="AG109" s="32"/>
      <c r="AH109" s="32"/>
      <c r="AI109" s="32"/>
      <c r="AJ109" s="32"/>
    </row>
    <row r="110">
      <c r="A110" s="32"/>
      <c r="B110" s="32"/>
      <c r="C110" s="32"/>
      <c r="D110" s="32"/>
      <c r="E110" s="32"/>
      <c r="F110" s="32"/>
      <c r="G110" s="32"/>
      <c r="H110" s="32"/>
      <c r="I110" s="32"/>
      <c r="J110" s="32"/>
      <c r="K110" s="32"/>
      <c r="L110" s="32"/>
      <c r="M110" s="32"/>
      <c r="N110" s="32"/>
      <c r="O110" s="32"/>
      <c r="P110" s="32"/>
      <c r="Q110" s="32"/>
      <c r="R110" s="32"/>
      <c r="S110" s="32"/>
      <c r="T110" s="32"/>
      <c r="U110" s="32"/>
      <c r="V110" s="32"/>
      <c r="W110" s="32"/>
      <c r="X110" s="32"/>
      <c r="Y110" s="32"/>
      <c r="Z110" s="32"/>
      <c r="AA110" s="32"/>
      <c r="AB110" s="32"/>
      <c r="AC110" s="32"/>
      <c r="AD110" s="32"/>
      <c r="AE110" s="32"/>
      <c r="AF110" s="32"/>
      <c r="AG110" s="32"/>
      <c r="AH110" s="32"/>
      <c r="AI110" s="32"/>
      <c r="AJ110" s="32"/>
    </row>
    <row r="111">
      <c r="A111" s="32"/>
      <c r="B111" s="32"/>
      <c r="C111" s="32"/>
      <c r="D111" s="32"/>
      <c r="E111" s="32"/>
      <c r="F111" s="32"/>
      <c r="G111" s="32"/>
      <c r="H111" s="32"/>
      <c r="I111" s="32"/>
      <c r="J111" s="32"/>
      <c r="K111" s="32"/>
      <c r="L111" s="32"/>
      <c r="M111" s="32"/>
      <c r="N111" s="32"/>
      <c r="O111" s="32"/>
      <c r="P111" s="32"/>
      <c r="Q111" s="32"/>
      <c r="R111" s="32"/>
      <c r="S111" s="32"/>
      <c r="T111" s="32"/>
      <c r="U111" s="32"/>
      <c r="V111" s="32"/>
      <c r="W111" s="32"/>
      <c r="X111" s="32"/>
      <c r="Y111" s="32"/>
      <c r="Z111" s="32"/>
      <c r="AA111" s="32"/>
      <c r="AB111" s="32"/>
      <c r="AC111" s="32"/>
      <c r="AD111" s="32"/>
      <c r="AE111" s="32"/>
      <c r="AF111" s="32"/>
      <c r="AG111" s="32"/>
      <c r="AH111" s="32"/>
      <c r="AI111" s="32"/>
      <c r="AJ111" s="32"/>
    </row>
    <row r="112">
      <c r="A112" s="32"/>
      <c r="B112" s="32"/>
      <c r="C112" s="32"/>
      <c r="D112" s="32"/>
      <c r="E112" s="32"/>
      <c r="F112" s="32"/>
      <c r="G112" s="32"/>
      <c r="H112" s="32"/>
      <c r="I112" s="32"/>
      <c r="J112" s="32"/>
      <c r="K112" s="32"/>
      <c r="L112" s="32"/>
      <c r="M112" s="32"/>
      <c r="N112" s="32"/>
      <c r="O112" s="32"/>
      <c r="P112" s="32"/>
      <c r="Q112" s="32"/>
      <c r="R112" s="32"/>
      <c r="S112" s="32"/>
      <c r="T112" s="32"/>
      <c r="U112" s="32"/>
      <c r="V112" s="32"/>
      <c r="W112" s="32"/>
      <c r="X112" s="32"/>
      <c r="Y112" s="32"/>
      <c r="Z112" s="32"/>
      <c r="AA112" s="32"/>
      <c r="AB112" s="32"/>
      <c r="AC112" s="32"/>
      <c r="AD112" s="32"/>
      <c r="AE112" s="32"/>
      <c r="AF112" s="32"/>
      <c r="AG112" s="32"/>
      <c r="AH112" s="32"/>
      <c r="AI112" s="32"/>
      <c r="AJ112" s="32"/>
    </row>
    <row r="113">
      <c r="A113" s="32"/>
      <c r="B113" s="32"/>
      <c r="C113" s="32"/>
      <c r="D113" s="32"/>
      <c r="E113" s="32"/>
      <c r="F113" s="32"/>
      <c r="G113" s="32"/>
      <c r="H113" s="32"/>
      <c r="I113" s="32"/>
      <c r="J113" s="32"/>
      <c r="K113" s="32"/>
      <c r="L113" s="32"/>
      <c r="M113" s="32"/>
      <c r="N113" s="32"/>
      <c r="O113" s="32"/>
      <c r="P113" s="32"/>
      <c r="Q113" s="32"/>
      <c r="R113" s="32"/>
      <c r="S113" s="32"/>
      <c r="T113" s="32"/>
      <c r="U113" s="32"/>
      <c r="V113" s="32"/>
      <c r="W113" s="32"/>
      <c r="X113" s="32"/>
      <c r="Y113" s="32"/>
      <c r="Z113" s="32"/>
      <c r="AA113" s="32"/>
      <c r="AB113" s="32"/>
      <c r="AC113" s="32"/>
      <c r="AD113" s="32"/>
      <c r="AE113" s="32"/>
      <c r="AF113" s="32"/>
      <c r="AG113" s="32"/>
      <c r="AH113" s="32"/>
      <c r="AI113" s="32"/>
      <c r="AJ113" s="32"/>
    </row>
    <row r="114">
      <c r="A114" s="32"/>
      <c r="B114" s="32"/>
      <c r="C114" s="32"/>
      <c r="D114" s="32"/>
      <c r="E114" s="32"/>
      <c r="F114" s="32"/>
      <c r="G114" s="32"/>
      <c r="H114" s="32"/>
      <c r="I114" s="32"/>
      <c r="J114" s="32"/>
      <c r="K114" s="32"/>
      <c r="L114" s="32"/>
      <c r="M114" s="32"/>
      <c r="N114" s="32"/>
      <c r="O114" s="32"/>
      <c r="P114" s="32"/>
      <c r="Q114" s="32"/>
      <c r="R114" s="32"/>
      <c r="S114" s="32"/>
      <c r="T114" s="32"/>
      <c r="U114" s="32"/>
      <c r="V114" s="32"/>
      <c r="W114" s="32"/>
      <c r="X114" s="32"/>
      <c r="Y114" s="32"/>
      <c r="Z114" s="32"/>
      <c r="AA114" s="32"/>
      <c r="AB114" s="32"/>
      <c r="AC114" s="32"/>
      <c r="AD114" s="32"/>
      <c r="AE114" s="32"/>
      <c r="AF114" s="32"/>
      <c r="AG114" s="32"/>
      <c r="AH114" s="32"/>
      <c r="AI114" s="32"/>
      <c r="AJ114" s="32"/>
    </row>
    <row r="115">
      <c r="A115" s="32"/>
      <c r="B115" s="32"/>
      <c r="C115" s="32"/>
      <c r="D115" s="32"/>
      <c r="E115" s="32"/>
      <c r="F115" s="32"/>
      <c r="G115" s="32"/>
      <c r="H115" s="32"/>
      <c r="I115" s="32"/>
      <c r="J115" s="32"/>
      <c r="K115" s="32"/>
      <c r="L115" s="32"/>
      <c r="M115" s="32"/>
      <c r="N115" s="32"/>
      <c r="O115" s="32"/>
      <c r="P115" s="32"/>
      <c r="Q115" s="32"/>
      <c r="R115" s="32"/>
      <c r="S115" s="32"/>
      <c r="T115" s="32"/>
      <c r="U115" s="32"/>
      <c r="V115" s="32"/>
      <c r="W115" s="32"/>
      <c r="X115" s="32"/>
      <c r="Y115" s="32"/>
      <c r="Z115" s="32"/>
      <c r="AA115" s="32"/>
      <c r="AB115" s="32"/>
      <c r="AC115" s="32"/>
      <c r="AD115" s="32"/>
      <c r="AE115" s="32"/>
      <c r="AF115" s="32"/>
      <c r="AG115" s="32"/>
      <c r="AH115" s="32"/>
      <c r="AI115" s="32"/>
      <c r="AJ115" s="32"/>
    </row>
    <row r="116">
      <c r="A116" s="32"/>
      <c r="B116" s="32"/>
      <c r="C116" s="32"/>
      <c r="D116" s="32"/>
      <c r="E116" s="32"/>
      <c r="F116" s="32"/>
      <c r="G116" s="32"/>
      <c r="H116" s="32"/>
      <c r="I116" s="32"/>
      <c r="J116" s="32"/>
      <c r="K116" s="32"/>
      <c r="L116" s="32"/>
      <c r="M116" s="32"/>
      <c r="N116" s="32"/>
      <c r="O116" s="32"/>
      <c r="P116" s="32"/>
      <c r="Q116" s="32"/>
      <c r="R116" s="32"/>
      <c r="S116" s="32"/>
      <c r="T116" s="32"/>
      <c r="U116" s="32"/>
      <c r="V116" s="32"/>
      <c r="W116" s="32"/>
      <c r="X116" s="32"/>
      <c r="Y116" s="32"/>
      <c r="Z116" s="32"/>
      <c r="AA116" s="32"/>
      <c r="AB116" s="32"/>
      <c r="AC116" s="32"/>
      <c r="AD116" s="32"/>
      <c r="AE116" s="32"/>
      <c r="AF116" s="32"/>
      <c r="AG116" s="32"/>
      <c r="AH116" s="32"/>
      <c r="AI116" s="32"/>
      <c r="AJ116" s="32"/>
    </row>
    <row r="117">
      <c r="A117" s="32"/>
      <c r="B117" s="32"/>
      <c r="C117" s="32"/>
      <c r="D117" s="32"/>
      <c r="E117" s="32"/>
      <c r="F117" s="32"/>
      <c r="G117" s="32"/>
      <c r="H117" s="32"/>
      <c r="I117" s="32"/>
      <c r="J117" s="32"/>
      <c r="K117" s="32"/>
      <c r="L117" s="32"/>
      <c r="M117" s="32"/>
      <c r="N117" s="32"/>
      <c r="O117" s="32"/>
      <c r="P117" s="32"/>
      <c r="Q117" s="32"/>
      <c r="R117" s="32"/>
      <c r="S117" s="32"/>
      <c r="T117" s="32"/>
      <c r="U117" s="32"/>
      <c r="V117" s="32"/>
      <c r="W117" s="32"/>
      <c r="X117" s="32"/>
      <c r="Y117" s="32"/>
      <c r="Z117" s="32"/>
      <c r="AA117" s="32"/>
      <c r="AB117" s="32"/>
      <c r="AC117" s="32"/>
      <c r="AD117" s="32"/>
      <c r="AE117" s="32"/>
      <c r="AF117" s="32"/>
      <c r="AG117" s="32"/>
      <c r="AH117" s="32"/>
      <c r="AI117" s="32"/>
      <c r="AJ117" s="32"/>
    </row>
    <row r="118">
      <c r="A118" s="32"/>
      <c r="B118" s="32"/>
      <c r="C118" s="32"/>
      <c r="D118" s="32"/>
      <c r="E118" s="32"/>
      <c r="F118" s="32"/>
      <c r="G118" s="32"/>
      <c r="H118" s="32"/>
      <c r="I118" s="32"/>
      <c r="J118" s="32"/>
      <c r="K118" s="32"/>
      <c r="L118" s="32"/>
      <c r="M118" s="32"/>
      <c r="N118" s="32"/>
      <c r="O118" s="32"/>
      <c r="P118" s="32"/>
      <c r="Q118" s="32"/>
      <c r="R118" s="32"/>
      <c r="S118" s="32"/>
      <c r="T118" s="32"/>
      <c r="U118" s="32"/>
      <c r="V118" s="32"/>
      <c r="W118" s="32"/>
      <c r="X118" s="32"/>
      <c r="Y118" s="32"/>
      <c r="Z118" s="32"/>
      <c r="AA118" s="32"/>
      <c r="AB118" s="32"/>
      <c r="AC118" s="32"/>
      <c r="AD118" s="32"/>
      <c r="AE118" s="32"/>
      <c r="AF118" s="32"/>
      <c r="AG118" s="32"/>
      <c r="AH118" s="32"/>
      <c r="AI118" s="32"/>
      <c r="AJ118" s="32"/>
    </row>
    <row r="119">
      <c r="A119" s="32"/>
      <c r="B119" s="32"/>
      <c r="C119" s="32"/>
      <c r="D119" s="32"/>
      <c r="E119" s="32"/>
      <c r="F119" s="32"/>
      <c r="G119" s="32"/>
      <c r="H119" s="32"/>
      <c r="I119" s="32"/>
      <c r="J119" s="32"/>
      <c r="K119" s="32"/>
      <c r="L119" s="32"/>
      <c r="M119" s="32"/>
      <c r="N119" s="32"/>
      <c r="O119" s="32"/>
      <c r="P119" s="32"/>
      <c r="Q119" s="32"/>
      <c r="R119" s="32"/>
      <c r="S119" s="32"/>
      <c r="T119" s="32"/>
      <c r="U119" s="32"/>
      <c r="V119" s="32"/>
      <c r="W119" s="32"/>
      <c r="X119" s="32"/>
      <c r="Y119" s="32"/>
      <c r="Z119" s="32"/>
      <c r="AA119" s="32"/>
      <c r="AB119" s="32"/>
      <c r="AC119" s="32"/>
      <c r="AD119" s="32"/>
      <c r="AE119" s="32"/>
      <c r="AF119" s="32"/>
      <c r="AG119" s="32"/>
      <c r="AH119" s="32"/>
      <c r="AI119" s="32"/>
      <c r="AJ119" s="32"/>
    </row>
    <row r="120">
      <c r="A120" s="32"/>
      <c r="B120" s="32"/>
      <c r="C120" s="32"/>
      <c r="D120" s="32"/>
      <c r="E120" s="32"/>
      <c r="F120" s="32"/>
      <c r="G120" s="32"/>
      <c r="H120" s="32"/>
      <c r="I120" s="32"/>
      <c r="J120" s="32"/>
      <c r="K120" s="32"/>
      <c r="L120" s="32"/>
      <c r="M120" s="32"/>
      <c r="N120" s="32"/>
      <c r="O120" s="32"/>
      <c r="P120" s="32"/>
      <c r="Q120" s="32"/>
      <c r="R120" s="32"/>
      <c r="S120" s="32"/>
      <c r="T120" s="32"/>
      <c r="U120" s="32"/>
      <c r="V120" s="32"/>
      <c r="W120" s="32"/>
      <c r="X120" s="32"/>
      <c r="Y120" s="32"/>
      <c r="Z120" s="32"/>
      <c r="AA120" s="32"/>
      <c r="AB120" s="32"/>
      <c r="AC120" s="32"/>
      <c r="AD120" s="32"/>
      <c r="AE120" s="32"/>
      <c r="AF120" s="32"/>
      <c r="AG120" s="32"/>
      <c r="AH120" s="32"/>
      <c r="AI120" s="32"/>
      <c r="AJ120" s="32"/>
    </row>
    <row r="121">
      <c r="A121" s="32"/>
      <c r="B121" s="32"/>
      <c r="C121" s="32"/>
      <c r="D121" s="32"/>
      <c r="E121" s="32"/>
      <c r="F121" s="32"/>
      <c r="G121" s="32"/>
      <c r="H121" s="32"/>
      <c r="I121" s="32"/>
      <c r="J121" s="32"/>
      <c r="K121" s="32"/>
      <c r="L121" s="32"/>
      <c r="M121" s="32"/>
      <c r="N121" s="32"/>
      <c r="O121" s="32"/>
      <c r="P121" s="32"/>
      <c r="Q121" s="32"/>
      <c r="R121" s="32"/>
      <c r="S121" s="32"/>
      <c r="T121" s="32"/>
      <c r="U121" s="32"/>
      <c r="V121" s="32"/>
      <c r="W121" s="32"/>
      <c r="X121" s="32"/>
      <c r="Y121" s="32"/>
      <c r="Z121" s="32"/>
      <c r="AA121" s="32"/>
      <c r="AB121" s="32"/>
      <c r="AC121" s="32"/>
      <c r="AD121" s="32"/>
      <c r="AE121" s="32"/>
      <c r="AF121" s="32"/>
      <c r="AG121" s="32"/>
      <c r="AH121" s="32"/>
      <c r="AI121" s="32"/>
      <c r="AJ121" s="32"/>
    </row>
    <row r="122">
      <c r="A122" s="32"/>
      <c r="B122" s="32"/>
      <c r="C122" s="32"/>
      <c r="D122" s="32"/>
      <c r="E122" s="32"/>
      <c r="F122" s="32"/>
      <c r="G122" s="32"/>
      <c r="H122" s="32"/>
      <c r="I122" s="32"/>
      <c r="J122" s="32"/>
      <c r="K122" s="32"/>
      <c r="L122" s="32"/>
      <c r="M122" s="32"/>
      <c r="N122" s="32"/>
      <c r="O122" s="32"/>
      <c r="P122" s="32"/>
      <c r="Q122" s="32"/>
      <c r="R122" s="32"/>
      <c r="S122" s="32"/>
      <c r="T122" s="32"/>
      <c r="U122" s="32"/>
      <c r="V122" s="32"/>
      <c r="W122" s="32"/>
      <c r="X122" s="32"/>
      <c r="Y122" s="32"/>
      <c r="Z122" s="32"/>
      <c r="AA122" s="32"/>
      <c r="AB122" s="32"/>
      <c r="AC122" s="32"/>
      <c r="AD122" s="32"/>
      <c r="AE122" s="32"/>
      <c r="AF122" s="32"/>
      <c r="AG122" s="32"/>
      <c r="AH122" s="32"/>
      <c r="AI122" s="32"/>
      <c r="AJ122" s="32"/>
    </row>
    <row r="123">
      <c r="A123" s="32"/>
      <c r="B123" s="32"/>
      <c r="C123" s="32"/>
      <c r="D123" s="32"/>
      <c r="E123" s="32"/>
      <c r="F123" s="32"/>
      <c r="G123" s="32"/>
      <c r="H123" s="32"/>
      <c r="I123" s="32"/>
      <c r="J123" s="32"/>
      <c r="K123" s="32"/>
      <c r="L123" s="32"/>
      <c r="M123" s="32"/>
      <c r="N123" s="32"/>
      <c r="O123" s="32"/>
      <c r="P123" s="32"/>
      <c r="Q123" s="32"/>
      <c r="R123" s="32"/>
      <c r="S123" s="32"/>
      <c r="T123" s="32"/>
      <c r="U123" s="32"/>
      <c r="V123" s="32"/>
      <c r="W123" s="32"/>
      <c r="X123" s="32"/>
      <c r="Y123" s="32"/>
      <c r="Z123" s="32"/>
      <c r="AA123" s="32"/>
      <c r="AB123" s="32"/>
      <c r="AC123" s="32"/>
      <c r="AD123" s="32"/>
      <c r="AE123" s="32"/>
      <c r="AF123" s="32"/>
      <c r="AG123" s="32"/>
      <c r="AH123" s="32"/>
      <c r="AI123" s="32"/>
      <c r="AJ123" s="32"/>
    </row>
    <row r="124">
      <c r="A124" s="32"/>
      <c r="B124" s="32"/>
      <c r="C124" s="32"/>
      <c r="D124" s="32"/>
      <c r="E124" s="32"/>
      <c r="F124" s="32"/>
      <c r="G124" s="32"/>
      <c r="H124" s="32"/>
      <c r="I124" s="32"/>
      <c r="J124" s="32"/>
      <c r="K124" s="32"/>
      <c r="L124" s="32"/>
      <c r="M124" s="32"/>
      <c r="N124" s="32"/>
      <c r="O124" s="32"/>
      <c r="P124" s="32"/>
      <c r="Q124" s="32"/>
      <c r="R124" s="32"/>
      <c r="S124" s="32"/>
      <c r="T124" s="32"/>
      <c r="U124" s="32"/>
      <c r="V124" s="32"/>
      <c r="W124" s="32"/>
      <c r="X124" s="32"/>
      <c r="Y124" s="32"/>
      <c r="Z124" s="32"/>
      <c r="AA124" s="32"/>
      <c r="AB124" s="32"/>
      <c r="AC124" s="32"/>
      <c r="AD124" s="32"/>
      <c r="AE124" s="32"/>
      <c r="AF124" s="32"/>
      <c r="AG124" s="32"/>
      <c r="AH124" s="32"/>
      <c r="AI124" s="32"/>
      <c r="AJ124" s="32"/>
    </row>
    <row r="125">
      <c r="A125" s="32"/>
      <c r="B125" s="32"/>
      <c r="C125" s="32"/>
      <c r="D125" s="32"/>
      <c r="E125" s="32"/>
      <c r="F125" s="32"/>
      <c r="G125" s="32"/>
      <c r="H125" s="32"/>
      <c r="I125" s="32"/>
      <c r="J125" s="32"/>
      <c r="K125" s="32"/>
      <c r="L125" s="32"/>
      <c r="M125" s="32"/>
      <c r="N125" s="32"/>
      <c r="O125" s="32"/>
      <c r="P125" s="32"/>
      <c r="Q125" s="32"/>
      <c r="R125" s="32"/>
      <c r="S125" s="32"/>
      <c r="T125" s="32"/>
      <c r="U125" s="32"/>
      <c r="V125" s="32"/>
      <c r="W125" s="32"/>
      <c r="X125" s="32"/>
      <c r="Y125" s="32"/>
      <c r="Z125" s="32"/>
      <c r="AA125" s="32"/>
      <c r="AB125" s="32"/>
      <c r="AC125" s="32"/>
      <c r="AD125" s="32"/>
      <c r="AE125" s="32"/>
      <c r="AF125" s="32"/>
      <c r="AG125" s="32"/>
      <c r="AH125" s="32"/>
      <c r="AI125" s="32"/>
      <c r="AJ125" s="32"/>
    </row>
    <row r="126">
      <c r="A126" s="32"/>
      <c r="B126" s="32"/>
      <c r="C126" s="32"/>
      <c r="D126" s="32"/>
      <c r="E126" s="32"/>
      <c r="F126" s="32"/>
      <c r="G126" s="32"/>
      <c r="H126" s="32"/>
      <c r="I126" s="32"/>
      <c r="J126" s="32"/>
      <c r="K126" s="32"/>
      <c r="L126" s="32"/>
      <c r="M126" s="32"/>
      <c r="N126" s="32"/>
      <c r="O126" s="32"/>
      <c r="P126" s="32"/>
      <c r="Q126" s="32"/>
      <c r="R126" s="32"/>
      <c r="S126" s="32"/>
      <c r="T126" s="32"/>
      <c r="U126" s="32"/>
      <c r="V126" s="32"/>
      <c r="W126" s="32"/>
      <c r="X126" s="32"/>
      <c r="Y126" s="32"/>
      <c r="Z126" s="32"/>
      <c r="AA126" s="32"/>
      <c r="AB126" s="32"/>
      <c r="AC126" s="32"/>
      <c r="AD126" s="32"/>
      <c r="AE126" s="32"/>
      <c r="AF126" s="32"/>
      <c r="AG126" s="32"/>
      <c r="AH126" s="32"/>
      <c r="AI126" s="32"/>
      <c r="AJ126" s="32"/>
    </row>
    <row r="127">
      <c r="A127" s="32"/>
      <c r="B127" s="32"/>
      <c r="C127" s="32"/>
      <c r="D127" s="32"/>
      <c r="E127" s="32"/>
      <c r="F127" s="32"/>
      <c r="G127" s="32"/>
      <c r="H127" s="32"/>
      <c r="I127" s="32"/>
      <c r="J127" s="32"/>
      <c r="K127" s="32"/>
      <c r="L127" s="32"/>
      <c r="M127" s="32"/>
      <c r="N127" s="32"/>
      <c r="O127" s="32"/>
      <c r="P127" s="32"/>
      <c r="Q127" s="32"/>
      <c r="R127" s="32"/>
      <c r="S127" s="32"/>
      <c r="T127" s="32"/>
      <c r="U127" s="32"/>
      <c r="V127" s="32"/>
      <c r="W127" s="32"/>
      <c r="X127" s="32"/>
      <c r="Y127" s="32"/>
      <c r="Z127" s="32"/>
      <c r="AA127" s="32"/>
      <c r="AB127" s="32"/>
      <c r="AC127" s="32"/>
      <c r="AD127" s="32"/>
      <c r="AE127" s="32"/>
      <c r="AF127" s="32"/>
      <c r="AG127" s="32"/>
      <c r="AH127" s="32"/>
      <c r="AI127" s="32"/>
      <c r="AJ127" s="32"/>
    </row>
    <row r="128">
      <c r="A128" s="32"/>
      <c r="B128" s="32"/>
      <c r="C128" s="32"/>
      <c r="D128" s="32"/>
      <c r="E128" s="32"/>
      <c r="F128" s="32"/>
      <c r="G128" s="32"/>
      <c r="H128" s="32"/>
      <c r="I128" s="32"/>
      <c r="J128" s="32"/>
      <c r="K128" s="32"/>
      <c r="L128" s="32"/>
      <c r="M128" s="32"/>
      <c r="N128" s="32"/>
      <c r="O128" s="32"/>
      <c r="P128" s="32"/>
      <c r="Q128" s="32"/>
      <c r="R128" s="32"/>
      <c r="S128" s="32"/>
      <c r="T128" s="32"/>
      <c r="U128" s="32"/>
      <c r="V128" s="32"/>
      <c r="W128" s="32"/>
      <c r="X128" s="32"/>
      <c r="Y128" s="32"/>
      <c r="Z128" s="32"/>
      <c r="AA128" s="32"/>
      <c r="AB128" s="32"/>
      <c r="AC128" s="32"/>
      <c r="AD128" s="32"/>
      <c r="AE128" s="32"/>
      <c r="AF128" s="32"/>
      <c r="AG128" s="32"/>
      <c r="AH128" s="32"/>
      <c r="AI128" s="32"/>
      <c r="AJ128" s="32"/>
    </row>
    <row r="129">
      <c r="A129" s="32"/>
      <c r="B129" s="32"/>
      <c r="C129" s="32"/>
      <c r="D129" s="32"/>
      <c r="E129" s="32"/>
      <c r="F129" s="32"/>
      <c r="G129" s="32"/>
      <c r="H129" s="32"/>
      <c r="I129" s="32"/>
      <c r="J129" s="32"/>
      <c r="K129" s="32"/>
      <c r="L129" s="32"/>
      <c r="M129" s="32"/>
      <c r="N129" s="32"/>
      <c r="O129" s="32"/>
      <c r="P129" s="32"/>
      <c r="Q129" s="32"/>
      <c r="R129" s="32"/>
      <c r="S129" s="32"/>
      <c r="T129" s="32"/>
      <c r="U129" s="32"/>
      <c r="V129" s="32"/>
      <c r="W129" s="32"/>
      <c r="X129" s="32"/>
      <c r="Y129" s="32"/>
      <c r="Z129" s="32"/>
      <c r="AA129" s="32"/>
      <c r="AB129" s="32"/>
      <c r="AC129" s="32"/>
      <c r="AD129" s="32"/>
      <c r="AE129" s="32"/>
      <c r="AF129" s="32"/>
      <c r="AG129" s="32"/>
      <c r="AH129" s="32"/>
      <c r="AI129" s="32"/>
      <c r="AJ129" s="32"/>
    </row>
    <row r="130">
      <c r="A130" s="32"/>
      <c r="B130" s="32"/>
      <c r="C130" s="32"/>
      <c r="D130" s="32"/>
      <c r="E130" s="32"/>
      <c r="F130" s="32"/>
      <c r="G130" s="32"/>
      <c r="H130" s="32"/>
      <c r="I130" s="32"/>
      <c r="J130" s="32"/>
      <c r="K130" s="32"/>
      <c r="L130" s="32"/>
      <c r="M130" s="32"/>
      <c r="N130" s="32"/>
      <c r="O130" s="32"/>
      <c r="P130" s="32"/>
      <c r="Q130" s="32"/>
      <c r="R130" s="32"/>
      <c r="S130" s="32"/>
      <c r="T130" s="32"/>
      <c r="U130" s="32"/>
      <c r="V130" s="32"/>
      <c r="W130" s="32"/>
      <c r="X130" s="32"/>
      <c r="Y130" s="32"/>
      <c r="Z130" s="32"/>
      <c r="AA130" s="32"/>
      <c r="AB130" s="32"/>
      <c r="AC130" s="32"/>
      <c r="AD130" s="32"/>
      <c r="AE130" s="32"/>
      <c r="AF130" s="32"/>
      <c r="AG130" s="32"/>
      <c r="AH130" s="32"/>
      <c r="AI130" s="32"/>
      <c r="AJ130" s="32"/>
    </row>
    <row r="131">
      <c r="A131" s="32"/>
      <c r="B131" s="32"/>
      <c r="C131" s="32"/>
      <c r="D131" s="32"/>
      <c r="E131" s="32"/>
      <c r="F131" s="32"/>
      <c r="G131" s="32"/>
      <c r="H131" s="32"/>
      <c r="I131" s="32"/>
      <c r="J131" s="32"/>
      <c r="K131" s="32"/>
      <c r="L131" s="32"/>
      <c r="M131" s="32"/>
      <c r="N131" s="32"/>
      <c r="O131" s="32"/>
      <c r="P131" s="32"/>
      <c r="Q131" s="32"/>
      <c r="R131" s="32"/>
      <c r="S131" s="32"/>
      <c r="T131" s="32"/>
      <c r="U131" s="32"/>
      <c r="V131" s="32"/>
      <c r="W131" s="32"/>
      <c r="X131" s="32"/>
      <c r="Y131" s="32"/>
      <c r="Z131" s="32"/>
      <c r="AA131" s="32"/>
      <c r="AB131" s="32"/>
      <c r="AC131" s="32"/>
      <c r="AD131" s="32"/>
      <c r="AE131" s="32"/>
      <c r="AF131" s="32"/>
      <c r="AG131" s="32"/>
      <c r="AH131" s="32"/>
      <c r="AI131" s="32"/>
      <c r="AJ131" s="32"/>
    </row>
    <row r="132">
      <c r="A132" s="32"/>
      <c r="B132" s="32"/>
      <c r="C132" s="32"/>
      <c r="D132" s="32"/>
      <c r="E132" s="32"/>
      <c r="F132" s="32"/>
      <c r="G132" s="32"/>
      <c r="H132" s="32"/>
      <c r="I132" s="32"/>
      <c r="J132" s="32"/>
      <c r="K132" s="32"/>
      <c r="L132" s="32"/>
      <c r="M132" s="32"/>
      <c r="N132" s="32"/>
      <c r="O132" s="32"/>
      <c r="P132" s="32"/>
      <c r="Q132" s="32"/>
      <c r="R132" s="32"/>
      <c r="S132" s="32"/>
      <c r="T132" s="32"/>
      <c r="U132" s="32"/>
      <c r="V132" s="32"/>
      <c r="W132" s="32"/>
      <c r="X132" s="32"/>
      <c r="Y132" s="32"/>
      <c r="Z132" s="32"/>
      <c r="AA132" s="32"/>
      <c r="AB132" s="32"/>
      <c r="AC132" s="32"/>
      <c r="AD132" s="32"/>
      <c r="AE132" s="32"/>
      <c r="AF132" s="32"/>
      <c r="AG132" s="32"/>
      <c r="AH132" s="32"/>
      <c r="AI132" s="32"/>
      <c r="AJ132" s="32"/>
    </row>
    <row r="133">
      <c r="A133" s="32"/>
      <c r="B133" s="32"/>
      <c r="C133" s="32"/>
      <c r="D133" s="32"/>
      <c r="E133" s="32"/>
      <c r="F133" s="32"/>
      <c r="G133" s="32"/>
      <c r="H133" s="32"/>
      <c r="I133" s="32"/>
      <c r="J133" s="32"/>
      <c r="K133" s="32"/>
      <c r="L133" s="32"/>
      <c r="M133" s="32"/>
      <c r="N133" s="32"/>
      <c r="O133" s="32"/>
      <c r="P133" s="32"/>
      <c r="Q133" s="32"/>
      <c r="R133" s="32"/>
      <c r="S133" s="32"/>
      <c r="T133" s="32"/>
      <c r="U133" s="32"/>
      <c r="V133" s="32"/>
      <c r="W133" s="32"/>
      <c r="X133" s="32"/>
      <c r="Y133" s="32"/>
      <c r="Z133" s="32"/>
      <c r="AA133" s="32"/>
      <c r="AB133" s="32"/>
      <c r="AC133" s="32"/>
      <c r="AD133" s="32"/>
      <c r="AE133" s="32"/>
      <c r="AF133" s="32"/>
      <c r="AG133" s="32"/>
      <c r="AH133" s="32"/>
      <c r="AI133" s="32"/>
      <c r="AJ133" s="32"/>
    </row>
    <row r="134">
      <c r="A134" s="32"/>
      <c r="B134" s="32"/>
      <c r="C134" s="32"/>
      <c r="D134" s="32"/>
      <c r="E134" s="32"/>
      <c r="F134" s="32"/>
      <c r="G134" s="32"/>
      <c r="H134" s="32"/>
      <c r="I134" s="32"/>
      <c r="J134" s="32"/>
      <c r="K134" s="32"/>
      <c r="L134" s="32"/>
      <c r="M134" s="32"/>
      <c r="N134" s="32"/>
      <c r="O134" s="32"/>
      <c r="P134" s="32"/>
      <c r="Q134" s="32"/>
      <c r="R134" s="32"/>
      <c r="S134" s="32"/>
      <c r="T134" s="32"/>
      <c r="U134" s="32"/>
      <c r="V134" s="32"/>
      <c r="W134" s="32"/>
      <c r="X134" s="32"/>
      <c r="Y134" s="32"/>
      <c r="Z134" s="32"/>
      <c r="AA134" s="32"/>
      <c r="AB134" s="32"/>
      <c r="AC134" s="32"/>
      <c r="AD134" s="32"/>
      <c r="AE134" s="32"/>
      <c r="AF134" s="32"/>
      <c r="AG134" s="32"/>
      <c r="AH134" s="32"/>
      <c r="AI134" s="32"/>
      <c r="AJ134" s="32"/>
    </row>
    <row r="135">
      <c r="A135" s="32"/>
      <c r="B135" s="32"/>
      <c r="C135" s="32"/>
      <c r="D135" s="32"/>
      <c r="E135" s="32"/>
      <c r="F135" s="32"/>
      <c r="G135" s="32"/>
      <c r="H135" s="32"/>
      <c r="I135" s="32"/>
      <c r="J135" s="32"/>
      <c r="K135" s="32"/>
      <c r="L135" s="32"/>
      <c r="M135" s="32"/>
      <c r="N135" s="32"/>
      <c r="O135" s="32"/>
      <c r="P135" s="32"/>
      <c r="Q135" s="32"/>
      <c r="R135" s="32"/>
      <c r="S135" s="32"/>
      <c r="T135" s="32"/>
      <c r="U135" s="32"/>
      <c r="V135" s="32"/>
      <c r="W135" s="32"/>
      <c r="X135" s="32"/>
      <c r="Y135" s="32"/>
      <c r="Z135" s="32"/>
      <c r="AA135" s="32"/>
      <c r="AB135" s="32"/>
      <c r="AC135" s="32"/>
      <c r="AD135" s="32"/>
      <c r="AE135" s="32"/>
      <c r="AF135" s="32"/>
      <c r="AG135" s="32"/>
      <c r="AH135" s="32"/>
      <c r="AI135" s="32"/>
      <c r="AJ135" s="32"/>
    </row>
    <row r="136">
      <c r="A136" s="32"/>
      <c r="B136" s="32"/>
      <c r="C136" s="32"/>
      <c r="D136" s="32"/>
      <c r="E136" s="32"/>
      <c r="F136" s="32"/>
      <c r="G136" s="32"/>
      <c r="H136" s="32"/>
      <c r="I136" s="32"/>
      <c r="J136" s="32"/>
      <c r="K136" s="32"/>
      <c r="L136" s="32"/>
      <c r="M136" s="32"/>
      <c r="N136" s="32"/>
      <c r="O136" s="32"/>
      <c r="P136" s="32"/>
      <c r="Q136" s="32"/>
      <c r="R136" s="32"/>
      <c r="S136" s="32"/>
      <c r="T136" s="32"/>
      <c r="U136" s="32"/>
      <c r="V136" s="32"/>
      <c r="W136" s="32"/>
      <c r="X136" s="32"/>
      <c r="Y136" s="32"/>
      <c r="Z136" s="32"/>
      <c r="AA136" s="32"/>
      <c r="AB136" s="32"/>
      <c r="AC136" s="32"/>
      <c r="AD136" s="32"/>
      <c r="AE136" s="32"/>
      <c r="AF136" s="32"/>
      <c r="AG136" s="32"/>
      <c r="AH136" s="32"/>
      <c r="AI136" s="32"/>
      <c r="AJ136" s="32"/>
    </row>
    <row r="137">
      <c r="A137" s="32"/>
      <c r="B137" s="32"/>
      <c r="C137" s="32"/>
      <c r="D137" s="32"/>
      <c r="E137" s="32"/>
      <c r="F137" s="32"/>
      <c r="G137" s="32"/>
      <c r="H137" s="32"/>
      <c r="I137" s="32"/>
      <c r="J137" s="32"/>
      <c r="K137" s="32"/>
      <c r="L137" s="32"/>
      <c r="M137" s="32"/>
      <c r="N137" s="32"/>
      <c r="O137" s="32"/>
      <c r="P137" s="32"/>
      <c r="Q137" s="32"/>
      <c r="R137" s="32"/>
      <c r="S137" s="32"/>
      <c r="T137" s="32"/>
      <c r="U137" s="32"/>
      <c r="V137" s="32"/>
      <c r="W137" s="32"/>
      <c r="X137" s="32"/>
      <c r="Y137" s="32"/>
      <c r="Z137" s="32"/>
      <c r="AA137" s="32"/>
      <c r="AB137" s="32"/>
      <c r="AC137" s="32"/>
      <c r="AD137" s="32"/>
      <c r="AE137" s="32"/>
      <c r="AF137" s="32"/>
      <c r="AG137" s="32"/>
      <c r="AH137" s="32"/>
      <c r="AI137" s="32"/>
      <c r="AJ137" s="32"/>
    </row>
    <row r="138">
      <c r="A138" s="32"/>
      <c r="B138" s="32"/>
      <c r="C138" s="32"/>
      <c r="D138" s="32"/>
      <c r="E138" s="32"/>
      <c r="F138" s="32"/>
      <c r="G138" s="32"/>
      <c r="H138" s="32"/>
      <c r="I138" s="32"/>
      <c r="J138" s="32"/>
      <c r="K138" s="32"/>
      <c r="L138" s="32"/>
      <c r="M138" s="32"/>
      <c r="N138" s="32"/>
      <c r="O138" s="32"/>
      <c r="P138" s="32"/>
      <c r="Q138" s="32"/>
      <c r="R138" s="32"/>
      <c r="S138" s="32"/>
      <c r="T138" s="32"/>
      <c r="U138" s="32"/>
      <c r="V138" s="32"/>
      <c r="W138" s="32"/>
      <c r="X138" s="32"/>
      <c r="Y138" s="32"/>
      <c r="Z138" s="32"/>
      <c r="AA138" s="32"/>
      <c r="AB138" s="32"/>
      <c r="AC138" s="32"/>
      <c r="AD138" s="32"/>
      <c r="AE138" s="32"/>
      <c r="AF138" s="32"/>
      <c r="AG138" s="32"/>
      <c r="AH138" s="32"/>
      <c r="AI138" s="32"/>
      <c r="AJ138" s="32"/>
    </row>
    <row r="139">
      <c r="A139" s="32"/>
      <c r="B139" s="32"/>
      <c r="C139" s="32"/>
      <c r="D139" s="32"/>
      <c r="E139" s="32"/>
      <c r="F139" s="32"/>
      <c r="G139" s="32"/>
      <c r="H139" s="32"/>
      <c r="I139" s="32"/>
      <c r="J139" s="32"/>
      <c r="K139" s="32"/>
      <c r="L139" s="32"/>
      <c r="M139" s="32"/>
      <c r="N139" s="32"/>
      <c r="O139" s="32"/>
      <c r="P139" s="32"/>
      <c r="Q139" s="32"/>
      <c r="R139" s="32"/>
      <c r="S139" s="32"/>
      <c r="T139" s="32"/>
      <c r="U139" s="32"/>
      <c r="V139" s="32"/>
      <c r="W139" s="32"/>
      <c r="X139" s="32"/>
      <c r="Y139" s="32"/>
      <c r="Z139" s="32"/>
      <c r="AA139" s="32"/>
      <c r="AB139" s="32"/>
      <c r="AC139" s="32"/>
      <c r="AD139" s="32"/>
      <c r="AE139" s="32"/>
      <c r="AF139" s="32"/>
      <c r="AG139" s="32"/>
      <c r="AH139" s="32"/>
      <c r="AI139" s="32"/>
      <c r="AJ139" s="32"/>
    </row>
    <row r="140">
      <c r="A140" s="32"/>
      <c r="B140" s="32"/>
      <c r="C140" s="32"/>
      <c r="D140" s="32"/>
      <c r="E140" s="32"/>
      <c r="F140" s="32"/>
      <c r="G140" s="32"/>
      <c r="H140" s="32"/>
      <c r="I140" s="32"/>
      <c r="J140" s="32"/>
      <c r="K140" s="32"/>
      <c r="L140" s="32"/>
      <c r="M140" s="32"/>
      <c r="N140" s="32"/>
      <c r="O140" s="32"/>
      <c r="P140" s="32"/>
      <c r="Q140" s="32"/>
      <c r="R140" s="32"/>
      <c r="S140" s="32"/>
      <c r="T140" s="32"/>
      <c r="U140" s="32"/>
      <c r="V140" s="32"/>
      <c r="W140" s="32"/>
      <c r="X140" s="32"/>
      <c r="Y140" s="32"/>
      <c r="Z140" s="32"/>
      <c r="AA140" s="32"/>
      <c r="AB140" s="32"/>
      <c r="AC140" s="32"/>
      <c r="AD140" s="32"/>
      <c r="AE140" s="32"/>
      <c r="AF140" s="32"/>
      <c r="AG140" s="32"/>
      <c r="AH140" s="32"/>
      <c r="AI140" s="32"/>
      <c r="AJ140" s="32"/>
    </row>
    <row r="141">
      <c r="A141" s="32"/>
      <c r="B141" s="32"/>
      <c r="C141" s="32"/>
      <c r="D141" s="32"/>
      <c r="E141" s="32"/>
      <c r="F141" s="32"/>
      <c r="G141" s="32"/>
      <c r="H141" s="32"/>
      <c r="I141" s="32"/>
      <c r="J141" s="32"/>
      <c r="K141" s="32"/>
      <c r="L141" s="32"/>
      <c r="M141" s="32"/>
      <c r="N141" s="32"/>
      <c r="O141" s="32"/>
      <c r="P141" s="32"/>
      <c r="Q141" s="32"/>
      <c r="R141" s="32"/>
      <c r="S141" s="32"/>
      <c r="T141" s="32"/>
      <c r="U141" s="32"/>
      <c r="V141" s="32"/>
      <c r="W141" s="32"/>
      <c r="X141" s="32"/>
      <c r="Y141" s="32"/>
      <c r="Z141" s="32"/>
      <c r="AA141" s="32"/>
      <c r="AB141" s="32"/>
      <c r="AC141" s="32"/>
      <c r="AD141" s="32"/>
      <c r="AE141" s="32"/>
      <c r="AF141" s="32"/>
      <c r="AG141" s="32"/>
      <c r="AH141" s="32"/>
      <c r="AI141" s="32"/>
      <c r="AJ141" s="32"/>
    </row>
    <row r="142">
      <c r="A142" s="32"/>
      <c r="B142" s="32"/>
      <c r="C142" s="32"/>
      <c r="D142" s="32"/>
      <c r="E142" s="32"/>
      <c r="F142" s="32"/>
      <c r="G142" s="32"/>
      <c r="H142" s="32"/>
      <c r="I142" s="32"/>
      <c r="J142" s="32"/>
      <c r="K142" s="32"/>
      <c r="L142" s="32"/>
      <c r="M142" s="32"/>
      <c r="N142" s="32"/>
      <c r="O142" s="32"/>
      <c r="P142" s="32"/>
      <c r="Q142" s="32"/>
      <c r="R142" s="32"/>
      <c r="S142" s="32"/>
      <c r="T142" s="32"/>
      <c r="U142" s="32"/>
      <c r="V142" s="32"/>
      <c r="W142" s="32"/>
      <c r="X142" s="32"/>
      <c r="Y142" s="32"/>
      <c r="Z142" s="32"/>
      <c r="AA142" s="32"/>
      <c r="AB142" s="32"/>
      <c r="AC142" s="32"/>
      <c r="AD142" s="32"/>
      <c r="AE142" s="32"/>
      <c r="AF142" s="32"/>
      <c r="AG142" s="32"/>
      <c r="AH142" s="32"/>
      <c r="AI142" s="32"/>
      <c r="AJ142" s="32"/>
    </row>
    <row r="143">
      <c r="A143" s="32"/>
      <c r="B143" s="32"/>
      <c r="C143" s="32"/>
      <c r="D143" s="32"/>
      <c r="E143" s="32"/>
      <c r="F143" s="32"/>
      <c r="G143" s="32"/>
      <c r="H143" s="32"/>
      <c r="I143" s="32"/>
      <c r="J143" s="32"/>
      <c r="K143" s="32"/>
      <c r="L143" s="32"/>
      <c r="M143" s="32"/>
      <c r="N143" s="32"/>
      <c r="O143" s="32"/>
      <c r="P143" s="32"/>
      <c r="Q143" s="32"/>
      <c r="R143" s="32"/>
      <c r="S143" s="32"/>
      <c r="T143" s="32"/>
      <c r="U143" s="32"/>
      <c r="V143" s="32"/>
      <c r="W143" s="32"/>
      <c r="X143" s="32"/>
      <c r="Y143" s="32"/>
      <c r="Z143" s="32"/>
      <c r="AA143" s="32"/>
      <c r="AB143" s="32"/>
      <c r="AC143" s="32"/>
      <c r="AD143" s="32"/>
      <c r="AE143" s="32"/>
      <c r="AF143" s="32"/>
      <c r="AG143" s="32"/>
      <c r="AH143" s="32"/>
      <c r="AI143" s="32"/>
      <c r="AJ143" s="32"/>
    </row>
    <row r="144">
      <c r="A144" s="32"/>
      <c r="B144" s="32"/>
      <c r="C144" s="32"/>
      <c r="D144" s="32"/>
      <c r="E144" s="32"/>
      <c r="F144" s="32"/>
      <c r="G144" s="32"/>
      <c r="H144" s="32"/>
      <c r="I144" s="32"/>
      <c r="J144" s="32"/>
      <c r="K144" s="32"/>
      <c r="L144" s="32"/>
      <c r="M144" s="32"/>
      <c r="N144" s="32"/>
      <c r="O144" s="32"/>
      <c r="P144" s="32"/>
      <c r="Q144" s="32"/>
      <c r="R144" s="32"/>
      <c r="S144" s="32"/>
      <c r="T144" s="32"/>
      <c r="U144" s="32"/>
      <c r="V144" s="32"/>
      <c r="W144" s="32"/>
      <c r="X144" s="32"/>
      <c r="Y144" s="32"/>
      <c r="Z144" s="32"/>
      <c r="AA144" s="32"/>
      <c r="AB144" s="32"/>
      <c r="AC144" s="32"/>
      <c r="AD144" s="32"/>
      <c r="AE144" s="32"/>
      <c r="AF144" s="32"/>
      <c r="AG144" s="32"/>
      <c r="AH144" s="32"/>
      <c r="AI144" s="32"/>
      <c r="AJ144" s="32"/>
    </row>
    <row r="145">
      <c r="A145" s="32"/>
      <c r="B145" s="32"/>
      <c r="C145" s="32"/>
      <c r="D145" s="32"/>
      <c r="E145" s="32"/>
      <c r="F145" s="32"/>
      <c r="G145" s="32"/>
      <c r="H145" s="32"/>
      <c r="I145" s="32"/>
      <c r="J145" s="32"/>
      <c r="K145" s="32"/>
      <c r="L145" s="32"/>
      <c r="M145" s="32"/>
      <c r="N145" s="32"/>
      <c r="O145" s="32"/>
      <c r="P145" s="32"/>
      <c r="Q145" s="32"/>
      <c r="R145" s="32"/>
      <c r="S145" s="32"/>
      <c r="T145" s="32"/>
      <c r="U145" s="32"/>
      <c r="V145" s="32"/>
      <c r="W145" s="32"/>
      <c r="X145" s="32"/>
      <c r="Y145" s="32"/>
      <c r="Z145" s="32"/>
      <c r="AA145" s="32"/>
      <c r="AB145" s="32"/>
      <c r="AC145" s="32"/>
      <c r="AD145" s="32"/>
      <c r="AE145" s="32"/>
      <c r="AF145" s="32"/>
      <c r="AG145" s="32"/>
      <c r="AH145" s="32"/>
      <c r="AI145" s="32"/>
      <c r="AJ145" s="32"/>
    </row>
    <row r="146">
      <c r="A146" s="32"/>
      <c r="B146" s="32"/>
      <c r="C146" s="32"/>
      <c r="D146" s="32"/>
      <c r="E146" s="32"/>
      <c r="F146" s="32"/>
      <c r="G146" s="32"/>
      <c r="H146" s="32"/>
      <c r="I146" s="32"/>
      <c r="J146" s="32"/>
      <c r="K146" s="32"/>
      <c r="L146" s="32"/>
      <c r="M146" s="32"/>
      <c r="N146" s="32"/>
      <c r="O146" s="32"/>
      <c r="P146" s="32"/>
      <c r="Q146" s="32"/>
      <c r="R146" s="32"/>
      <c r="S146" s="32"/>
      <c r="T146" s="32"/>
      <c r="U146" s="32"/>
      <c r="V146" s="32"/>
      <c r="W146" s="32"/>
      <c r="X146" s="32"/>
      <c r="Y146" s="32"/>
      <c r="Z146" s="32"/>
      <c r="AA146" s="32"/>
      <c r="AB146" s="32"/>
      <c r="AC146" s="32"/>
      <c r="AD146" s="32"/>
      <c r="AE146" s="32"/>
      <c r="AF146" s="32"/>
      <c r="AG146" s="32"/>
      <c r="AH146" s="32"/>
      <c r="AI146" s="32"/>
      <c r="AJ146" s="32"/>
    </row>
    <row r="147">
      <c r="A147" s="32"/>
      <c r="B147" s="32"/>
      <c r="C147" s="32"/>
      <c r="D147" s="32"/>
      <c r="E147" s="32"/>
      <c r="F147" s="32"/>
      <c r="G147" s="32"/>
      <c r="H147" s="32"/>
      <c r="I147" s="32"/>
      <c r="J147" s="32"/>
      <c r="K147" s="32"/>
      <c r="L147" s="32"/>
      <c r="M147" s="32"/>
      <c r="N147" s="32"/>
      <c r="O147" s="32"/>
      <c r="P147" s="32"/>
      <c r="Q147" s="32"/>
      <c r="R147" s="32"/>
      <c r="S147" s="32"/>
      <c r="T147" s="32"/>
      <c r="U147" s="32"/>
      <c r="V147" s="32"/>
      <c r="W147" s="32"/>
      <c r="X147" s="32"/>
      <c r="Y147" s="32"/>
      <c r="Z147" s="32"/>
      <c r="AA147" s="32"/>
      <c r="AB147" s="32"/>
      <c r="AC147" s="32"/>
      <c r="AD147" s="32"/>
      <c r="AE147" s="32"/>
      <c r="AF147" s="32"/>
      <c r="AG147" s="32"/>
      <c r="AH147" s="32"/>
      <c r="AI147" s="32"/>
      <c r="AJ147" s="32"/>
    </row>
    <row r="148">
      <c r="A148" s="32"/>
      <c r="B148" s="32"/>
      <c r="C148" s="32"/>
      <c r="D148" s="32"/>
      <c r="E148" s="32"/>
      <c r="F148" s="32"/>
      <c r="G148" s="32"/>
      <c r="H148" s="32"/>
      <c r="I148" s="32"/>
      <c r="J148" s="32"/>
      <c r="K148" s="32"/>
      <c r="L148" s="32"/>
      <c r="M148" s="32"/>
      <c r="N148" s="32"/>
      <c r="O148" s="32"/>
      <c r="P148" s="32"/>
      <c r="Q148" s="32"/>
      <c r="R148" s="32"/>
      <c r="S148" s="32"/>
      <c r="T148" s="32"/>
      <c r="U148" s="32"/>
      <c r="V148" s="32"/>
      <c r="W148" s="32"/>
      <c r="X148" s="32"/>
      <c r="Y148" s="32"/>
      <c r="Z148" s="32"/>
      <c r="AA148" s="32"/>
      <c r="AB148" s="32"/>
      <c r="AC148" s="32"/>
      <c r="AD148" s="32"/>
      <c r="AE148" s="32"/>
      <c r="AF148" s="32"/>
      <c r="AG148" s="32"/>
      <c r="AH148" s="32"/>
      <c r="AI148" s="32"/>
      <c r="AJ148" s="32"/>
    </row>
    <row r="149">
      <c r="A149" s="32"/>
      <c r="B149" s="32"/>
      <c r="C149" s="32"/>
      <c r="D149" s="32"/>
      <c r="E149" s="32"/>
      <c r="F149" s="32"/>
      <c r="G149" s="32"/>
      <c r="H149" s="32"/>
      <c r="I149" s="32"/>
      <c r="J149" s="32"/>
      <c r="K149" s="32"/>
      <c r="L149" s="32"/>
      <c r="M149" s="32"/>
      <c r="N149" s="32"/>
      <c r="O149" s="32"/>
      <c r="P149" s="32"/>
      <c r="Q149" s="32"/>
      <c r="R149" s="32"/>
      <c r="S149" s="32"/>
      <c r="T149" s="32"/>
      <c r="U149" s="32"/>
      <c r="V149" s="32"/>
      <c r="W149" s="32"/>
      <c r="X149" s="32"/>
      <c r="Y149" s="32"/>
      <c r="Z149" s="32"/>
      <c r="AA149" s="32"/>
      <c r="AB149" s="32"/>
      <c r="AC149" s="32"/>
      <c r="AD149" s="32"/>
      <c r="AE149" s="32"/>
      <c r="AF149" s="32"/>
      <c r="AG149" s="32"/>
      <c r="AH149" s="32"/>
      <c r="AI149" s="32"/>
      <c r="AJ149" s="32"/>
    </row>
    <row r="150">
      <c r="A150" s="32"/>
      <c r="B150" s="32"/>
      <c r="C150" s="32"/>
      <c r="D150" s="32"/>
      <c r="E150" s="32"/>
      <c r="F150" s="32"/>
      <c r="G150" s="32"/>
      <c r="H150" s="32"/>
      <c r="I150" s="32"/>
      <c r="J150" s="32"/>
      <c r="K150" s="32"/>
      <c r="L150" s="32"/>
      <c r="M150" s="32"/>
      <c r="N150" s="32"/>
      <c r="O150" s="32"/>
      <c r="P150" s="32"/>
      <c r="Q150" s="32"/>
      <c r="R150" s="32"/>
      <c r="S150" s="32"/>
      <c r="T150" s="32"/>
      <c r="U150" s="32"/>
      <c r="V150" s="32"/>
      <c r="W150" s="32"/>
      <c r="X150" s="32"/>
      <c r="Y150" s="32"/>
      <c r="Z150" s="32"/>
      <c r="AA150" s="32"/>
      <c r="AB150" s="32"/>
      <c r="AC150" s="32"/>
      <c r="AD150" s="32"/>
      <c r="AE150" s="32"/>
      <c r="AF150" s="32"/>
      <c r="AG150" s="32"/>
      <c r="AH150" s="32"/>
      <c r="AI150" s="32"/>
      <c r="AJ150" s="32"/>
    </row>
    <row r="151">
      <c r="A151" s="32"/>
      <c r="B151" s="32"/>
      <c r="C151" s="32"/>
      <c r="D151" s="32"/>
      <c r="E151" s="32"/>
      <c r="F151" s="32"/>
      <c r="G151" s="32"/>
      <c r="H151" s="32"/>
      <c r="I151" s="32"/>
      <c r="J151" s="32"/>
      <c r="K151" s="32"/>
      <c r="L151" s="32"/>
      <c r="M151" s="32"/>
      <c r="N151" s="32"/>
      <c r="O151" s="32"/>
      <c r="P151" s="32"/>
      <c r="Q151" s="32"/>
      <c r="R151" s="32"/>
      <c r="S151" s="32"/>
      <c r="T151" s="32"/>
      <c r="U151" s="32"/>
      <c r="V151" s="32"/>
      <c r="W151" s="32"/>
      <c r="X151" s="32"/>
      <c r="Y151" s="32"/>
      <c r="Z151" s="32"/>
      <c r="AA151" s="32"/>
      <c r="AB151" s="32"/>
      <c r="AC151" s="32"/>
      <c r="AD151" s="32"/>
      <c r="AE151" s="32"/>
      <c r="AF151" s="32"/>
      <c r="AG151" s="32"/>
      <c r="AH151" s="32"/>
      <c r="AI151" s="32"/>
      <c r="AJ151" s="32"/>
    </row>
    <row r="152">
      <c r="A152" s="32"/>
      <c r="B152" s="32"/>
      <c r="C152" s="32"/>
      <c r="D152" s="32"/>
      <c r="E152" s="32"/>
      <c r="F152" s="32"/>
      <c r="G152" s="32"/>
      <c r="H152" s="32"/>
      <c r="I152" s="32"/>
      <c r="J152" s="32"/>
      <c r="K152" s="32"/>
      <c r="L152" s="32"/>
      <c r="M152" s="32"/>
      <c r="N152" s="32"/>
      <c r="O152" s="32"/>
      <c r="P152" s="32"/>
      <c r="Q152" s="32"/>
      <c r="R152" s="32"/>
      <c r="S152" s="32"/>
      <c r="T152" s="32"/>
      <c r="U152" s="32"/>
      <c r="V152" s="32"/>
      <c r="W152" s="32"/>
      <c r="X152" s="32"/>
      <c r="Y152" s="32"/>
      <c r="Z152" s="32"/>
      <c r="AA152" s="32"/>
      <c r="AB152" s="32"/>
      <c r="AC152" s="32"/>
      <c r="AD152" s="32"/>
      <c r="AE152" s="32"/>
      <c r="AF152" s="32"/>
      <c r="AG152" s="32"/>
      <c r="AH152" s="32"/>
      <c r="AI152" s="32"/>
      <c r="AJ152" s="32"/>
    </row>
    <row r="153">
      <c r="A153" s="32"/>
      <c r="B153" s="32"/>
      <c r="C153" s="32"/>
      <c r="D153" s="32"/>
      <c r="E153" s="32"/>
      <c r="F153" s="32"/>
      <c r="G153" s="32"/>
      <c r="H153" s="32"/>
      <c r="I153" s="32"/>
      <c r="J153" s="32"/>
      <c r="K153" s="32"/>
      <c r="L153" s="32"/>
      <c r="M153" s="32"/>
      <c r="N153" s="32"/>
      <c r="O153" s="32"/>
      <c r="P153" s="32"/>
      <c r="Q153" s="32"/>
      <c r="R153" s="32"/>
      <c r="S153" s="32"/>
      <c r="T153" s="32"/>
      <c r="U153" s="32"/>
      <c r="V153" s="32"/>
      <c r="W153" s="32"/>
      <c r="X153" s="32"/>
      <c r="Y153" s="32"/>
      <c r="Z153" s="32"/>
      <c r="AA153" s="32"/>
      <c r="AB153" s="32"/>
      <c r="AC153" s="32"/>
      <c r="AD153" s="32"/>
      <c r="AE153" s="32"/>
      <c r="AF153" s="32"/>
      <c r="AG153" s="32"/>
      <c r="AH153" s="32"/>
      <c r="AI153" s="32"/>
      <c r="AJ153" s="32"/>
    </row>
    <row r="154">
      <c r="A154" s="32"/>
      <c r="B154" s="32"/>
      <c r="C154" s="32"/>
      <c r="D154" s="32"/>
      <c r="E154" s="32"/>
      <c r="F154" s="32"/>
      <c r="G154" s="32"/>
      <c r="H154" s="32"/>
      <c r="I154" s="32"/>
      <c r="J154" s="32"/>
      <c r="K154" s="32"/>
      <c r="L154" s="32"/>
      <c r="M154" s="32"/>
      <c r="N154" s="32"/>
      <c r="O154" s="32"/>
      <c r="P154" s="32"/>
      <c r="Q154" s="32"/>
      <c r="R154" s="32"/>
      <c r="S154" s="32"/>
      <c r="T154" s="32"/>
      <c r="U154" s="32"/>
      <c r="V154" s="32"/>
      <c r="W154" s="32"/>
      <c r="X154" s="32"/>
      <c r="Y154" s="32"/>
      <c r="Z154" s="32"/>
      <c r="AA154" s="32"/>
      <c r="AB154" s="32"/>
      <c r="AC154" s="32"/>
      <c r="AD154" s="32"/>
      <c r="AE154" s="32"/>
      <c r="AF154" s="32"/>
      <c r="AG154" s="32"/>
      <c r="AH154" s="32"/>
      <c r="AI154" s="32"/>
      <c r="AJ154" s="32"/>
    </row>
    <row r="155">
      <c r="A155" s="32"/>
      <c r="B155" s="32"/>
      <c r="C155" s="32"/>
      <c r="D155" s="32"/>
      <c r="E155" s="32"/>
      <c r="F155" s="32"/>
      <c r="G155" s="32"/>
      <c r="H155" s="32"/>
      <c r="I155" s="32"/>
      <c r="J155" s="32"/>
      <c r="K155" s="32"/>
      <c r="L155" s="32"/>
      <c r="M155" s="32"/>
      <c r="N155" s="32"/>
      <c r="O155" s="32"/>
      <c r="P155" s="32"/>
      <c r="Q155" s="32"/>
      <c r="R155" s="32"/>
      <c r="S155" s="32"/>
      <c r="T155" s="32"/>
      <c r="U155" s="32"/>
      <c r="V155" s="32"/>
      <c r="W155" s="32"/>
      <c r="X155" s="32"/>
      <c r="Y155" s="32"/>
      <c r="Z155" s="32"/>
      <c r="AA155" s="32"/>
      <c r="AB155" s="32"/>
      <c r="AC155" s="32"/>
      <c r="AD155" s="32"/>
      <c r="AE155" s="32"/>
      <c r="AF155" s="32"/>
      <c r="AG155" s="32"/>
      <c r="AH155" s="32"/>
      <c r="AI155" s="32"/>
      <c r="AJ155" s="32"/>
    </row>
    <row r="156">
      <c r="A156" s="32"/>
      <c r="B156" s="32"/>
      <c r="C156" s="32"/>
      <c r="D156" s="32"/>
      <c r="E156" s="32"/>
      <c r="F156" s="32"/>
      <c r="G156" s="32"/>
      <c r="H156" s="32"/>
      <c r="I156" s="32"/>
      <c r="J156" s="32"/>
      <c r="K156" s="32"/>
      <c r="L156" s="32"/>
      <c r="M156" s="32"/>
      <c r="N156" s="32"/>
      <c r="O156" s="32"/>
      <c r="P156" s="32"/>
      <c r="Q156" s="32"/>
      <c r="R156" s="32"/>
      <c r="S156" s="32"/>
      <c r="T156" s="32"/>
      <c r="U156" s="32"/>
      <c r="V156" s="32"/>
      <c r="W156" s="32"/>
      <c r="X156" s="32"/>
      <c r="Y156" s="32"/>
      <c r="Z156" s="32"/>
      <c r="AA156" s="32"/>
      <c r="AB156" s="32"/>
      <c r="AC156" s="32"/>
      <c r="AD156" s="32"/>
      <c r="AE156" s="32"/>
      <c r="AF156" s="32"/>
      <c r="AG156" s="32"/>
      <c r="AH156" s="32"/>
      <c r="AI156" s="32"/>
      <c r="AJ156" s="32"/>
    </row>
    <row r="157">
      <c r="A157" s="32"/>
      <c r="B157" s="32"/>
      <c r="C157" s="32"/>
      <c r="D157" s="32"/>
      <c r="E157" s="32"/>
      <c r="F157" s="32"/>
      <c r="G157" s="32"/>
      <c r="H157" s="32"/>
      <c r="I157" s="32"/>
      <c r="J157" s="32"/>
      <c r="K157" s="32"/>
      <c r="L157" s="32"/>
      <c r="M157" s="32"/>
      <c r="N157" s="32"/>
      <c r="O157" s="32"/>
      <c r="P157" s="32"/>
      <c r="Q157" s="32"/>
      <c r="R157" s="32"/>
      <c r="S157" s="32"/>
      <c r="T157" s="32"/>
      <c r="U157" s="32"/>
      <c r="V157" s="32"/>
      <c r="W157" s="32"/>
      <c r="X157" s="32"/>
      <c r="Y157" s="32"/>
      <c r="Z157" s="32"/>
      <c r="AA157" s="32"/>
      <c r="AB157" s="32"/>
      <c r="AC157" s="32"/>
      <c r="AD157" s="32"/>
      <c r="AE157" s="32"/>
      <c r="AF157" s="32"/>
      <c r="AG157" s="32"/>
      <c r="AH157" s="32"/>
      <c r="AI157" s="32"/>
      <c r="AJ157" s="32"/>
    </row>
    <row r="158">
      <c r="A158" s="32"/>
      <c r="B158" s="32"/>
      <c r="C158" s="32"/>
      <c r="D158" s="32"/>
      <c r="E158" s="32"/>
      <c r="F158" s="32"/>
      <c r="G158" s="32"/>
      <c r="H158" s="32"/>
      <c r="I158" s="32"/>
      <c r="J158" s="32"/>
      <c r="K158" s="32"/>
      <c r="L158" s="32"/>
      <c r="M158" s="32"/>
      <c r="N158" s="32"/>
      <c r="O158" s="32"/>
      <c r="P158" s="32"/>
      <c r="Q158" s="32"/>
      <c r="R158" s="32"/>
      <c r="S158" s="32"/>
      <c r="T158" s="32"/>
      <c r="U158" s="32"/>
      <c r="V158" s="32"/>
      <c r="W158" s="32"/>
      <c r="X158" s="32"/>
      <c r="Y158" s="32"/>
      <c r="Z158" s="32"/>
      <c r="AA158" s="32"/>
      <c r="AB158" s="32"/>
      <c r="AC158" s="32"/>
      <c r="AD158" s="32"/>
      <c r="AE158" s="32"/>
      <c r="AF158" s="32"/>
      <c r="AG158" s="32"/>
      <c r="AH158" s="32"/>
      <c r="AI158" s="32"/>
      <c r="AJ158" s="32"/>
    </row>
    <row r="159">
      <c r="A159" s="32"/>
      <c r="B159" s="32"/>
      <c r="C159" s="32"/>
      <c r="D159" s="32"/>
      <c r="E159" s="32"/>
      <c r="F159" s="32"/>
      <c r="G159" s="32"/>
      <c r="H159" s="32"/>
      <c r="I159" s="32"/>
      <c r="J159" s="32"/>
      <c r="K159" s="32"/>
      <c r="L159" s="32"/>
      <c r="M159" s="32"/>
      <c r="N159" s="32"/>
      <c r="O159" s="32"/>
      <c r="P159" s="32"/>
      <c r="Q159" s="32"/>
      <c r="R159" s="32"/>
      <c r="S159" s="32"/>
      <c r="T159" s="32"/>
      <c r="U159" s="32"/>
      <c r="V159" s="32"/>
      <c r="W159" s="32"/>
      <c r="X159" s="32"/>
      <c r="Y159" s="32"/>
      <c r="Z159" s="32"/>
      <c r="AA159" s="32"/>
      <c r="AB159" s="32"/>
      <c r="AC159" s="32"/>
      <c r="AD159" s="32"/>
      <c r="AE159" s="32"/>
      <c r="AF159" s="32"/>
      <c r="AG159" s="32"/>
      <c r="AH159" s="32"/>
      <c r="AI159" s="32"/>
      <c r="AJ159" s="32"/>
    </row>
    <row r="160">
      <c r="A160" s="32"/>
      <c r="B160" s="32"/>
      <c r="C160" s="32"/>
      <c r="D160" s="32"/>
      <c r="E160" s="32"/>
      <c r="F160" s="32"/>
      <c r="G160" s="32"/>
      <c r="H160" s="32"/>
      <c r="I160" s="32"/>
      <c r="J160" s="32"/>
      <c r="K160" s="32"/>
      <c r="L160" s="32"/>
      <c r="M160" s="32"/>
      <c r="N160" s="32"/>
      <c r="O160" s="32"/>
      <c r="P160" s="32"/>
      <c r="Q160" s="32"/>
      <c r="R160" s="32"/>
      <c r="S160" s="32"/>
      <c r="T160" s="32"/>
      <c r="U160" s="32"/>
      <c r="V160" s="32"/>
      <c r="W160" s="32"/>
      <c r="X160" s="32"/>
      <c r="Y160" s="32"/>
      <c r="Z160" s="32"/>
      <c r="AA160" s="32"/>
      <c r="AB160" s="32"/>
      <c r="AC160" s="32"/>
      <c r="AD160" s="32"/>
      <c r="AE160" s="32"/>
      <c r="AF160" s="32"/>
      <c r="AG160" s="32"/>
      <c r="AH160" s="32"/>
      <c r="AI160" s="32"/>
      <c r="AJ160" s="32"/>
    </row>
    <row r="161">
      <c r="A161" s="32"/>
      <c r="B161" s="32"/>
      <c r="C161" s="32"/>
      <c r="D161" s="32"/>
      <c r="E161" s="32"/>
      <c r="F161" s="32"/>
      <c r="G161" s="32"/>
      <c r="H161" s="32"/>
      <c r="I161" s="32"/>
      <c r="J161" s="32"/>
      <c r="K161" s="32"/>
      <c r="L161" s="32"/>
      <c r="M161" s="32"/>
      <c r="N161" s="32"/>
      <c r="O161" s="32"/>
      <c r="P161" s="32"/>
      <c r="Q161" s="32"/>
      <c r="R161" s="32"/>
      <c r="S161" s="32"/>
      <c r="T161" s="32"/>
      <c r="U161" s="32"/>
      <c r="V161" s="32"/>
      <c r="W161" s="32"/>
      <c r="X161" s="32"/>
      <c r="Y161" s="32"/>
      <c r="Z161" s="32"/>
      <c r="AA161" s="32"/>
      <c r="AB161" s="32"/>
      <c r="AC161" s="32"/>
      <c r="AD161" s="32"/>
      <c r="AE161" s="32"/>
      <c r="AF161" s="32"/>
      <c r="AG161" s="32"/>
      <c r="AH161" s="32"/>
      <c r="AI161" s="32"/>
      <c r="AJ161" s="32"/>
    </row>
    <row r="162">
      <c r="A162" s="32"/>
      <c r="B162" s="32"/>
      <c r="C162" s="32"/>
      <c r="D162" s="32"/>
      <c r="E162" s="32"/>
      <c r="F162" s="32"/>
      <c r="G162" s="32"/>
      <c r="H162" s="32"/>
      <c r="I162" s="32"/>
      <c r="J162" s="32"/>
      <c r="K162" s="32"/>
      <c r="L162" s="32"/>
      <c r="M162" s="32"/>
      <c r="N162" s="32"/>
      <c r="O162" s="32"/>
      <c r="P162" s="32"/>
      <c r="Q162" s="32"/>
      <c r="R162" s="32"/>
      <c r="S162" s="32"/>
      <c r="T162" s="32"/>
      <c r="U162" s="32"/>
      <c r="V162" s="32"/>
      <c r="W162" s="32"/>
      <c r="X162" s="32"/>
      <c r="Y162" s="32"/>
      <c r="Z162" s="32"/>
      <c r="AA162" s="32"/>
      <c r="AB162" s="32"/>
      <c r="AC162" s="32"/>
      <c r="AD162" s="32"/>
      <c r="AE162" s="32"/>
      <c r="AF162" s="32"/>
      <c r="AG162" s="32"/>
      <c r="AH162" s="32"/>
      <c r="AI162" s="32"/>
      <c r="AJ162" s="32"/>
    </row>
    <row r="163">
      <c r="A163" s="32"/>
      <c r="B163" s="32"/>
      <c r="C163" s="32"/>
      <c r="D163" s="32"/>
      <c r="E163" s="32"/>
      <c r="F163" s="32"/>
      <c r="G163" s="32"/>
      <c r="H163" s="32"/>
      <c r="I163" s="32"/>
      <c r="J163" s="32"/>
      <c r="K163" s="32"/>
      <c r="L163" s="32"/>
      <c r="M163" s="32"/>
      <c r="N163" s="32"/>
      <c r="O163" s="32"/>
      <c r="P163" s="32"/>
      <c r="Q163" s="32"/>
      <c r="R163" s="32"/>
      <c r="S163" s="32"/>
      <c r="T163" s="32"/>
      <c r="U163" s="32"/>
      <c r="V163" s="32"/>
      <c r="W163" s="32"/>
      <c r="X163" s="32"/>
      <c r="Y163" s="32"/>
      <c r="Z163" s="32"/>
      <c r="AA163" s="32"/>
      <c r="AB163" s="32"/>
      <c r="AC163" s="32"/>
      <c r="AD163" s="32"/>
      <c r="AE163" s="32"/>
      <c r="AF163" s="32"/>
      <c r="AG163" s="32"/>
      <c r="AH163" s="32"/>
      <c r="AI163" s="32"/>
      <c r="AJ163" s="32"/>
    </row>
    <row r="164">
      <c r="A164" s="32"/>
      <c r="B164" s="32"/>
      <c r="C164" s="32"/>
      <c r="D164" s="32"/>
      <c r="E164" s="32"/>
      <c r="F164" s="32"/>
      <c r="G164" s="32"/>
      <c r="H164" s="32"/>
      <c r="I164" s="32"/>
      <c r="J164" s="32"/>
      <c r="K164" s="32"/>
      <c r="L164" s="32"/>
      <c r="M164" s="32"/>
      <c r="N164" s="32"/>
      <c r="O164" s="32"/>
      <c r="P164" s="32"/>
      <c r="Q164" s="32"/>
      <c r="R164" s="32"/>
      <c r="S164" s="32"/>
      <c r="T164" s="32"/>
      <c r="U164" s="32"/>
      <c r="V164" s="32"/>
      <c r="W164" s="32"/>
      <c r="X164" s="32"/>
      <c r="Y164" s="32"/>
      <c r="Z164" s="32"/>
      <c r="AA164" s="32"/>
      <c r="AB164" s="32"/>
      <c r="AC164" s="32"/>
      <c r="AD164" s="32"/>
      <c r="AE164" s="32"/>
      <c r="AF164" s="32"/>
      <c r="AG164" s="32"/>
      <c r="AH164" s="32"/>
      <c r="AI164" s="32"/>
      <c r="AJ164" s="32"/>
    </row>
    <row r="165">
      <c r="A165" s="32"/>
      <c r="B165" s="32"/>
      <c r="C165" s="32"/>
      <c r="D165" s="32"/>
      <c r="E165" s="32"/>
      <c r="F165" s="32"/>
      <c r="G165" s="32"/>
      <c r="H165" s="32"/>
      <c r="I165" s="32"/>
      <c r="J165" s="32"/>
      <c r="K165" s="32"/>
      <c r="L165" s="32"/>
      <c r="M165" s="32"/>
      <c r="N165" s="32"/>
      <c r="O165" s="32"/>
      <c r="P165" s="32"/>
      <c r="Q165" s="32"/>
      <c r="R165" s="32"/>
      <c r="S165" s="32"/>
      <c r="T165" s="32"/>
      <c r="U165" s="32"/>
      <c r="V165" s="32"/>
      <c r="W165" s="32"/>
      <c r="X165" s="32"/>
      <c r="Y165" s="32"/>
      <c r="Z165" s="32"/>
      <c r="AA165" s="32"/>
      <c r="AB165" s="32"/>
      <c r="AC165" s="32"/>
      <c r="AD165" s="32"/>
      <c r="AE165" s="32"/>
      <c r="AF165" s="32"/>
      <c r="AG165" s="32"/>
      <c r="AH165" s="32"/>
      <c r="AI165" s="32"/>
      <c r="AJ165" s="32"/>
    </row>
    <row r="166">
      <c r="A166" s="32"/>
      <c r="B166" s="32"/>
      <c r="C166" s="32"/>
      <c r="D166" s="32"/>
      <c r="E166" s="32"/>
      <c r="F166" s="32"/>
      <c r="G166" s="32"/>
      <c r="H166" s="32"/>
      <c r="I166" s="32"/>
      <c r="J166" s="32"/>
      <c r="K166" s="32"/>
      <c r="L166" s="32"/>
      <c r="M166" s="32"/>
      <c r="N166" s="32"/>
      <c r="O166" s="32"/>
      <c r="P166" s="32"/>
      <c r="Q166" s="32"/>
      <c r="R166" s="32"/>
      <c r="S166" s="32"/>
      <c r="T166" s="32"/>
      <c r="U166" s="32"/>
      <c r="V166" s="32"/>
      <c r="W166" s="32"/>
      <c r="X166" s="32"/>
      <c r="Y166" s="32"/>
      <c r="Z166" s="32"/>
      <c r="AA166" s="32"/>
      <c r="AB166" s="32"/>
      <c r="AC166" s="32"/>
      <c r="AD166" s="32"/>
      <c r="AE166" s="32"/>
      <c r="AF166" s="32"/>
      <c r="AG166" s="32"/>
      <c r="AH166" s="32"/>
      <c r="AI166" s="32"/>
      <c r="AJ166" s="32"/>
    </row>
    <row r="167">
      <c r="A167" s="32"/>
      <c r="B167" s="32"/>
      <c r="C167" s="32"/>
      <c r="D167" s="32"/>
      <c r="E167" s="32"/>
      <c r="F167" s="32"/>
      <c r="G167" s="32"/>
      <c r="H167" s="32"/>
      <c r="I167" s="32"/>
      <c r="J167" s="32"/>
      <c r="K167" s="32"/>
      <c r="L167" s="32"/>
      <c r="M167" s="32"/>
      <c r="N167" s="32"/>
      <c r="O167" s="32"/>
      <c r="P167" s="32"/>
      <c r="Q167" s="32"/>
      <c r="R167" s="32"/>
      <c r="S167" s="32"/>
      <c r="T167" s="32"/>
      <c r="U167" s="32"/>
      <c r="V167" s="32"/>
      <c r="W167" s="32"/>
      <c r="X167" s="32"/>
      <c r="Y167" s="32"/>
      <c r="Z167" s="32"/>
      <c r="AA167" s="32"/>
      <c r="AB167" s="32"/>
      <c r="AC167" s="32"/>
      <c r="AD167" s="32"/>
      <c r="AE167" s="32"/>
      <c r="AF167" s="32"/>
      <c r="AG167" s="32"/>
      <c r="AH167" s="32"/>
      <c r="AI167" s="32"/>
      <c r="AJ167" s="32"/>
    </row>
    <row r="168">
      <c r="A168" s="32"/>
      <c r="B168" s="32"/>
      <c r="C168" s="32"/>
      <c r="D168" s="32"/>
      <c r="E168" s="32"/>
      <c r="F168" s="32"/>
      <c r="G168" s="32"/>
      <c r="H168" s="32"/>
      <c r="I168" s="32"/>
      <c r="J168" s="32"/>
      <c r="K168" s="32"/>
      <c r="L168" s="32"/>
      <c r="M168" s="32"/>
      <c r="N168" s="32"/>
      <c r="O168" s="32"/>
      <c r="P168" s="32"/>
      <c r="Q168" s="32"/>
      <c r="R168" s="32"/>
      <c r="S168" s="32"/>
      <c r="T168" s="32"/>
      <c r="U168" s="32"/>
      <c r="V168" s="32"/>
      <c r="W168" s="32"/>
      <c r="X168" s="32"/>
      <c r="Y168" s="32"/>
      <c r="Z168" s="32"/>
      <c r="AA168" s="32"/>
      <c r="AB168" s="32"/>
      <c r="AC168" s="32"/>
      <c r="AD168" s="32"/>
      <c r="AE168" s="32"/>
      <c r="AF168" s="32"/>
      <c r="AG168" s="32"/>
      <c r="AH168" s="32"/>
      <c r="AI168" s="32"/>
      <c r="AJ168" s="32"/>
    </row>
    <row r="169">
      <c r="A169" s="32"/>
      <c r="B169" s="32"/>
      <c r="C169" s="32"/>
      <c r="D169" s="32"/>
      <c r="E169" s="32"/>
      <c r="F169" s="32"/>
      <c r="G169" s="32"/>
      <c r="H169" s="32"/>
      <c r="I169" s="32"/>
      <c r="J169" s="32"/>
      <c r="K169" s="32"/>
      <c r="L169" s="32"/>
      <c r="M169" s="32"/>
      <c r="N169" s="32"/>
      <c r="O169" s="32"/>
      <c r="P169" s="32"/>
      <c r="Q169" s="32"/>
      <c r="R169" s="32"/>
      <c r="S169" s="32"/>
      <c r="T169" s="32"/>
      <c r="U169" s="32"/>
      <c r="V169" s="32"/>
      <c r="W169" s="32"/>
      <c r="X169" s="32"/>
      <c r="Y169" s="32"/>
      <c r="Z169" s="32"/>
      <c r="AA169" s="32"/>
      <c r="AB169" s="32"/>
      <c r="AC169" s="32"/>
      <c r="AD169" s="32"/>
      <c r="AE169" s="32"/>
      <c r="AF169" s="32"/>
      <c r="AG169" s="32"/>
      <c r="AH169" s="32"/>
      <c r="AI169" s="32"/>
      <c r="AJ169" s="32"/>
    </row>
    <row r="170">
      <c r="A170" s="32"/>
      <c r="B170" s="32"/>
      <c r="C170" s="32"/>
      <c r="D170" s="32"/>
      <c r="E170" s="32"/>
      <c r="F170" s="32"/>
      <c r="G170" s="32"/>
      <c r="H170" s="32"/>
      <c r="I170" s="32"/>
      <c r="J170" s="32"/>
      <c r="K170" s="32"/>
      <c r="L170" s="32"/>
      <c r="M170" s="32"/>
      <c r="N170" s="32"/>
      <c r="O170" s="32"/>
      <c r="P170" s="32"/>
      <c r="Q170" s="32"/>
      <c r="R170" s="32"/>
      <c r="S170" s="32"/>
      <c r="T170" s="32"/>
      <c r="U170" s="32"/>
      <c r="V170" s="32"/>
      <c r="W170" s="32"/>
      <c r="X170" s="32"/>
      <c r="Y170" s="32"/>
      <c r="Z170" s="32"/>
      <c r="AA170" s="32"/>
      <c r="AB170" s="32"/>
      <c r="AC170" s="32"/>
      <c r="AD170" s="32"/>
      <c r="AE170" s="32"/>
      <c r="AF170" s="32"/>
      <c r="AG170" s="32"/>
      <c r="AH170" s="32"/>
      <c r="AI170" s="32"/>
      <c r="AJ170" s="32"/>
    </row>
    <row r="171">
      <c r="A171" s="32"/>
      <c r="B171" s="32"/>
      <c r="C171" s="32"/>
      <c r="D171" s="32"/>
      <c r="E171" s="32"/>
      <c r="F171" s="32"/>
      <c r="G171" s="32"/>
      <c r="H171" s="32"/>
      <c r="I171" s="32"/>
      <c r="J171" s="32"/>
      <c r="K171" s="32"/>
      <c r="L171" s="32"/>
      <c r="M171" s="32"/>
      <c r="N171" s="32"/>
      <c r="O171" s="32"/>
      <c r="P171" s="32"/>
      <c r="Q171" s="32"/>
      <c r="R171" s="32"/>
      <c r="S171" s="32"/>
      <c r="T171" s="32"/>
      <c r="U171" s="32"/>
      <c r="V171" s="32"/>
      <c r="W171" s="32"/>
      <c r="X171" s="32"/>
      <c r="Y171" s="32"/>
      <c r="Z171" s="32"/>
      <c r="AA171" s="32"/>
      <c r="AB171" s="32"/>
      <c r="AC171" s="32"/>
      <c r="AD171" s="32"/>
      <c r="AE171" s="32"/>
      <c r="AF171" s="32"/>
      <c r="AG171" s="32"/>
      <c r="AH171" s="32"/>
      <c r="AI171" s="32"/>
      <c r="AJ171" s="32"/>
    </row>
    <row r="172">
      <c r="A172" s="32"/>
      <c r="B172" s="32"/>
      <c r="C172" s="32"/>
      <c r="D172" s="32"/>
      <c r="E172" s="32"/>
      <c r="F172" s="32"/>
      <c r="G172" s="32"/>
      <c r="H172" s="32"/>
      <c r="I172" s="32"/>
      <c r="J172" s="32"/>
      <c r="K172" s="32"/>
      <c r="L172" s="32"/>
      <c r="M172" s="32"/>
      <c r="N172" s="32"/>
      <c r="O172" s="32"/>
      <c r="P172" s="32"/>
      <c r="Q172" s="32"/>
      <c r="R172" s="32"/>
      <c r="S172" s="32"/>
      <c r="T172" s="32"/>
      <c r="U172" s="32"/>
      <c r="V172" s="32"/>
      <c r="W172" s="32"/>
      <c r="X172" s="32"/>
      <c r="Y172" s="32"/>
      <c r="Z172" s="32"/>
      <c r="AA172" s="32"/>
      <c r="AB172" s="32"/>
      <c r="AC172" s="32"/>
      <c r="AD172" s="32"/>
      <c r="AE172" s="32"/>
      <c r="AF172" s="32"/>
      <c r="AG172" s="32"/>
      <c r="AH172" s="32"/>
      <c r="AI172" s="32"/>
      <c r="AJ172" s="32"/>
    </row>
    <row r="173">
      <c r="A173" s="32"/>
      <c r="B173" s="32"/>
      <c r="C173" s="32"/>
      <c r="D173" s="32"/>
      <c r="E173" s="32"/>
      <c r="F173" s="32"/>
      <c r="G173" s="32"/>
      <c r="H173" s="32"/>
      <c r="I173" s="32"/>
      <c r="J173" s="32"/>
      <c r="K173" s="32"/>
      <c r="L173" s="32"/>
      <c r="M173" s="32"/>
      <c r="N173" s="32"/>
      <c r="O173" s="32"/>
      <c r="P173" s="32"/>
      <c r="Q173" s="32"/>
      <c r="R173" s="32"/>
      <c r="S173" s="32"/>
      <c r="T173" s="32"/>
      <c r="U173" s="32"/>
      <c r="V173" s="32"/>
      <c r="W173" s="32"/>
      <c r="X173" s="32"/>
      <c r="Y173" s="32"/>
      <c r="Z173" s="32"/>
      <c r="AA173" s="32"/>
      <c r="AB173" s="32"/>
      <c r="AC173" s="32"/>
      <c r="AD173" s="32"/>
      <c r="AE173" s="32"/>
      <c r="AF173" s="32"/>
      <c r="AG173" s="32"/>
      <c r="AH173" s="32"/>
      <c r="AI173" s="32"/>
      <c r="AJ173" s="32"/>
    </row>
    <row r="174">
      <c r="A174" s="32"/>
      <c r="B174" s="32"/>
      <c r="C174" s="32"/>
      <c r="D174" s="32"/>
      <c r="E174" s="32"/>
      <c r="F174" s="32"/>
      <c r="G174" s="32"/>
      <c r="H174" s="32"/>
      <c r="I174" s="32"/>
      <c r="J174" s="32"/>
      <c r="K174" s="32"/>
      <c r="L174" s="32"/>
      <c r="M174" s="32"/>
      <c r="N174" s="32"/>
      <c r="O174" s="32"/>
      <c r="P174" s="32"/>
      <c r="Q174" s="32"/>
      <c r="R174" s="32"/>
      <c r="S174" s="32"/>
      <c r="T174" s="32"/>
      <c r="U174" s="32"/>
      <c r="V174" s="32"/>
      <c r="W174" s="32"/>
      <c r="X174" s="32"/>
      <c r="Y174" s="32"/>
      <c r="Z174" s="32"/>
      <c r="AA174" s="32"/>
      <c r="AB174" s="32"/>
      <c r="AC174" s="32"/>
      <c r="AD174" s="32"/>
      <c r="AE174" s="32"/>
      <c r="AF174" s="32"/>
      <c r="AG174" s="32"/>
      <c r="AH174" s="32"/>
      <c r="AI174" s="32"/>
      <c r="AJ174" s="32"/>
    </row>
    <row r="175">
      <c r="A175" s="32"/>
      <c r="B175" s="32"/>
      <c r="C175" s="32"/>
      <c r="D175" s="32"/>
      <c r="E175" s="32"/>
      <c r="F175" s="32"/>
      <c r="G175" s="32"/>
      <c r="H175" s="32"/>
      <c r="I175" s="32"/>
      <c r="J175" s="32"/>
      <c r="K175" s="32"/>
      <c r="L175" s="32"/>
      <c r="M175" s="32"/>
      <c r="N175" s="32"/>
      <c r="O175" s="32"/>
      <c r="P175" s="32"/>
      <c r="Q175" s="32"/>
      <c r="R175" s="32"/>
      <c r="S175" s="32"/>
      <c r="T175" s="32"/>
      <c r="U175" s="32"/>
      <c r="V175" s="32"/>
      <c r="W175" s="32"/>
      <c r="X175" s="32"/>
      <c r="Y175" s="32"/>
      <c r="Z175" s="32"/>
      <c r="AA175" s="32"/>
      <c r="AB175" s="32"/>
      <c r="AC175" s="32"/>
      <c r="AD175" s="32"/>
      <c r="AE175" s="32"/>
      <c r="AF175" s="32"/>
      <c r="AG175" s="32"/>
      <c r="AH175" s="32"/>
      <c r="AI175" s="32"/>
      <c r="AJ175" s="32"/>
    </row>
    <row r="176">
      <c r="A176" s="32"/>
      <c r="B176" s="32"/>
      <c r="C176" s="32"/>
      <c r="D176" s="32"/>
      <c r="E176" s="32"/>
      <c r="F176" s="32"/>
      <c r="G176" s="32"/>
      <c r="H176" s="32"/>
      <c r="I176" s="32"/>
      <c r="J176" s="32"/>
      <c r="K176" s="32"/>
      <c r="L176" s="32"/>
      <c r="M176" s="32"/>
      <c r="N176" s="32"/>
      <c r="O176" s="32"/>
      <c r="P176" s="32"/>
      <c r="Q176" s="32"/>
      <c r="R176" s="32"/>
      <c r="S176" s="32"/>
      <c r="T176" s="32"/>
      <c r="U176" s="32"/>
      <c r="V176" s="32"/>
      <c r="W176" s="32"/>
      <c r="X176" s="32"/>
      <c r="Y176" s="32"/>
      <c r="Z176" s="32"/>
      <c r="AA176" s="32"/>
      <c r="AB176" s="32"/>
      <c r="AC176" s="32"/>
      <c r="AD176" s="32"/>
      <c r="AE176" s="32"/>
      <c r="AF176" s="32"/>
      <c r="AG176" s="32"/>
      <c r="AH176" s="32"/>
      <c r="AI176" s="32"/>
      <c r="AJ176" s="32"/>
    </row>
    <row r="177">
      <c r="A177" s="32"/>
      <c r="B177" s="32"/>
      <c r="C177" s="32"/>
      <c r="D177" s="32"/>
      <c r="E177" s="32"/>
      <c r="F177" s="32"/>
      <c r="G177" s="32"/>
      <c r="H177" s="32"/>
      <c r="I177" s="32"/>
      <c r="J177" s="32"/>
      <c r="K177" s="32"/>
      <c r="L177" s="32"/>
      <c r="M177" s="32"/>
      <c r="N177" s="32"/>
      <c r="O177" s="32"/>
      <c r="P177" s="32"/>
      <c r="Q177" s="32"/>
      <c r="R177" s="32"/>
      <c r="S177" s="32"/>
      <c r="T177" s="32"/>
      <c r="U177" s="32"/>
      <c r="V177" s="32"/>
      <c r="W177" s="32"/>
      <c r="X177" s="32"/>
      <c r="Y177" s="32"/>
      <c r="Z177" s="32"/>
      <c r="AA177" s="32"/>
      <c r="AB177" s="32"/>
      <c r="AC177" s="32"/>
      <c r="AD177" s="32"/>
      <c r="AE177" s="32"/>
      <c r="AF177" s="32"/>
      <c r="AG177" s="32"/>
      <c r="AH177" s="32"/>
      <c r="AI177" s="32"/>
      <c r="AJ177" s="32"/>
    </row>
    <row r="178">
      <c r="A178" s="32"/>
      <c r="B178" s="32"/>
      <c r="C178" s="32"/>
      <c r="D178" s="32"/>
      <c r="E178" s="32"/>
      <c r="F178" s="32"/>
      <c r="G178" s="32"/>
      <c r="H178" s="32"/>
      <c r="I178" s="32"/>
      <c r="J178" s="32"/>
      <c r="K178" s="32"/>
      <c r="L178" s="32"/>
      <c r="M178" s="32"/>
      <c r="N178" s="32"/>
      <c r="O178" s="32"/>
      <c r="P178" s="32"/>
      <c r="Q178" s="32"/>
      <c r="R178" s="32"/>
      <c r="S178" s="32"/>
      <c r="T178" s="32"/>
      <c r="U178" s="32"/>
      <c r="V178" s="32"/>
      <c r="W178" s="32"/>
      <c r="X178" s="32"/>
      <c r="Y178" s="32"/>
      <c r="Z178" s="32"/>
      <c r="AA178" s="32"/>
      <c r="AB178" s="32"/>
      <c r="AC178" s="32"/>
      <c r="AD178" s="32"/>
      <c r="AE178" s="32"/>
      <c r="AF178" s="32"/>
      <c r="AG178" s="32"/>
      <c r="AH178" s="32"/>
      <c r="AI178" s="32"/>
      <c r="AJ178" s="32"/>
    </row>
    <row r="179">
      <c r="A179" s="32"/>
      <c r="B179" s="32"/>
      <c r="C179" s="32"/>
      <c r="D179" s="32"/>
      <c r="E179" s="32"/>
      <c r="F179" s="32"/>
      <c r="G179" s="32"/>
      <c r="H179" s="32"/>
      <c r="I179" s="32"/>
      <c r="J179" s="32"/>
      <c r="K179" s="32"/>
      <c r="L179" s="32"/>
      <c r="M179" s="32"/>
      <c r="N179" s="32"/>
      <c r="O179" s="32"/>
      <c r="P179" s="32"/>
      <c r="Q179" s="32"/>
      <c r="R179" s="32"/>
      <c r="S179" s="32"/>
      <c r="T179" s="32"/>
      <c r="U179" s="32"/>
      <c r="V179" s="32"/>
      <c r="W179" s="32"/>
      <c r="X179" s="32"/>
      <c r="Y179" s="32"/>
      <c r="Z179" s="32"/>
      <c r="AA179" s="32"/>
      <c r="AB179" s="32"/>
      <c r="AC179" s="32"/>
      <c r="AD179" s="32"/>
      <c r="AE179" s="32"/>
      <c r="AF179" s="32"/>
      <c r="AG179" s="32"/>
      <c r="AH179" s="32"/>
      <c r="AI179" s="32"/>
      <c r="AJ179" s="32"/>
    </row>
    <row r="180">
      <c r="A180" s="32"/>
      <c r="B180" s="32"/>
      <c r="C180" s="32"/>
      <c r="D180" s="32"/>
      <c r="E180" s="32"/>
      <c r="F180" s="32"/>
      <c r="G180" s="32"/>
      <c r="H180" s="32"/>
      <c r="I180" s="32"/>
      <c r="J180" s="32"/>
      <c r="K180" s="32"/>
      <c r="L180" s="32"/>
      <c r="M180" s="32"/>
      <c r="N180" s="32"/>
      <c r="O180" s="32"/>
      <c r="P180" s="32"/>
      <c r="Q180" s="32"/>
      <c r="R180" s="32"/>
      <c r="S180" s="32"/>
      <c r="T180" s="32"/>
      <c r="U180" s="32"/>
      <c r="V180" s="32"/>
      <c r="W180" s="32"/>
      <c r="X180" s="32"/>
      <c r="Y180" s="32"/>
      <c r="Z180" s="32"/>
      <c r="AA180" s="32"/>
      <c r="AB180" s="32"/>
      <c r="AC180" s="32"/>
      <c r="AD180" s="32"/>
      <c r="AE180" s="32"/>
      <c r="AF180" s="32"/>
      <c r="AG180" s="32"/>
      <c r="AH180" s="32"/>
      <c r="AI180" s="32"/>
      <c r="AJ180" s="32"/>
    </row>
    <row r="181">
      <c r="A181" s="32"/>
      <c r="B181" s="32"/>
      <c r="C181" s="32"/>
      <c r="D181" s="32"/>
      <c r="E181" s="32"/>
      <c r="F181" s="32"/>
      <c r="G181" s="32"/>
      <c r="H181" s="32"/>
      <c r="I181" s="32"/>
      <c r="J181" s="32"/>
      <c r="K181" s="32"/>
      <c r="L181" s="32"/>
      <c r="M181" s="32"/>
      <c r="N181" s="32"/>
      <c r="O181" s="32"/>
      <c r="P181" s="32"/>
      <c r="Q181" s="32"/>
      <c r="R181" s="32"/>
      <c r="S181" s="32"/>
      <c r="T181" s="32"/>
      <c r="U181" s="32"/>
      <c r="V181" s="32"/>
      <c r="W181" s="32"/>
      <c r="X181" s="32"/>
      <c r="Y181" s="32"/>
      <c r="Z181" s="32"/>
      <c r="AA181" s="32"/>
      <c r="AB181" s="32"/>
      <c r="AC181" s="32"/>
      <c r="AD181" s="32"/>
      <c r="AE181" s="32"/>
      <c r="AF181" s="32"/>
      <c r="AG181" s="32"/>
      <c r="AH181" s="32"/>
      <c r="AI181" s="32"/>
      <c r="AJ181" s="32"/>
    </row>
    <row r="182">
      <c r="A182" s="32"/>
      <c r="B182" s="32"/>
      <c r="C182" s="32"/>
      <c r="D182" s="32"/>
      <c r="E182" s="32"/>
      <c r="F182" s="32"/>
      <c r="G182" s="32"/>
      <c r="H182" s="32"/>
      <c r="I182" s="32"/>
      <c r="J182" s="32"/>
      <c r="K182" s="32"/>
      <c r="L182" s="32"/>
      <c r="M182" s="32"/>
      <c r="N182" s="32"/>
      <c r="O182" s="32"/>
      <c r="P182" s="32"/>
      <c r="Q182" s="32"/>
      <c r="R182" s="32"/>
      <c r="S182" s="32"/>
      <c r="T182" s="32"/>
      <c r="U182" s="32"/>
      <c r="V182" s="32"/>
      <c r="W182" s="32"/>
      <c r="X182" s="32"/>
      <c r="Y182" s="32"/>
      <c r="Z182" s="32"/>
      <c r="AA182" s="32"/>
      <c r="AB182" s="32"/>
      <c r="AC182" s="32"/>
      <c r="AD182" s="32"/>
      <c r="AE182" s="32"/>
      <c r="AF182" s="32"/>
      <c r="AG182" s="32"/>
      <c r="AH182" s="32"/>
      <c r="AI182" s="32"/>
      <c r="AJ182" s="32"/>
    </row>
    <row r="183">
      <c r="A183" s="32"/>
      <c r="B183" s="32"/>
      <c r="C183" s="32"/>
      <c r="D183" s="32"/>
      <c r="E183" s="32"/>
      <c r="F183" s="32"/>
      <c r="G183" s="32"/>
      <c r="H183" s="32"/>
      <c r="I183" s="32"/>
      <c r="J183" s="32"/>
      <c r="K183" s="32"/>
      <c r="L183" s="32"/>
      <c r="M183" s="32"/>
      <c r="N183" s="32"/>
      <c r="O183" s="32"/>
      <c r="P183" s="32"/>
      <c r="Q183" s="32"/>
      <c r="R183" s="32"/>
      <c r="S183" s="32"/>
      <c r="T183" s="32"/>
      <c r="U183" s="32"/>
      <c r="V183" s="32"/>
      <c r="W183" s="32"/>
      <c r="X183" s="32"/>
      <c r="Y183" s="32"/>
      <c r="Z183" s="32"/>
      <c r="AA183" s="32"/>
      <c r="AB183" s="32"/>
      <c r="AC183" s="32"/>
      <c r="AD183" s="32"/>
      <c r="AE183" s="32"/>
      <c r="AF183" s="32"/>
      <c r="AG183" s="32"/>
      <c r="AH183" s="32"/>
      <c r="AI183" s="32"/>
      <c r="AJ183" s="32"/>
    </row>
    <row r="184">
      <c r="A184" s="32"/>
      <c r="B184" s="32"/>
      <c r="C184" s="32"/>
      <c r="D184" s="32"/>
      <c r="E184" s="32"/>
      <c r="F184" s="32"/>
      <c r="G184" s="32"/>
      <c r="H184" s="32"/>
      <c r="I184" s="32"/>
      <c r="J184" s="32"/>
      <c r="K184" s="32"/>
      <c r="L184" s="32"/>
      <c r="M184" s="32"/>
      <c r="N184" s="32"/>
      <c r="O184" s="32"/>
      <c r="P184" s="32"/>
      <c r="Q184" s="32"/>
      <c r="R184" s="32"/>
      <c r="S184" s="32"/>
      <c r="T184" s="32"/>
      <c r="U184" s="32"/>
      <c r="V184" s="32"/>
      <c r="W184" s="32"/>
      <c r="X184" s="32"/>
      <c r="Y184" s="32"/>
      <c r="Z184" s="32"/>
      <c r="AA184" s="32"/>
      <c r="AB184" s="32"/>
      <c r="AC184" s="32"/>
      <c r="AD184" s="32"/>
      <c r="AE184" s="32"/>
      <c r="AF184" s="32"/>
      <c r="AG184" s="32"/>
      <c r="AH184" s="32"/>
      <c r="AI184" s="32"/>
      <c r="AJ184" s="32"/>
    </row>
    <row r="185">
      <c r="A185" s="32"/>
      <c r="B185" s="32"/>
      <c r="C185" s="32"/>
      <c r="D185" s="32"/>
      <c r="E185" s="32"/>
      <c r="F185" s="32"/>
      <c r="G185" s="32"/>
      <c r="H185" s="32"/>
      <c r="I185" s="32"/>
      <c r="J185" s="32"/>
      <c r="K185" s="32"/>
      <c r="L185" s="32"/>
      <c r="M185" s="32"/>
      <c r="N185" s="32"/>
      <c r="O185" s="32"/>
      <c r="P185" s="32"/>
      <c r="Q185" s="32"/>
      <c r="R185" s="32"/>
      <c r="S185" s="32"/>
      <c r="T185" s="32"/>
      <c r="U185" s="32"/>
      <c r="V185" s="32"/>
      <c r="W185" s="32"/>
      <c r="X185" s="32"/>
      <c r="Y185" s="32"/>
      <c r="Z185" s="32"/>
      <c r="AA185" s="32"/>
      <c r="AB185" s="32"/>
      <c r="AC185" s="32"/>
      <c r="AD185" s="32"/>
      <c r="AE185" s="32"/>
      <c r="AF185" s="32"/>
      <c r="AG185" s="32"/>
      <c r="AH185" s="32"/>
      <c r="AI185" s="32"/>
      <c r="AJ185" s="32"/>
    </row>
    <row r="186">
      <c r="A186" s="32"/>
      <c r="B186" s="32"/>
      <c r="C186" s="32"/>
      <c r="D186" s="32"/>
      <c r="E186" s="32"/>
      <c r="F186" s="32"/>
      <c r="G186" s="32"/>
      <c r="H186" s="32"/>
      <c r="I186" s="32"/>
      <c r="J186" s="32"/>
      <c r="K186" s="32"/>
      <c r="L186" s="32"/>
      <c r="M186" s="32"/>
      <c r="N186" s="32"/>
      <c r="O186" s="32"/>
      <c r="P186" s="32"/>
      <c r="Q186" s="32"/>
      <c r="R186" s="32"/>
      <c r="S186" s="32"/>
      <c r="T186" s="32"/>
      <c r="U186" s="32"/>
      <c r="V186" s="32"/>
      <c r="W186" s="32"/>
      <c r="X186" s="32"/>
      <c r="Y186" s="32"/>
      <c r="Z186" s="32"/>
      <c r="AA186" s="32"/>
      <c r="AB186" s="32"/>
      <c r="AC186" s="32"/>
      <c r="AD186" s="32"/>
      <c r="AE186" s="32"/>
      <c r="AF186" s="32"/>
      <c r="AG186" s="32"/>
      <c r="AH186" s="32"/>
      <c r="AI186" s="32"/>
      <c r="AJ186" s="32"/>
    </row>
    <row r="187">
      <c r="A187" s="32"/>
      <c r="B187" s="32"/>
      <c r="C187" s="32"/>
      <c r="D187" s="32"/>
      <c r="E187" s="32"/>
      <c r="F187" s="32"/>
      <c r="G187" s="32"/>
      <c r="H187" s="32"/>
      <c r="I187" s="32"/>
      <c r="J187" s="32"/>
      <c r="K187" s="32"/>
      <c r="L187" s="32"/>
      <c r="M187" s="32"/>
      <c r="N187" s="32"/>
      <c r="O187" s="32"/>
      <c r="P187" s="32"/>
      <c r="Q187" s="32"/>
      <c r="R187" s="32"/>
      <c r="S187" s="32"/>
      <c r="T187" s="32"/>
      <c r="U187" s="32"/>
      <c r="V187" s="32"/>
      <c r="W187" s="32"/>
      <c r="X187" s="32"/>
      <c r="Y187" s="32"/>
      <c r="Z187" s="32"/>
      <c r="AA187" s="32"/>
      <c r="AB187" s="32"/>
      <c r="AC187" s="32"/>
      <c r="AD187" s="32"/>
      <c r="AE187" s="32"/>
      <c r="AF187" s="32"/>
      <c r="AG187" s="32"/>
      <c r="AH187" s="32"/>
      <c r="AI187" s="32"/>
      <c r="AJ187" s="32"/>
    </row>
    <row r="188">
      <c r="A188" s="32"/>
      <c r="B188" s="32"/>
      <c r="C188" s="32"/>
      <c r="D188" s="32"/>
      <c r="E188" s="32"/>
      <c r="F188" s="32"/>
      <c r="G188" s="32"/>
      <c r="H188" s="32"/>
      <c r="I188" s="32"/>
      <c r="J188" s="32"/>
      <c r="K188" s="32"/>
      <c r="L188" s="32"/>
      <c r="M188" s="32"/>
      <c r="N188" s="32"/>
      <c r="O188" s="32"/>
      <c r="P188" s="32"/>
      <c r="Q188" s="32"/>
      <c r="R188" s="32"/>
      <c r="S188" s="32"/>
      <c r="T188" s="32"/>
      <c r="U188" s="32"/>
      <c r="V188" s="32"/>
      <c r="W188" s="32"/>
      <c r="X188" s="32"/>
      <c r="Y188" s="32"/>
      <c r="Z188" s="32"/>
      <c r="AA188" s="32"/>
      <c r="AB188" s="32"/>
      <c r="AC188" s="32"/>
      <c r="AD188" s="32"/>
      <c r="AE188" s="32"/>
      <c r="AF188" s="32"/>
      <c r="AG188" s="32"/>
      <c r="AH188" s="32"/>
      <c r="AI188" s="32"/>
      <c r="AJ188" s="32"/>
    </row>
    <row r="189">
      <c r="A189" s="32"/>
      <c r="B189" s="32"/>
      <c r="C189" s="32"/>
      <c r="D189" s="32"/>
      <c r="E189" s="32"/>
      <c r="F189" s="32"/>
      <c r="G189" s="32"/>
      <c r="H189" s="32"/>
      <c r="I189" s="32"/>
      <c r="J189" s="32"/>
      <c r="K189" s="32"/>
      <c r="L189" s="32"/>
      <c r="M189" s="32"/>
      <c r="N189" s="32"/>
      <c r="O189" s="32"/>
      <c r="P189" s="32"/>
      <c r="Q189" s="32"/>
      <c r="R189" s="32"/>
      <c r="S189" s="32"/>
      <c r="T189" s="32"/>
      <c r="U189" s="32"/>
      <c r="V189" s="32"/>
      <c r="W189" s="32"/>
      <c r="X189" s="32"/>
      <c r="Y189" s="32"/>
      <c r="Z189" s="32"/>
      <c r="AA189" s="32"/>
      <c r="AB189" s="32"/>
      <c r="AC189" s="32"/>
      <c r="AD189" s="32"/>
      <c r="AE189" s="32"/>
      <c r="AF189" s="32"/>
      <c r="AG189" s="32"/>
      <c r="AH189" s="32"/>
      <c r="AI189" s="32"/>
      <c r="AJ189" s="32"/>
    </row>
    <row r="190">
      <c r="A190" s="32"/>
      <c r="B190" s="32"/>
      <c r="C190" s="32"/>
      <c r="D190" s="32"/>
      <c r="E190" s="32"/>
      <c r="F190" s="32"/>
      <c r="G190" s="32"/>
      <c r="H190" s="32"/>
      <c r="I190" s="32"/>
      <c r="J190" s="32"/>
      <c r="K190" s="32"/>
      <c r="L190" s="32"/>
      <c r="M190" s="32"/>
      <c r="N190" s="32"/>
      <c r="O190" s="32"/>
      <c r="P190" s="32"/>
      <c r="Q190" s="32"/>
      <c r="R190" s="32"/>
      <c r="S190" s="32"/>
      <c r="T190" s="32"/>
      <c r="U190" s="32"/>
      <c r="V190" s="32"/>
      <c r="W190" s="32"/>
      <c r="X190" s="32"/>
      <c r="Y190" s="32"/>
      <c r="Z190" s="32"/>
      <c r="AA190" s="32"/>
      <c r="AB190" s="32"/>
      <c r="AC190" s="32"/>
      <c r="AD190" s="32"/>
      <c r="AE190" s="32"/>
      <c r="AF190" s="32"/>
      <c r="AG190" s="32"/>
      <c r="AH190" s="32"/>
      <c r="AI190" s="32"/>
      <c r="AJ190" s="32"/>
    </row>
    <row r="191">
      <c r="A191" s="32"/>
      <c r="B191" s="32"/>
      <c r="C191" s="32"/>
      <c r="D191" s="32"/>
      <c r="E191" s="32"/>
      <c r="F191" s="32"/>
      <c r="G191" s="32"/>
      <c r="H191" s="32"/>
      <c r="I191" s="32"/>
      <c r="J191" s="32"/>
      <c r="K191" s="32"/>
      <c r="L191" s="32"/>
      <c r="M191" s="32"/>
      <c r="N191" s="32"/>
      <c r="O191" s="32"/>
      <c r="P191" s="32"/>
      <c r="Q191" s="32"/>
      <c r="R191" s="32"/>
      <c r="S191" s="32"/>
      <c r="T191" s="32"/>
      <c r="U191" s="32"/>
      <c r="V191" s="32"/>
      <c r="W191" s="32"/>
      <c r="X191" s="32"/>
      <c r="Y191" s="32"/>
      <c r="Z191" s="32"/>
      <c r="AA191" s="32"/>
      <c r="AB191" s="32"/>
      <c r="AC191" s="32"/>
      <c r="AD191" s="32"/>
      <c r="AE191" s="32"/>
      <c r="AF191" s="32"/>
      <c r="AG191" s="32"/>
      <c r="AH191" s="32"/>
      <c r="AI191" s="32"/>
      <c r="AJ191" s="32"/>
    </row>
    <row r="192">
      <c r="A192" s="32"/>
      <c r="B192" s="32"/>
      <c r="C192" s="32"/>
      <c r="D192" s="32"/>
      <c r="E192" s="32"/>
      <c r="F192" s="32"/>
      <c r="G192" s="32"/>
      <c r="H192" s="32"/>
      <c r="I192" s="32"/>
      <c r="J192" s="32"/>
      <c r="K192" s="32"/>
      <c r="L192" s="32"/>
      <c r="M192" s="32"/>
      <c r="N192" s="32"/>
      <c r="O192" s="32"/>
      <c r="P192" s="32"/>
      <c r="Q192" s="32"/>
      <c r="R192" s="32"/>
      <c r="S192" s="32"/>
      <c r="T192" s="32"/>
      <c r="U192" s="32"/>
      <c r="V192" s="32"/>
      <c r="W192" s="32"/>
      <c r="X192" s="32"/>
      <c r="Y192" s="32"/>
      <c r="Z192" s="32"/>
      <c r="AA192" s="32"/>
      <c r="AB192" s="32"/>
      <c r="AC192" s="32"/>
      <c r="AD192" s="32"/>
      <c r="AE192" s="32"/>
      <c r="AF192" s="32"/>
      <c r="AG192" s="32"/>
      <c r="AH192" s="32"/>
      <c r="AI192" s="32"/>
      <c r="AJ192" s="32"/>
    </row>
    <row r="193">
      <c r="A193" s="32"/>
      <c r="B193" s="32"/>
      <c r="C193" s="32"/>
      <c r="D193" s="32"/>
      <c r="E193" s="32"/>
      <c r="F193" s="32"/>
      <c r="G193" s="32"/>
      <c r="H193" s="32"/>
      <c r="I193" s="32"/>
      <c r="J193" s="32"/>
      <c r="K193" s="32"/>
      <c r="L193" s="32"/>
      <c r="M193" s="32"/>
      <c r="N193" s="32"/>
      <c r="O193" s="32"/>
      <c r="P193" s="32"/>
      <c r="Q193" s="32"/>
      <c r="R193" s="32"/>
      <c r="S193" s="32"/>
      <c r="T193" s="32"/>
      <c r="U193" s="32"/>
      <c r="V193" s="32"/>
      <c r="W193" s="32"/>
      <c r="X193" s="32"/>
      <c r="Y193" s="32"/>
      <c r="Z193" s="32"/>
      <c r="AA193" s="32"/>
      <c r="AB193" s="32"/>
      <c r="AC193" s="32"/>
      <c r="AD193" s="32"/>
      <c r="AE193" s="32"/>
      <c r="AF193" s="32"/>
      <c r="AG193" s="32"/>
      <c r="AH193" s="32"/>
      <c r="AI193" s="32"/>
      <c r="AJ193" s="32"/>
    </row>
    <row r="194">
      <c r="A194" s="32"/>
      <c r="B194" s="32"/>
      <c r="C194" s="32"/>
      <c r="D194" s="32"/>
      <c r="E194" s="32"/>
      <c r="F194" s="32"/>
      <c r="G194" s="32"/>
      <c r="H194" s="32"/>
      <c r="I194" s="32"/>
      <c r="J194" s="32"/>
      <c r="K194" s="32"/>
      <c r="L194" s="32"/>
      <c r="M194" s="32"/>
      <c r="N194" s="32"/>
      <c r="O194" s="32"/>
      <c r="P194" s="32"/>
      <c r="Q194" s="32"/>
      <c r="R194" s="32"/>
      <c r="S194" s="32"/>
      <c r="T194" s="32"/>
      <c r="U194" s="32"/>
      <c r="V194" s="32"/>
      <c r="W194" s="32"/>
      <c r="X194" s="32"/>
      <c r="Y194" s="32"/>
      <c r="Z194" s="32"/>
      <c r="AA194" s="32"/>
      <c r="AB194" s="32"/>
      <c r="AC194" s="32"/>
      <c r="AD194" s="32"/>
      <c r="AE194" s="32"/>
      <c r="AF194" s="32"/>
      <c r="AG194" s="32"/>
      <c r="AH194" s="32"/>
      <c r="AI194" s="32"/>
      <c r="AJ194" s="32"/>
    </row>
    <row r="195">
      <c r="A195" s="32"/>
      <c r="B195" s="32"/>
      <c r="C195" s="32"/>
      <c r="D195" s="32"/>
      <c r="E195" s="32"/>
      <c r="F195" s="32"/>
      <c r="G195" s="32"/>
      <c r="H195" s="32"/>
      <c r="I195" s="32"/>
      <c r="J195" s="32"/>
      <c r="K195" s="32"/>
      <c r="L195" s="32"/>
      <c r="M195" s="32"/>
      <c r="N195" s="32"/>
      <c r="O195" s="32"/>
      <c r="P195" s="32"/>
      <c r="Q195" s="32"/>
      <c r="R195" s="32"/>
      <c r="S195" s="32"/>
      <c r="T195" s="32"/>
      <c r="U195" s="32"/>
      <c r="V195" s="32"/>
      <c r="W195" s="32"/>
      <c r="X195" s="32"/>
      <c r="Y195" s="32"/>
      <c r="Z195" s="32"/>
      <c r="AA195" s="32"/>
      <c r="AB195" s="32"/>
      <c r="AC195" s="32"/>
      <c r="AD195" s="32"/>
      <c r="AE195" s="32"/>
      <c r="AF195" s="32"/>
      <c r="AG195" s="32"/>
      <c r="AH195" s="32"/>
      <c r="AI195" s="32"/>
      <c r="AJ195" s="32"/>
    </row>
    <row r="196">
      <c r="A196" s="32"/>
      <c r="B196" s="32"/>
      <c r="C196" s="32"/>
      <c r="D196" s="32"/>
      <c r="E196" s="32"/>
      <c r="F196" s="32"/>
      <c r="G196" s="32"/>
      <c r="H196" s="32"/>
      <c r="I196" s="32"/>
      <c r="J196" s="32"/>
      <c r="K196" s="32"/>
      <c r="L196" s="32"/>
      <c r="M196" s="32"/>
      <c r="N196" s="32"/>
      <c r="O196" s="32"/>
      <c r="P196" s="32"/>
      <c r="Q196" s="32"/>
      <c r="R196" s="32"/>
      <c r="S196" s="32"/>
      <c r="T196" s="32"/>
      <c r="U196" s="32"/>
      <c r="V196" s="32"/>
      <c r="W196" s="32"/>
      <c r="X196" s="32"/>
      <c r="Y196" s="32"/>
      <c r="Z196" s="32"/>
      <c r="AA196" s="32"/>
      <c r="AB196" s="32"/>
      <c r="AC196" s="32"/>
      <c r="AD196" s="32"/>
      <c r="AE196" s="32"/>
      <c r="AF196" s="32"/>
      <c r="AG196" s="32"/>
      <c r="AH196" s="32"/>
      <c r="AI196" s="32"/>
      <c r="AJ196" s="32"/>
    </row>
    <row r="197">
      <c r="A197" s="32"/>
      <c r="B197" s="32"/>
      <c r="C197" s="32"/>
      <c r="D197" s="32"/>
      <c r="E197" s="32"/>
      <c r="F197" s="32"/>
      <c r="G197" s="32"/>
      <c r="H197" s="32"/>
      <c r="I197" s="32"/>
      <c r="J197" s="32"/>
      <c r="K197" s="32"/>
      <c r="L197" s="32"/>
      <c r="M197" s="32"/>
      <c r="N197" s="32"/>
      <c r="O197" s="32"/>
      <c r="P197" s="32"/>
      <c r="Q197" s="32"/>
      <c r="R197" s="32"/>
      <c r="S197" s="32"/>
      <c r="T197" s="32"/>
      <c r="U197" s="32"/>
      <c r="V197" s="32"/>
      <c r="W197" s="32"/>
      <c r="X197" s="32"/>
      <c r="Y197" s="32"/>
      <c r="Z197" s="32"/>
      <c r="AA197" s="32"/>
      <c r="AB197" s="32"/>
      <c r="AC197" s="32"/>
      <c r="AD197" s="32"/>
      <c r="AE197" s="32"/>
      <c r="AF197" s="32"/>
      <c r="AG197" s="32"/>
      <c r="AH197" s="32"/>
      <c r="AI197" s="32"/>
      <c r="AJ197" s="32"/>
    </row>
    <row r="198">
      <c r="A198" s="32"/>
      <c r="B198" s="32"/>
      <c r="C198" s="32"/>
      <c r="D198" s="32"/>
      <c r="E198" s="32"/>
      <c r="F198" s="32"/>
      <c r="G198" s="32"/>
      <c r="H198" s="32"/>
      <c r="I198" s="32"/>
      <c r="J198" s="32"/>
      <c r="K198" s="32"/>
      <c r="L198" s="32"/>
      <c r="M198" s="32"/>
      <c r="N198" s="32"/>
      <c r="O198" s="32"/>
      <c r="P198" s="32"/>
      <c r="Q198" s="32"/>
      <c r="R198" s="32"/>
      <c r="S198" s="32"/>
      <c r="T198" s="32"/>
      <c r="U198" s="32"/>
      <c r="V198" s="32"/>
      <c r="W198" s="32"/>
      <c r="X198" s="32"/>
      <c r="Y198" s="32"/>
      <c r="Z198" s="32"/>
      <c r="AA198" s="32"/>
      <c r="AB198" s="32"/>
      <c r="AC198" s="32"/>
      <c r="AD198" s="32"/>
      <c r="AE198" s="32"/>
      <c r="AF198" s="32"/>
      <c r="AG198" s="32"/>
      <c r="AH198" s="32"/>
      <c r="AI198" s="32"/>
      <c r="AJ198" s="32"/>
    </row>
    <row r="199">
      <c r="A199" s="32"/>
      <c r="B199" s="32"/>
      <c r="C199" s="32"/>
      <c r="D199" s="32"/>
      <c r="E199" s="32"/>
      <c r="F199" s="32"/>
      <c r="G199" s="32"/>
      <c r="H199" s="32"/>
      <c r="I199" s="32"/>
      <c r="J199" s="32"/>
      <c r="K199" s="32"/>
      <c r="L199" s="32"/>
      <c r="M199" s="32"/>
      <c r="N199" s="32"/>
      <c r="O199" s="32"/>
      <c r="P199" s="32"/>
      <c r="Q199" s="32"/>
      <c r="R199" s="32"/>
      <c r="S199" s="32"/>
      <c r="T199" s="32"/>
      <c r="U199" s="32"/>
      <c r="V199" s="32"/>
      <c r="W199" s="32"/>
      <c r="X199" s="32"/>
      <c r="Y199" s="32"/>
      <c r="Z199" s="32"/>
      <c r="AA199" s="32"/>
      <c r="AB199" s="32"/>
      <c r="AC199" s="32"/>
      <c r="AD199" s="32"/>
      <c r="AE199" s="32"/>
      <c r="AF199" s="32"/>
      <c r="AG199" s="32"/>
      <c r="AH199" s="32"/>
      <c r="AI199" s="32"/>
      <c r="AJ199" s="32"/>
    </row>
    <row r="200">
      <c r="A200" s="32"/>
      <c r="B200" s="32"/>
      <c r="C200" s="32"/>
      <c r="D200" s="32"/>
      <c r="E200" s="32"/>
      <c r="F200" s="32"/>
      <c r="G200" s="32"/>
      <c r="H200" s="32"/>
      <c r="I200" s="32"/>
      <c r="J200" s="32"/>
      <c r="K200" s="32"/>
      <c r="L200" s="32"/>
      <c r="M200" s="32"/>
      <c r="N200" s="32"/>
      <c r="O200" s="32"/>
      <c r="P200" s="32"/>
      <c r="Q200" s="32"/>
      <c r="R200" s="32"/>
      <c r="S200" s="32"/>
      <c r="T200" s="32"/>
      <c r="U200" s="32"/>
      <c r="V200" s="32"/>
      <c r="W200" s="32"/>
      <c r="X200" s="32"/>
      <c r="Y200" s="32"/>
      <c r="Z200" s="32"/>
      <c r="AA200" s="32"/>
      <c r="AB200" s="32"/>
      <c r="AC200" s="32"/>
      <c r="AD200" s="32"/>
      <c r="AE200" s="32"/>
      <c r="AF200" s="32"/>
      <c r="AG200" s="32"/>
      <c r="AH200" s="32"/>
      <c r="AI200" s="32"/>
      <c r="AJ200" s="32"/>
    </row>
    <row r="201">
      <c r="A201" s="32"/>
      <c r="B201" s="32"/>
      <c r="C201" s="32"/>
      <c r="D201" s="32"/>
      <c r="E201" s="32"/>
      <c r="F201" s="32"/>
      <c r="G201" s="32"/>
      <c r="H201" s="32"/>
      <c r="I201" s="32"/>
      <c r="J201" s="32"/>
      <c r="K201" s="32"/>
      <c r="L201" s="32"/>
      <c r="M201" s="32"/>
      <c r="N201" s="32"/>
      <c r="O201" s="32"/>
      <c r="P201" s="32"/>
      <c r="Q201" s="32"/>
      <c r="R201" s="32"/>
      <c r="S201" s="32"/>
      <c r="T201" s="32"/>
      <c r="U201" s="32"/>
      <c r="V201" s="32"/>
      <c r="W201" s="32"/>
      <c r="X201" s="32"/>
      <c r="Y201" s="32"/>
      <c r="Z201" s="32"/>
      <c r="AA201" s="32"/>
      <c r="AB201" s="32"/>
      <c r="AC201" s="32"/>
      <c r="AD201" s="32"/>
      <c r="AE201" s="32"/>
      <c r="AF201" s="32"/>
      <c r="AG201" s="32"/>
      <c r="AH201" s="32"/>
      <c r="AI201" s="32"/>
      <c r="AJ201" s="32"/>
    </row>
    <row r="202">
      <c r="A202" s="32"/>
      <c r="B202" s="32"/>
      <c r="C202" s="32"/>
      <c r="D202" s="32"/>
      <c r="E202" s="32"/>
      <c r="F202" s="32"/>
      <c r="G202" s="32"/>
      <c r="H202" s="32"/>
      <c r="I202" s="32"/>
      <c r="J202" s="32"/>
      <c r="K202" s="32"/>
      <c r="L202" s="32"/>
      <c r="M202" s="32"/>
      <c r="N202" s="32"/>
      <c r="O202" s="32"/>
      <c r="P202" s="32"/>
      <c r="Q202" s="32"/>
      <c r="R202" s="32"/>
      <c r="S202" s="32"/>
      <c r="T202" s="32"/>
      <c r="U202" s="32"/>
      <c r="V202" s="32"/>
      <c r="W202" s="32"/>
      <c r="X202" s="32"/>
      <c r="Y202" s="32"/>
      <c r="Z202" s="32"/>
      <c r="AA202" s="32"/>
      <c r="AB202" s="32"/>
      <c r="AC202" s="32"/>
      <c r="AD202" s="32"/>
      <c r="AE202" s="32"/>
      <c r="AF202" s="32"/>
      <c r="AG202" s="32"/>
      <c r="AH202" s="32"/>
      <c r="AI202" s="32"/>
      <c r="AJ202" s="32"/>
    </row>
    <row r="203">
      <c r="A203" s="32"/>
      <c r="B203" s="32"/>
      <c r="C203" s="32"/>
      <c r="D203" s="32"/>
      <c r="E203" s="32"/>
      <c r="F203" s="32"/>
      <c r="G203" s="32"/>
      <c r="H203" s="32"/>
      <c r="I203" s="32"/>
      <c r="J203" s="32"/>
      <c r="K203" s="32"/>
      <c r="L203" s="32"/>
      <c r="M203" s="32"/>
      <c r="N203" s="32"/>
      <c r="O203" s="32"/>
      <c r="P203" s="32"/>
      <c r="Q203" s="32"/>
      <c r="R203" s="32"/>
      <c r="S203" s="32"/>
      <c r="T203" s="32"/>
      <c r="U203" s="32"/>
      <c r="V203" s="32"/>
      <c r="W203" s="32"/>
      <c r="X203" s="32"/>
      <c r="Y203" s="32"/>
      <c r="Z203" s="32"/>
      <c r="AA203" s="32"/>
      <c r="AB203" s="32"/>
      <c r="AC203" s="32"/>
      <c r="AD203" s="32"/>
      <c r="AE203" s="32"/>
      <c r="AF203" s="32"/>
      <c r="AG203" s="32"/>
      <c r="AH203" s="32"/>
      <c r="AI203" s="32"/>
      <c r="AJ203" s="32"/>
    </row>
    <row r="204">
      <c r="A204" s="32"/>
      <c r="B204" s="32"/>
      <c r="C204" s="32"/>
      <c r="D204" s="32"/>
      <c r="E204" s="32"/>
      <c r="F204" s="32"/>
      <c r="G204" s="32"/>
      <c r="H204" s="32"/>
      <c r="I204" s="32"/>
      <c r="J204" s="32"/>
      <c r="K204" s="32"/>
      <c r="L204" s="32"/>
      <c r="M204" s="32"/>
      <c r="N204" s="32"/>
      <c r="O204" s="32"/>
      <c r="P204" s="32"/>
      <c r="Q204" s="32"/>
      <c r="R204" s="32"/>
      <c r="S204" s="32"/>
      <c r="T204" s="32"/>
      <c r="U204" s="32"/>
      <c r="V204" s="32"/>
      <c r="W204" s="32"/>
      <c r="X204" s="32"/>
      <c r="Y204" s="32"/>
      <c r="Z204" s="32"/>
      <c r="AA204" s="32"/>
      <c r="AB204" s="32"/>
      <c r="AC204" s="32"/>
      <c r="AD204" s="32"/>
      <c r="AE204" s="32"/>
      <c r="AF204" s="32"/>
      <c r="AG204" s="32"/>
      <c r="AH204" s="32"/>
      <c r="AI204" s="32"/>
      <c r="AJ204" s="32"/>
    </row>
    <row r="205">
      <c r="A205" s="32"/>
      <c r="B205" s="32"/>
      <c r="C205" s="32"/>
      <c r="D205" s="32"/>
      <c r="E205" s="32"/>
      <c r="F205" s="32"/>
      <c r="G205" s="32"/>
      <c r="H205" s="32"/>
      <c r="I205" s="32"/>
      <c r="J205" s="32"/>
      <c r="K205" s="32"/>
      <c r="L205" s="32"/>
      <c r="M205" s="32"/>
      <c r="N205" s="32"/>
      <c r="O205" s="32"/>
      <c r="P205" s="32"/>
      <c r="Q205" s="32"/>
      <c r="R205" s="32"/>
      <c r="S205" s="32"/>
      <c r="T205" s="32"/>
      <c r="U205" s="32"/>
      <c r="V205" s="32"/>
      <c r="W205" s="32"/>
      <c r="X205" s="32"/>
      <c r="Y205" s="32"/>
      <c r="Z205" s="32"/>
      <c r="AA205" s="32"/>
      <c r="AB205" s="32"/>
      <c r="AC205" s="32"/>
      <c r="AD205" s="32"/>
      <c r="AE205" s="32"/>
      <c r="AF205" s="32"/>
      <c r="AG205" s="32"/>
      <c r="AH205" s="32"/>
      <c r="AI205" s="32"/>
      <c r="AJ205" s="32"/>
    </row>
    <row r="206">
      <c r="A206" s="32"/>
      <c r="B206" s="32"/>
      <c r="C206" s="32"/>
      <c r="D206" s="32"/>
      <c r="E206" s="32"/>
      <c r="F206" s="32"/>
      <c r="G206" s="32"/>
      <c r="H206" s="32"/>
      <c r="I206" s="32"/>
      <c r="J206" s="32"/>
      <c r="K206" s="32"/>
      <c r="L206" s="32"/>
      <c r="M206" s="32"/>
      <c r="N206" s="32"/>
      <c r="O206" s="32"/>
      <c r="P206" s="32"/>
      <c r="Q206" s="32"/>
      <c r="R206" s="32"/>
      <c r="S206" s="32"/>
      <c r="T206" s="32"/>
      <c r="U206" s="32"/>
      <c r="V206" s="32"/>
      <c r="W206" s="32"/>
      <c r="X206" s="32"/>
      <c r="Y206" s="32"/>
      <c r="Z206" s="32"/>
      <c r="AA206" s="32"/>
      <c r="AB206" s="32"/>
      <c r="AC206" s="32"/>
      <c r="AD206" s="32"/>
      <c r="AE206" s="32"/>
      <c r="AF206" s="32"/>
      <c r="AG206" s="32"/>
      <c r="AH206" s="32"/>
      <c r="AI206" s="32"/>
      <c r="AJ206" s="32"/>
    </row>
    <row r="207">
      <c r="A207" s="32"/>
      <c r="B207" s="32"/>
      <c r="C207" s="32"/>
      <c r="D207" s="32"/>
      <c r="E207" s="32"/>
      <c r="F207" s="32"/>
      <c r="G207" s="32"/>
      <c r="H207" s="32"/>
      <c r="I207" s="32"/>
      <c r="J207" s="32"/>
      <c r="K207" s="32"/>
      <c r="L207" s="32"/>
      <c r="M207" s="32"/>
      <c r="N207" s="32"/>
      <c r="O207" s="32"/>
      <c r="P207" s="32"/>
      <c r="Q207" s="32"/>
      <c r="R207" s="32"/>
      <c r="S207" s="32"/>
      <c r="T207" s="32"/>
      <c r="U207" s="32"/>
      <c r="V207" s="32"/>
      <c r="W207" s="32"/>
      <c r="X207" s="32"/>
      <c r="Y207" s="32"/>
      <c r="Z207" s="32"/>
      <c r="AA207" s="32"/>
      <c r="AB207" s="32"/>
      <c r="AC207" s="32"/>
      <c r="AD207" s="32"/>
      <c r="AE207" s="32"/>
      <c r="AF207" s="32"/>
      <c r="AG207" s="32"/>
      <c r="AH207" s="32"/>
      <c r="AI207" s="32"/>
      <c r="AJ207" s="32"/>
    </row>
    <row r="208">
      <c r="A208" s="32"/>
      <c r="B208" s="32"/>
      <c r="C208" s="32"/>
      <c r="D208" s="32"/>
      <c r="E208" s="32"/>
      <c r="F208" s="32"/>
      <c r="G208" s="32"/>
      <c r="H208" s="32"/>
      <c r="I208" s="32"/>
      <c r="J208" s="32"/>
      <c r="K208" s="32"/>
      <c r="L208" s="32"/>
      <c r="M208" s="32"/>
      <c r="N208" s="32"/>
      <c r="O208" s="32"/>
      <c r="P208" s="32"/>
      <c r="Q208" s="32"/>
      <c r="R208" s="32"/>
      <c r="S208" s="32"/>
      <c r="T208" s="32"/>
      <c r="U208" s="32"/>
      <c r="V208" s="32"/>
      <c r="W208" s="32"/>
      <c r="X208" s="32"/>
      <c r="Y208" s="32"/>
      <c r="Z208" s="32"/>
      <c r="AA208" s="32"/>
      <c r="AB208" s="32"/>
      <c r="AC208" s="32"/>
      <c r="AD208" s="32"/>
      <c r="AE208" s="32"/>
      <c r="AF208" s="32"/>
      <c r="AG208" s="32"/>
      <c r="AH208" s="32"/>
      <c r="AI208" s="32"/>
      <c r="AJ208" s="32"/>
    </row>
    <row r="209">
      <c r="A209" s="32"/>
      <c r="B209" s="32"/>
      <c r="C209" s="32"/>
      <c r="D209" s="32"/>
      <c r="E209" s="32"/>
      <c r="F209" s="32"/>
      <c r="G209" s="32"/>
      <c r="H209" s="32"/>
      <c r="I209" s="32"/>
      <c r="J209" s="32"/>
      <c r="K209" s="32"/>
      <c r="L209" s="32"/>
      <c r="M209" s="32"/>
      <c r="N209" s="32"/>
      <c r="O209" s="32"/>
      <c r="P209" s="32"/>
      <c r="Q209" s="32"/>
      <c r="R209" s="32"/>
      <c r="S209" s="32"/>
      <c r="T209" s="32"/>
      <c r="U209" s="32"/>
      <c r="V209" s="32"/>
      <c r="W209" s="32"/>
      <c r="X209" s="32"/>
      <c r="Y209" s="32"/>
      <c r="Z209" s="32"/>
      <c r="AA209" s="32"/>
      <c r="AB209" s="32"/>
      <c r="AC209" s="32"/>
      <c r="AD209" s="32"/>
      <c r="AE209" s="32"/>
      <c r="AF209" s="32"/>
      <c r="AG209" s="32"/>
      <c r="AH209" s="32"/>
      <c r="AI209" s="32"/>
      <c r="AJ209" s="32"/>
    </row>
    <row r="210">
      <c r="A210" s="32"/>
      <c r="B210" s="32"/>
      <c r="C210" s="32"/>
      <c r="D210" s="32"/>
      <c r="E210" s="32"/>
      <c r="F210" s="32"/>
      <c r="G210" s="32"/>
      <c r="H210" s="32"/>
      <c r="I210" s="32"/>
      <c r="J210" s="32"/>
      <c r="K210" s="32"/>
      <c r="L210" s="32"/>
      <c r="M210" s="32"/>
      <c r="N210" s="32"/>
      <c r="O210" s="32"/>
      <c r="P210" s="32"/>
      <c r="Q210" s="32"/>
      <c r="R210" s="32"/>
      <c r="S210" s="32"/>
      <c r="T210" s="32"/>
      <c r="U210" s="32"/>
      <c r="V210" s="32"/>
      <c r="W210" s="32"/>
      <c r="X210" s="32"/>
      <c r="Y210" s="32"/>
      <c r="Z210" s="32"/>
      <c r="AA210" s="32"/>
      <c r="AB210" s="32"/>
      <c r="AC210" s="32"/>
      <c r="AD210" s="32"/>
      <c r="AE210" s="32"/>
      <c r="AF210" s="32"/>
      <c r="AG210" s="32"/>
      <c r="AH210" s="32"/>
      <c r="AI210" s="32"/>
      <c r="AJ210" s="32"/>
    </row>
    <row r="211">
      <c r="A211" s="32"/>
      <c r="B211" s="32"/>
      <c r="C211" s="32"/>
      <c r="D211" s="32"/>
      <c r="E211" s="32"/>
      <c r="F211" s="32"/>
      <c r="G211" s="32"/>
      <c r="H211" s="32"/>
      <c r="I211" s="32"/>
      <c r="J211" s="32"/>
      <c r="K211" s="32"/>
      <c r="L211" s="32"/>
      <c r="M211" s="32"/>
      <c r="N211" s="32"/>
      <c r="O211" s="32"/>
      <c r="P211" s="32"/>
      <c r="Q211" s="32"/>
      <c r="R211" s="32"/>
      <c r="S211" s="32"/>
      <c r="T211" s="32"/>
      <c r="U211" s="32"/>
      <c r="V211" s="32"/>
      <c r="W211" s="32"/>
      <c r="X211" s="32"/>
      <c r="Y211" s="32"/>
      <c r="Z211" s="32"/>
      <c r="AA211" s="32"/>
      <c r="AB211" s="32"/>
      <c r="AC211" s="32"/>
      <c r="AD211" s="32"/>
      <c r="AE211" s="32"/>
      <c r="AF211" s="32"/>
      <c r="AG211" s="32"/>
      <c r="AH211" s="32"/>
      <c r="AI211" s="32"/>
      <c r="AJ211" s="32"/>
    </row>
    <row r="212">
      <c r="A212" s="32"/>
      <c r="B212" s="32"/>
      <c r="C212" s="32"/>
      <c r="D212" s="32"/>
      <c r="E212" s="32"/>
      <c r="F212" s="32"/>
      <c r="G212" s="32"/>
      <c r="H212" s="32"/>
      <c r="I212" s="32"/>
      <c r="J212" s="32"/>
      <c r="K212" s="32"/>
      <c r="L212" s="32"/>
      <c r="M212" s="32"/>
      <c r="N212" s="32"/>
      <c r="O212" s="32"/>
      <c r="P212" s="32"/>
      <c r="Q212" s="32"/>
      <c r="R212" s="32"/>
      <c r="S212" s="32"/>
      <c r="T212" s="32"/>
      <c r="U212" s="32"/>
      <c r="V212" s="32"/>
      <c r="W212" s="32"/>
      <c r="X212" s="32"/>
      <c r="Y212" s="32"/>
      <c r="Z212" s="32"/>
      <c r="AA212" s="32"/>
      <c r="AB212" s="32"/>
      <c r="AC212" s="32"/>
      <c r="AD212" s="32"/>
      <c r="AE212" s="32"/>
      <c r="AF212" s="32"/>
      <c r="AG212" s="32"/>
      <c r="AH212" s="32"/>
      <c r="AI212" s="32"/>
      <c r="AJ212" s="32"/>
    </row>
    <row r="213">
      <c r="A213" s="32"/>
      <c r="B213" s="32"/>
      <c r="C213" s="32"/>
      <c r="D213" s="32"/>
      <c r="E213" s="32"/>
      <c r="F213" s="32"/>
      <c r="G213" s="32"/>
      <c r="H213" s="32"/>
      <c r="I213" s="32"/>
      <c r="J213" s="32"/>
      <c r="K213" s="32"/>
      <c r="L213" s="32"/>
      <c r="M213" s="32"/>
      <c r="N213" s="32"/>
      <c r="O213" s="32"/>
      <c r="P213" s="32"/>
      <c r="Q213" s="32"/>
      <c r="R213" s="32"/>
      <c r="S213" s="32"/>
      <c r="T213" s="32"/>
      <c r="U213" s="32"/>
      <c r="V213" s="32"/>
      <c r="W213" s="32"/>
      <c r="X213" s="32"/>
      <c r="Y213" s="32"/>
      <c r="Z213" s="32"/>
      <c r="AA213" s="32"/>
      <c r="AB213" s="32"/>
      <c r="AC213" s="32"/>
      <c r="AD213" s="32"/>
      <c r="AE213" s="32"/>
      <c r="AF213" s="32"/>
      <c r="AG213" s="32"/>
      <c r="AH213" s="32"/>
      <c r="AI213" s="32"/>
      <c r="AJ213" s="32"/>
    </row>
    <row r="214">
      <c r="A214" s="32"/>
      <c r="B214" s="32"/>
      <c r="C214" s="32"/>
      <c r="D214" s="32"/>
      <c r="E214" s="32"/>
      <c r="F214" s="32"/>
      <c r="G214" s="32"/>
      <c r="H214" s="32"/>
      <c r="I214" s="32"/>
      <c r="J214" s="32"/>
      <c r="K214" s="32"/>
      <c r="L214" s="32"/>
      <c r="M214" s="32"/>
      <c r="N214" s="32"/>
      <c r="O214" s="32"/>
      <c r="P214" s="32"/>
      <c r="Q214" s="32"/>
      <c r="R214" s="32"/>
      <c r="S214" s="32"/>
      <c r="T214" s="32"/>
      <c r="U214" s="32"/>
      <c r="V214" s="32"/>
      <c r="W214" s="32"/>
      <c r="X214" s="32"/>
      <c r="Y214" s="32"/>
      <c r="Z214" s="32"/>
      <c r="AA214" s="32"/>
      <c r="AB214" s="32"/>
      <c r="AC214" s="32"/>
      <c r="AD214" s="32"/>
      <c r="AE214" s="32"/>
      <c r="AF214" s="32"/>
      <c r="AG214" s="32"/>
      <c r="AH214" s="32"/>
      <c r="AI214" s="32"/>
      <c r="AJ214" s="32"/>
    </row>
    <row r="215">
      <c r="A215" s="32"/>
      <c r="B215" s="32"/>
      <c r="C215" s="32"/>
      <c r="D215" s="32"/>
      <c r="E215" s="32"/>
      <c r="F215" s="32"/>
      <c r="G215" s="32"/>
      <c r="H215" s="32"/>
      <c r="I215" s="32"/>
      <c r="J215" s="32"/>
      <c r="K215" s="32"/>
      <c r="L215" s="32"/>
      <c r="M215" s="32"/>
      <c r="N215" s="32"/>
      <c r="O215" s="32"/>
      <c r="P215" s="32"/>
      <c r="Q215" s="32"/>
      <c r="R215" s="32"/>
      <c r="S215" s="32"/>
      <c r="T215" s="32"/>
      <c r="U215" s="32"/>
      <c r="V215" s="32"/>
      <c r="W215" s="32"/>
      <c r="X215" s="32"/>
      <c r="Y215" s="32"/>
      <c r="Z215" s="32"/>
      <c r="AA215" s="32"/>
      <c r="AB215" s="32"/>
      <c r="AC215" s="32"/>
      <c r="AD215" s="32"/>
      <c r="AE215" s="32"/>
      <c r="AF215" s="32"/>
      <c r="AG215" s="32"/>
      <c r="AH215" s="32"/>
      <c r="AI215" s="32"/>
      <c r="AJ215" s="32"/>
    </row>
    <row r="216">
      <c r="A216" s="32"/>
      <c r="B216" s="32"/>
      <c r="C216" s="32"/>
      <c r="D216" s="32"/>
      <c r="E216" s="32"/>
      <c r="F216" s="32"/>
      <c r="G216" s="32"/>
      <c r="H216" s="32"/>
      <c r="I216" s="32"/>
      <c r="J216" s="32"/>
      <c r="K216" s="32"/>
      <c r="L216" s="32"/>
      <c r="M216" s="32"/>
      <c r="N216" s="32"/>
      <c r="O216" s="32"/>
      <c r="P216" s="32"/>
      <c r="Q216" s="32"/>
      <c r="R216" s="32"/>
      <c r="S216" s="32"/>
      <c r="T216" s="32"/>
      <c r="U216" s="32"/>
      <c r="V216" s="32"/>
      <c r="W216" s="32"/>
      <c r="X216" s="32"/>
      <c r="Y216" s="32"/>
      <c r="Z216" s="32"/>
      <c r="AA216" s="32"/>
      <c r="AB216" s="32"/>
      <c r="AC216" s="32"/>
      <c r="AD216" s="32"/>
      <c r="AE216" s="32"/>
      <c r="AF216" s="32"/>
      <c r="AG216" s="32"/>
      <c r="AH216" s="32"/>
      <c r="AI216" s="32"/>
      <c r="AJ216" s="32"/>
    </row>
    <row r="217">
      <c r="A217" s="32"/>
      <c r="B217" s="32"/>
      <c r="C217" s="32"/>
      <c r="D217" s="32"/>
      <c r="E217" s="32"/>
      <c r="F217" s="32"/>
      <c r="G217" s="32"/>
      <c r="H217" s="32"/>
      <c r="I217" s="32"/>
      <c r="J217" s="32"/>
      <c r="K217" s="32"/>
      <c r="L217" s="32"/>
      <c r="M217" s="32"/>
      <c r="N217" s="32"/>
      <c r="O217" s="32"/>
      <c r="P217" s="32"/>
      <c r="Q217" s="32"/>
      <c r="R217" s="32"/>
      <c r="S217" s="32"/>
      <c r="T217" s="32"/>
      <c r="U217" s="32"/>
      <c r="V217" s="32"/>
      <c r="W217" s="32"/>
      <c r="X217" s="32"/>
      <c r="Y217" s="32"/>
      <c r="Z217" s="32"/>
      <c r="AA217" s="32"/>
      <c r="AB217" s="32"/>
      <c r="AC217" s="32"/>
      <c r="AD217" s="32"/>
      <c r="AE217" s="32"/>
      <c r="AF217" s="32"/>
      <c r="AG217" s="32"/>
      <c r="AH217" s="32"/>
      <c r="AI217" s="32"/>
      <c r="AJ217" s="32"/>
    </row>
    <row r="218">
      <c r="A218" s="32"/>
      <c r="B218" s="32"/>
      <c r="C218" s="32"/>
      <c r="D218" s="32"/>
      <c r="E218" s="32"/>
      <c r="F218" s="32"/>
      <c r="G218" s="32"/>
      <c r="H218" s="32"/>
      <c r="I218" s="32"/>
      <c r="J218" s="32"/>
      <c r="K218" s="32"/>
      <c r="L218" s="32"/>
      <c r="M218" s="32"/>
      <c r="N218" s="32"/>
      <c r="O218" s="32"/>
      <c r="P218" s="32"/>
      <c r="Q218" s="32"/>
      <c r="R218" s="32"/>
      <c r="S218" s="32"/>
      <c r="T218" s="32"/>
      <c r="U218" s="32"/>
      <c r="V218" s="32"/>
      <c r="W218" s="32"/>
      <c r="X218" s="32"/>
      <c r="Y218" s="32"/>
      <c r="Z218" s="32"/>
      <c r="AA218" s="32"/>
      <c r="AB218" s="32"/>
      <c r="AC218" s="32"/>
      <c r="AD218" s="32"/>
      <c r="AE218" s="32"/>
      <c r="AF218" s="32"/>
      <c r="AG218" s="32"/>
      <c r="AH218" s="32"/>
      <c r="AI218" s="32"/>
      <c r="AJ218" s="32"/>
    </row>
    <row r="219">
      <c r="A219" s="32"/>
      <c r="B219" s="32"/>
      <c r="C219" s="32"/>
      <c r="D219" s="32"/>
      <c r="E219" s="32"/>
      <c r="F219" s="32"/>
      <c r="G219" s="32"/>
      <c r="H219" s="32"/>
      <c r="I219" s="32"/>
      <c r="J219" s="32"/>
      <c r="K219" s="32"/>
      <c r="L219" s="32"/>
      <c r="M219" s="32"/>
      <c r="N219" s="32"/>
      <c r="O219" s="32"/>
      <c r="P219" s="32"/>
      <c r="Q219" s="32"/>
      <c r="R219" s="32"/>
      <c r="S219" s="32"/>
      <c r="T219" s="32"/>
      <c r="U219" s="32"/>
      <c r="V219" s="32"/>
      <c r="W219" s="32"/>
      <c r="X219" s="32"/>
      <c r="Y219" s="32"/>
      <c r="Z219" s="32"/>
      <c r="AA219" s="32"/>
      <c r="AB219" s="32"/>
      <c r="AC219" s="32"/>
      <c r="AD219" s="32"/>
      <c r="AE219" s="32"/>
      <c r="AF219" s="32"/>
      <c r="AG219" s="32"/>
      <c r="AH219" s="32"/>
      <c r="AI219" s="32"/>
      <c r="AJ219" s="32"/>
    </row>
    <row r="220">
      <c r="A220" s="32"/>
      <c r="B220" s="32"/>
      <c r="C220" s="32"/>
      <c r="D220" s="32"/>
      <c r="E220" s="32"/>
      <c r="F220" s="32"/>
      <c r="G220" s="32"/>
      <c r="H220" s="32"/>
      <c r="I220" s="32"/>
      <c r="J220" s="32"/>
      <c r="K220" s="32"/>
      <c r="L220" s="32"/>
      <c r="M220" s="32"/>
      <c r="N220" s="32"/>
      <c r="O220" s="32"/>
      <c r="P220" s="32"/>
      <c r="Q220" s="32"/>
      <c r="R220" s="32"/>
      <c r="S220" s="32"/>
      <c r="T220" s="32"/>
      <c r="U220" s="32"/>
      <c r="V220" s="32"/>
      <c r="W220" s="32"/>
      <c r="X220" s="32"/>
      <c r="Y220" s="32"/>
      <c r="Z220" s="32"/>
      <c r="AA220" s="32"/>
      <c r="AB220" s="32"/>
      <c r="AC220" s="32"/>
      <c r="AD220" s="32"/>
      <c r="AE220" s="32"/>
      <c r="AF220" s="32"/>
      <c r="AG220" s="32"/>
      <c r="AH220" s="32"/>
      <c r="AI220" s="32"/>
      <c r="AJ220" s="32"/>
    </row>
    <row r="221">
      <c r="A221" s="32"/>
      <c r="B221" s="32"/>
      <c r="C221" s="32"/>
      <c r="D221" s="32"/>
      <c r="E221" s="32"/>
      <c r="F221" s="32"/>
      <c r="G221" s="32"/>
      <c r="H221" s="32"/>
      <c r="I221" s="32"/>
      <c r="J221" s="32"/>
      <c r="K221" s="32"/>
      <c r="L221" s="32"/>
      <c r="M221" s="32"/>
      <c r="N221" s="32"/>
      <c r="O221" s="32"/>
      <c r="P221" s="32"/>
      <c r="Q221" s="32"/>
      <c r="R221" s="32"/>
      <c r="S221" s="32"/>
      <c r="T221" s="32"/>
      <c r="U221" s="32"/>
      <c r="V221" s="32"/>
      <c r="W221" s="32"/>
      <c r="X221" s="32"/>
      <c r="Y221" s="32"/>
      <c r="Z221" s="32"/>
      <c r="AA221" s="32"/>
      <c r="AB221" s="32"/>
      <c r="AC221" s="32"/>
      <c r="AD221" s="32"/>
      <c r="AE221" s="32"/>
      <c r="AF221" s="32"/>
      <c r="AG221" s="32"/>
      <c r="AH221" s="32"/>
      <c r="AI221" s="32"/>
      <c r="AJ221" s="32"/>
    </row>
    <row r="222">
      <c r="A222" s="32"/>
      <c r="B222" s="32"/>
      <c r="C222" s="32"/>
      <c r="D222" s="32"/>
      <c r="E222" s="32"/>
      <c r="F222" s="32"/>
      <c r="G222" s="32"/>
      <c r="H222" s="32"/>
      <c r="I222" s="32"/>
      <c r="J222" s="32"/>
      <c r="K222" s="32"/>
      <c r="L222" s="32"/>
      <c r="M222" s="32"/>
      <c r="N222" s="32"/>
      <c r="O222" s="32"/>
      <c r="P222" s="32"/>
      <c r="Q222" s="32"/>
      <c r="R222" s="32"/>
      <c r="S222" s="32"/>
      <c r="T222" s="32"/>
      <c r="U222" s="32"/>
      <c r="V222" s="32"/>
      <c r="W222" s="32"/>
      <c r="X222" s="32"/>
      <c r="Y222" s="32"/>
      <c r="Z222" s="32"/>
      <c r="AA222" s="32"/>
      <c r="AB222" s="32"/>
      <c r="AC222" s="32"/>
      <c r="AD222" s="32"/>
      <c r="AE222" s="32"/>
      <c r="AF222" s="32"/>
      <c r="AG222" s="32"/>
      <c r="AH222" s="32"/>
      <c r="AI222" s="32"/>
      <c r="AJ222" s="32"/>
    </row>
    <row r="223">
      <c r="A223" s="32"/>
      <c r="B223" s="32"/>
      <c r="C223" s="32"/>
      <c r="D223" s="32"/>
      <c r="E223" s="32"/>
      <c r="F223" s="32"/>
      <c r="G223" s="32"/>
      <c r="H223" s="32"/>
      <c r="I223" s="32"/>
      <c r="J223" s="32"/>
      <c r="K223" s="32"/>
      <c r="L223" s="32"/>
      <c r="M223" s="32"/>
      <c r="N223" s="32"/>
      <c r="O223" s="32"/>
      <c r="P223" s="32"/>
      <c r="Q223" s="32"/>
      <c r="R223" s="32"/>
      <c r="S223" s="32"/>
      <c r="T223" s="32"/>
      <c r="U223" s="32"/>
      <c r="V223" s="32"/>
      <c r="W223" s="32"/>
      <c r="X223" s="32"/>
      <c r="Y223" s="32"/>
      <c r="Z223" s="32"/>
      <c r="AA223" s="32"/>
      <c r="AB223" s="32"/>
      <c r="AC223" s="32"/>
      <c r="AD223" s="32"/>
      <c r="AE223" s="32"/>
      <c r="AF223" s="32"/>
      <c r="AG223" s="32"/>
      <c r="AH223" s="32"/>
      <c r="AI223" s="32"/>
      <c r="AJ223" s="32"/>
    </row>
    <row r="224">
      <c r="A224" s="32"/>
      <c r="B224" s="32"/>
      <c r="C224" s="32"/>
      <c r="D224" s="32"/>
      <c r="E224" s="32"/>
      <c r="F224" s="32"/>
      <c r="G224" s="32"/>
      <c r="H224" s="32"/>
      <c r="I224" s="32"/>
      <c r="J224" s="32"/>
      <c r="K224" s="32"/>
      <c r="L224" s="32"/>
      <c r="M224" s="32"/>
      <c r="N224" s="32"/>
      <c r="O224" s="32"/>
      <c r="P224" s="32"/>
      <c r="Q224" s="32"/>
      <c r="R224" s="32"/>
      <c r="S224" s="32"/>
      <c r="T224" s="32"/>
      <c r="U224" s="32"/>
      <c r="V224" s="32"/>
      <c r="W224" s="32"/>
      <c r="X224" s="32"/>
      <c r="Y224" s="32"/>
      <c r="Z224" s="32"/>
      <c r="AA224" s="32"/>
      <c r="AB224" s="32"/>
      <c r="AC224" s="32"/>
      <c r="AD224" s="32"/>
      <c r="AE224" s="32"/>
      <c r="AF224" s="32"/>
      <c r="AG224" s="32"/>
      <c r="AH224" s="32"/>
      <c r="AI224" s="32"/>
      <c r="AJ224" s="32"/>
    </row>
    <row r="225">
      <c r="A225" s="32"/>
      <c r="B225" s="32"/>
      <c r="C225" s="32"/>
      <c r="D225" s="32"/>
      <c r="E225" s="32"/>
      <c r="F225" s="32"/>
      <c r="G225" s="32"/>
      <c r="H225" s="32"/>
      <c r="I225" s="32"/>
      <c r="J225" s="32"/>
      <c r="K225" s="32"/>
      <c r="L225" s="32"/>
      <c r="M225" s="32"/>
      <c r="N225" s="32"/>
      <c r="O225" s="32"/>
      <c r="P225" s="32"/>
      <c r="Q225" s="32"/>
      <c r="R225" s="32"/>
      <c r="S225" s="32"/>
      <c r="T225" s="32"/>
      <c r="U225" s="32"/>
      <c r="V225" s="32"/>
      <c r="W225" s="32"/>
      <c r="X225" s="32"/>
      <c r="Y225" s="32"/>
      <c r="Z225" s="32"/>
      <c r="AA225" s="32"/>
      <c r="AB225" s="32"/>
      <c r="AC225" s="32"/>
      <c r="AD225" s="32"/>
      <c r="AE225" s="32"/>
      <c r="AF225" s="32"/>
      <c r="AG225" s="32"/>
      <c r="AH225" s="32"/>
      <c r="AI225" s="32"/>
      <c r="AJ225" s="32"/>
    </row>
    <row r="226">
      <c r="A226" s="32"/>
      <c r="B226" s="32"/>
      <c r="C226" s="32"/>
      <c r="D226" s="32"/>
      <c r="E226" s="32"/>
      <c r="F226" s="32"/>
      <c r="G226" s="32"/>
      <c r="H226" s="32"/>
      <c r="I226" s="32"/>
      <c r="J226" s="32"/>
      <c r="K226" s="32"/>
      <c r="L226" s="32"/>
      <c r="M226" s="32"/>
      <c r="N226" s="32"/>
      <c r="O226" s="32"/>
      <c r="P226" s="32"/>
      <c r="Q226" s="32"/>
      <c r="R226" s="32"/>
      <c r="S226" s="32"/>
      <c r="T226" s="32"/>
      <c r="U226" s="32"/>
      <c r="V226" s="32"/>
      <c r="W226" s="32"/>
      <c r="X226" s="32"/>
      <c r="Y226" s="32"/>
      <c r="Z226" s="32"/>
      <c r="AA226" s="32"/>
      <c r="AB226" s="32"/>
      <c r="AC226" s="32"/>
      <c r="AD226" s="32"/>
      <c r="AE226" s="32"/>
      <c r="AF226" s="32"/>
      <c r="AG226" s="32"/>
      <c r="AH226" s="32"/>
      <c r="AI226" s="32"/>
      <c r="AJ226" s="32"/>
    </row>
    <row r="227">
      <c r="A227" s="32"/>
      <c r="B227" s="32"/>
      <c r="C227" s="32"/>
      <c r="D227" s="32"/>
      <c r="E227" s="32"/>
      <c r="F227" s="32"/>
      <c r="G227" s="32"/>
      <c r="H227" s="32"/>
      <c r="I227" s="32"/>
      <c r="J227" s="32"/>
      <c r="K227" s="32"/>
      <c r="L227" s="32"/>
      <c r="M227" s="32"/>
      <c r="N227" s="32"/>
      <c r="O227" s="32"/>
      <c r="P227" s="32"/>
      <c r="Q227" s="32"/>
      <c r="R227" s="32"/>
      <c r="S227" s="32"/>
      <c r="T227" s="32"/>
      <c r="U227" s="32"/>
      <c r="V227" s="32"/>
      <c r="W227" s="32"/>
      <c r="X227" s="32"/>
      <c r="Y227" s="32"/>
      <c r="Z227" s="32"/>
      <c r="AA227" s="32"/>
      <c r="AB227" s="32"/>
      <c r="AC227" s="32"/>
      <c r="AD227" s="32"/>
      <c r="AE227" s="32"/>
      <c r="AF227" s="32"/>
      <c r="AG227" s="32"/>
      <c r="AH227" s="32"/>
      <c r="AI227" s="32"/>
      <c r="AJ227" s="32"/>
    </row>
    <row r="228">
      <c r="A228" s="32"/>
      <c r="B228" s="32"/>
      <c r="C228" s="32"/>
      <c r="D228" s="32"/>
      <c r="E228" s="32"/>
      <c r="F228" s="32"/>
      <c r="G228" s="32"/>
      <c r="H228" s="32"/>
      <c r="I228" s="32"/>
      <c r="J228" s="32"/>
      <c r="K228" s="32"/>
      <c r="L228" s="32"/>
      <c r="M228" s="32"/>
      <c r="N228" s="32"/>
      <c r="O228" s="32"/>
      <c r="P228" s="32"/>
      <c r="Q228" s="32"/>
      <c r="R228" s="32"/>
      <c r="S228" s="32"/>
      <c r="T228" s="32"/>
      <c r="U228" s="32"/>
      <c r="V228" s="32"/>
      <c r="W228" s="32"/>
      <c r="X228" s="32"/>
      <c r="Y228" s="32"/>
      <c r="Z228" s="32"/>
      <c r="AA228" s="32"/>
      <c r="AB228" s="32"/>
      <c r="AC228" s="32"/>
      <c r="AD228" s="32"/>
      <c r="AE228" s="32"/>
      <c r="AF228" s="32"/>
      <c r="AG228" s="32"/>
      <c r="AH228" s="32"/>
      <c r="AI228" s="32"/>
      <c r="AJ228" s="32"/>
    </row>
    <row r="229">
      <c r="A229" s="32"/>
      <c r="B229" s="32"/>
      <c r="C229" s="32"/>
      <c r="D229" s="32"/>
      <c r="E229" s="32"/>
      <c r="F229" s="32"/>
      <c r="G229" s="32"/>
      <c r="H229" s="32"/>
      <c r="I229" s="32"/>
      <c r="J229" s="32"/>
      <c r="K229" s="32"/>
      <c r="L229" s="32"/>
      <c r="M229" s="32"/>
      <c r="N229" s="32"/>
      <c r="O229" s="32"/>
      <c r="P229" s="32"/>
      <c r="Q229" s="32"/>
      <c r="R229" s="32"/>
      <c r="S229" s="32"/>
      <c r="T229" s="32"/>
      <c r="U229" s="32"/>
      <c r="V229" s="32"/>
      <c r="W229" s="32"/>
      <c r="X229" s="32"/>
      <c r="Y229" s="32"/>
      <c r="Z229" s="32"/>
      <c r="AA229" s="32"/>
      <c r="AB229" s="32"/>
      <c r="AC229" s="32"/>
      <c r="AD229" s="32"/>
      <c r="AE229" s="32"/>
      <c r="AF229" s="32"/>
      <c r="AG229" s="32"/>
      <c r="AH229" s="32"/>
      <c r="AI229" s="32"/>
      <c r="AJ229" s="32"/>
    </row>
    <row r="230">
      <c r="A230" s="32"/>
      <c r="B230" s="32"/>
      <c r="C230" s="32"/>
      <c r="D230" s="32"/>
      <c r="E230" s="32"/>
      <c r="F230" s="32"/>
      <c r="G230" s="32"/>
      <c r="H230" s="32"/>
      <c r="I230" s="32"/>
      <c r="J230" s="32"/>
      <c r="K230" s="32"/>
      <c r="L230" s="32"/>
      <c r="M230" s="32"/>
      <c r="N230" s="32"/>
      <c r="O230" s="32"/>
      <c r="P230" s="32"/>
      <c r="Q230" s="32"/>
      <c r="R230" s="32"/>
      <c r="S230" s="32"/>
      <c r="T230" s="32"/>
      <c r="U230" s="32"/>
      <c r="V230" s="32"/>
      <c r="W230" s="32"/>
      <c r="X230" s="32"/>
      <c r="Y230" s="32"/>
      <c r="Z230" s="32"/>
      <c r="AA230" s="32"/>
      <c r="AB230" s="32"/>
      <c r="AC230" s="32"/>
      <c r="AD230" s="32"/>
      <c r="AE230" s="32"/>
      <c r="AF230" s="32"/>
      <c r="AG230" s="32"/>
      <c r="AH230" s="32"/>
      <c r="AI230" s="32"/>
      <c r="AJ230" s="32"/>
    </row>
    <row r="231">
      <c r="A231" s="32"/>
      <c r="B231" s="32"/>
      <c r="C231" s="32"/>
      <c r="D231" s="32"/>
      <c r="E231" s="32"/>
      <c r="F231" s="32"/>
      <c r="G231" s="32"/>
      <c r="H231" s="32"/>
      <c r="I231" s="32"/>
      <c r="J231" s="32"/>
      <c r="K231" s="32"/>
      <c r="L231" s="32"/>
      <c r="M231" s="32"/>
      <c r="N231" s="32"/>
      <c r="O231" s="32"/>
      <c r="P231" s="32"/>
      <c r="Q231" s="32"/>
      <c r="R231" s="32"/>
      <c r="S231" s="32"/>
      <c r="T231" s="32"/>
      <c r="U231" s="32"/>
      <c r="V231" s="32"/>
      <c r="W231" s="32"/>
      <c r="X231" s="32"/>
      <c r="Y231" s="32"/>
      <c r="Z231" s="32"/>
      <c r="AA231" s="32"/>
      <c r="AB231" s="32"/>
      <c r="AC231" s="32"/>
      <c r="AD231" s="32"/>
      <c r="AE231" s="32"/>
      <c r="AF231" s="32"/>
      <c r="AG231" s="32"/>
      <c r="AH231" s="32"/>
      <c r="AI231" s="32"/>
      <c r="AJ231" s="32"/>
    </row>
    <row r="232">
      <c r="A232" s="32"/>
      <c r="B232" s="32"/>
      <c r="C232" s="32"/>
      <c r="D232" s="32"/>
      <c r="E232" s="32"/>
      <c r="F232" s="32"/>
      <c r="G232" s="32"/>
      <c r="H232" s="32"/>
      <c r="I232" s="32"/>
      <c r="J232" s="32"/>
      <c r="K232" s="32"/>
      <c r="L232" s="32"/>
      <c r="M232" s="32"/>
      <c r="N232" s="32"/>
      <c r="O232" s="32"/>
      <c r="P232" s="32"/>
      <c r="Q232" s="32"/>
      <c r="R232" s="32"/>
      <c r="S232" s="32"/>
      <c r="T232" s="32"/>
      <c r="U232" s="32"/>
      <c r="V232" s="32"/>
      <c r="W232" s="32"/>
      <c r="X232" s="32"/>
      <c r="Y232" s="32"/>
      <c r="Z232" s="32"/>
      <c r="AA232" s="32"/>
      <c r="AB232" s="32"/>
      <c r="AC232" s="32"/>
      <c r="AD232" s="32"/>
      <c r="AE232" s="32"/>
      <c r="AF232" s="32"/>
      <c r="AG232" s="32"/>
      <c r="AH232" s="32"/>
      <c r="AI232" s="32"/>
      <c r="AJ232" s="32"/>
    </row>
    <row r="233">
      <c r="A233" s="32"/>
      <c r="B233" s="32"/>
      <c r="C233" s="32"/>
      <c r="D233" s="32"/>
      <c r="E233" s="32"/>
      <c r="F233" s="32"/>
      <c r="G233" s="32"/>
      <c r="H233" s="32"/>
      <c r="I233" s="32"/>
      <c r="J233" s="32"/>
      <c r="K233" s="32"/>
      <c r="L233" s="32"/>
      <c r="M233" s="32"/>
      <c r="N233" s="32"/>
      <c r="O233" s="32"/>
      <c r="P233" s="32"/>
      <c r="Q233" s="32"/>
      <c r="R233" s="32"/>
      <c r="S233" s="32"/>
      <c r="T233" s="32"/>
      <c r="U233" s="32"/>
      <c r="V233" s="32"/>
      <c r="W233" s="32"/>
      <c r="X233" s="32"/>
      <c r="Y233" s="32"/>
      <c r="Z233" s="32"/>
      <c r="AA233" s="32"/>
      <c r="AB233" s="32"/>
      <c r="AC233" s="32"/>
      <c r="AD233" s="32"/>
      <c r="AE233" s="32"/>
      <c r="AF233" s="32"/>
      <c r="AG233" s="32"/>
      <c r="AH233" s="32"/>
      <c r="AI233" s="32"/>
      <c r="AJ233" s="32"/>
    </row>
    <row r="234">
      <c r="A234" s="32"/>
      <c r="B234" s="32"/>
      <c r="C234" s="32"/>
      <c r="D234" s="32"/>
      <c r="E234" s="32"/>
      <c r="F234" s="32"/>
      <c r="G234" s="32"/>
      <c r="H234" s="32"/>
      <c r="I234" s="32"/>
      <c r="J234" s="32"/>
      <c r="K234" s="32"/>
      <c r="L234" s="32"/>
      <c r="M234" s="32"/>
      <c r="N234" s="32"/>
      <c r="O234" s="32"/>
      <c r="P234" s="32"/>
      <c r="Q234" s="32"/>
      <c r="R234" s="32"/>
      <c r="S234" s="32"/>
      <c r="T234" s="32"/>
      <c r="U234" s="32"/>
      <c r="V234" s="32"/>
      <c r="W234" s="32"/>
      <c r="X234" s="32"/>
      <c r="Y234" s="32"/>
      <c r="Z234" s="32"/>
      <c r="AA234" s="32"/>
      <c r="AB234" s="32"/>
      <c r="AC234" s="32"/>
      <c r="AD234" s="32"/>
      <c r="AE234" s="32"/>
      <c r="AF234" s="32"/>
      <c r="AG234" s="32"/>
      <c r="AH234" s="32"/>
      <c r="AI234" s="32"/>
      <c r="AJ234" s="32"/>
    </row>
    <row r="235">
      <c r="A235" s="32"/>
      <c r="B235" s="32"/>
      <c r="C235" s="32"/>
      <c r="D235" s="32"/>
      <c r="E235" s="32"/>
      <c r="F235" s="32"/>
      <c r="G235" s="32"/>
      <c r="H235" s="32"/>
      <c r="I235" s="32"/>
      <c r="J235" s="32"/>
      <c r="K235" s="32"/>
      <c r="L235" s="32"/>
      <c r="M235" s="32"/>
      <c r="N235" s="32"/>
      <c r="O235" s="32"/>
      <c r="P235" s="32"/>
      <c r="Q235" s="32"/>
      <c r="R235" s="32"/>
      <c r="S235" s="32"/>
      <c r="T235" s="32"/>
      <c r="U235" s="32"/>
      <c r="V235" s="32"/>
      <c r="W235" s="32"/>
      <c r="X235" s="32"/>
      <c r="Y235" s="32"/>
      <c r="Z235" s="32"/>
      <c r="AA235" s="32"/>
      <c r="AB235" s="32"/>
      <c r="AC235" s="32"/>
      <c r="AD235" s="32"/>
      <c r="AE235" s="32"/>
      <c r="AF235" s="32"/>
      <c r="AG235" s="32"/>
      <c r="AH235" s="32"/>
      <c r="AI235" s="32"/>
      <c r="AJ235" s="32"/>
    </row>
    <row r="236">
      <c r="A236" s="32"/>
      <c r="B236" s="32"/>
      <c r="C236" s="32"/>
      <c r="D236" s="32"/>
      <c r="E236" s="32"/>
      <c r="F236" s="32"/>
      <c r="G236" s="32"/>
      <c r="H236" s="32"/>
      <c r="I236" s="32"/>
      <c r="J236" s="32"/>
      <c r="K236" s="32"/>
      <c r="L236" s="32"/>
      <c r="M236" s="32"/>
      <c r="N236" s="32"/>
      <c r="O236" s="32"/>
      <c r="P236" s="32"/>
      <c r="Q236" s="32"/>
      <c r="R236" s="32"/>
      <c r="S236" s="32"/>
      <c r="T236" s="32"/>
      <c r="U236" s="32"/>
      <c r="V236" s="32"/>
      <c r="W236" s="32"/>
      <c r="X236" s="32"/>
      <c r="Y236" s="32"/>
      <c r="Z236" s="32"/>
      <c r="AA236" s="32"/>
      <c r="AB236" s="32"/>
      <c r="AC236" s="32"/>
      <c r="AD236" s="32"/>
      <c r="AE236" s="32"/>
      <c r="AF236" s="32"/>
      <c r="AG236" s="32"/>
      <c r="AH236" s="32"/>
      <c r="AI236" s="32"/>
      <c r="AJ236" s="32"/>
    </row>
    <row r="237">
      <c r="A237" s="32"/>
      <c r="B237" s="32"/>
      <c r="C237" s="32"/>
      <c r="D237" s="32"/>
      <c r="E237" s="32"/>
      <c r="F237" s="32"/>
      <c r="G237" s="32"/>
      <c r="H237" s="32"/>
      <c r="I237" s="32"/>
      <c r="J237" s="32"/>
      <c r="K237" s="32"/>
      <c r="L237" s="32"/>
      <c r="M237" s="32"/>
      <c r="N237" s="32"/>
      <c r="O237" s="32"/>
      <c r="P237" s="32"/>
      <c r="Q237" s="32"/>
      <c r="R237" s="32"/>
      <c r="S237" s="32"/>
      <c r="T237" s="32"/>
      <c r="U237" s="32"/>
      <c r="V237" s="32"/>
      <c r="W237" s="32"/>
      <c r="X237" s="32"/>
      <c r="Y237" s="32"/>
      <c r="Z237" s="32"/>
      <c r="AA237" s="32"/>
      <c r="AB237" s="32"/>
      <c r="AC237" s="32"/>
      <c r="AD237" s="32"/>
      <c r="AE237" s="32"/>
      <c r="AF237" s="32"/>
      <c r="AG237" s="32"/>
      <c r="AH237" s="32"/>
      <c r="AI237" s="32"/>
      <c r="AJ237" s="32"/>
    </row>
    <row r="238">
      <c r="A238" s="32"/>
      <c r="B238" s="32"/>
      <c r="C238" s="32"/>
      <c r="D238" s="32"/>
      <c r="E238" s="32"/>
      <c r="F238" s="32"/>
      <c r="G238" s="32"/>
      <c r="H238" s="32"/>
      <c r="I238" s="32"/>
      <c r="J238" s="32"/>
      <c r="K238" s="32"/>
      <c r="L238" s="32"/>
      <c r="M238" s="32"/>
      <c r="N238" s="32"/>
      <c r="O238" s="32"/>
      <c r="P238" s="32"/>
      <c r="Q238" s="32"/>
      <c r="R238" s="32"/>
      <c r="S238" s="32"/>
      <c r="T238" s="32"/>
      <c r="U238" s="32"/>
      <c r="V238" s="32"/>
      <c r="W238" s="32"/>
      <c r="X238" s="32"/>
      <c r="Y238" s="32"/>
      <c r="Z238" s="32"/>
      <c r="AA238" s="32"/>
      <c r="AB238" s="32"/>
      <c r="AC238" s="32"/>
      <c r="AD238" s="32"/>
      <c r="AE238" s="32"/>
      <c r="AF238" s="32"/>
      <c r="AG238" s="32"/>
      <c r="AH238" s="32"/>
      <c r="AI238" s="32"/>
      <c r="AJ238" s="32"/>
    </row>
    <row r="239">
      <c r="A239" s="32"/>
      <c r="B239" s="32"/>
      <c r="C239" s="32"/>
      <c r="D239" s="32"/>
      <c r="E239" s="32"/>
      <c r="F239" s="32"/>
      <c r="G239" s="32"/>
      <c r="H239" s="32"/>
      <c r="I239" s="32"/>
      <c r="J239" s="32"/>
      <c r="K239" s="32"/>
      <c r="L239" s="32"/>
      <c r="M239" s="32"/>
      <c r="N239" s="32"/>
      <c r="O239" s="32"/>
      <c r="P239" s="32"/>
      <c r="Q239" s="32"/>
      <c r="R239" s="32"/>
      <c r="S239" s="32"/>
      <c r="T239" s="32"/>
      <c r="U239" s="32"/>
      <c r="V239" s="32"/>
      <c r="W239" s="32"/>
      <c r="X239" s="32"/>
      <c r="Y239" s="32"/>
      <c r="Z239" s="32"/>
      <c r="AA239" s="32"/>
      <c r="AB239" s="32"/>
      <c r="AC239" s="32"/>
      <c r="AD239" s="32"/>
      <c r="AE239" s="32"/>
      <c r="AF239" s="32"/>
      <c r="AG239" s="32"/>
      <c r="AH239" s="32"/>
      <c r="AI239" s="32"/>
      <c r="AJ239" s="32"/>
    </row>
    <row r="240">
      <c r="A240" s="32"/>
      <c r="B240" s="32"/>
      <c r="C240" s="32"/>
      <c r="D240" s="32"/>
      <c r="E240" s="32"/>
      <c r="F240" s="32"/>
      <c r="G240" s="32"/>
      <c r="H240" s="32"/>
      <c r="I240" s="32"/>
      <c r="J240" s="32"/>
      <c r="K240" s="32"/>
      <c r="L240" s="32"/>
      <c r="M240" s="32"/>
      <c r="N240" s="32"/>
      <c r="O240" s="32"/>
      <c r="P240" s="32"/>
      <c r="Q240" s="32"/>
      <c r="R240" s="32"/>
      <c r="S240" s="32"/>
      <c r="T240" s="32"/>
      <c r="U240" s="32"/>
      <c r="V240" s="32"/>
      <c r="W240" s="32"/>
      <c r="X240" s="32"/>
      <c r="Y240" s="32"/>
      <c r="Z240" s="32"/>
      <c r="AA240" s="32"/>
      <c r="AB240" s="32"/>
      <c r="AC240" s="32"/>
      <c r="AD240" s="32"/>
      <c r="AE240" s="32"/>
      <c r="AF240" s="32"/>
      <c r="AG240" s="32"/>
      <c r="AH240" s="32"/>
      <c r="AI240" s="32"/>
      <c r="AJ240" s="32"/>
    </row>
    <row r="241">
      <c r="A241" s="32"/>
      <c r="B241" s="32"/>
      <c r="C241" s="32"/>
      <c r="D241" s="32"/>
      <c r="E241" s="32"/>
      <c r="F241" s="32"/>
      <c r="G241" s="32"/>
      <c r="H241" s="32"/>
      <c r="I241" s="32"/>
      <c r="J241" s="32"/>
      <c r="K241" s="32"/>
      <c r="L241" s="32"/>
      <c r="M241" s="32"/>
      <c r="N241" s="32"/>
      <c r="O241" s="32"/>
      <c r="P241" s="32"/>
      <c r="Q241" s="32"/>
      <c r="R241" s="32"/>
      <c r="S241" s="32"/>
      <c r="T241" s="32"/>
      <c r="U241" s="32"/>
      <c r="V241" s="32"/>
      <c r="W241" s="32"/>
      <c r="X241" s="32"/>
      <c r="Y241" s="32"/>
      <c r="Z241" s="32"/>
      <c r="AA241" s="32"/>
      <c r="AB241" s="32"/>
      <c r="AC241" s="32"/>
      <c r="AD241" s="32"/>
      <c r="AE241" s="32"/>
      <c r="AF241" s="32"/>
      <c r="AG241" s="32"/>
      <c r="AH241" s="32"/>
      <c r="AI241" s="32"/>
      <c r="AJ241" s="32"/>
    </row>
    <row r="242">
      <c r="A242" s="32"/>
      <c r="B242" s="32"/>
      <c r="C242" s="32"/>
      <c r="D242" s="32"/>
      <c r="E242" s="32"/>
      <c r="F242" s="32"/>
      <c r="G242" s="32"/>
      <c r="H242" s="32"/>
      <c r="I242" s="32"/>
      <c r="J242" s="32"/>
      <c r="K242" s="32"/>
      <c r="L242" s="32"/>
      <c r="M242" s="32"/>
      <c r="N242" s="32"/>
      <c r="O242" s="32"/>
      <c r="P242" s="32"/>
      <c r="Q242" s="32"/>
      <c r="R242" s="32"/>
      <c r="S242" s="32"/>
      <c r="T242" s="32"/>
      <c r="U242" s="32"/>
      <c r="V242" s="32"/>
      <c r="W242" s="32"/>
      <c r="X242" s="32"/>
      <c r="Y242" s="32"/>
      <c r="Z242" s="32"/>
      <c r="AA242" s="32"/>
      <c r="AB242" s="32"/>
      <c r="AC242" s="32"/>
      <c r="AD242" s="32"/>
      <c r="AE242" s="32"/>
      <c r="AF242" s="32"/>
      <c r="AG242" s="32"/>
      <c r="AH242" s="32"/>
      <c r="AI242" s="32"/>
      <c r="AJ242" s="32"/>
    </row>
    <row r="243">
      <c r="A243" s="32"/>
      <c r="B243" s="32"/>
      <c r="C243" s="32"/>
      <c r="D243" s="32"/>
      <c r="E243" s="32"/>
      <c r="F243" s="32"/>
      <c r="G243" s="32"/>
      <c r="H243" s="32"/>
      <c r="I243" s="32"/>
      <c r="J243" s="32"/>
      <c r="K243" s="32"/>
      <c r="L243" s="32"/>
      <c r="M243" s="32"/>
      <c r="N243" s="32"/>
      <c r="O243" s="32"/>
      <c r="P243" s="32"/>
      <c r="Q243" s="32"/>
      <c r="R243" s="32"/>
      <c r="S243" s="32"/>
      <c r="T243" s="32"/>
      <c r="U243" s="32"/>
      <c r="V243" s="32"/>
      <c r="W243" s="32"/>
      <c r="X243" s="32"/>
      <c r="Y243" s="32"/>
      <c r="Z243" s="32"/>
      <c r="AA243" s="32"/>
      <c r="AB243" s="32"/>
      <c r="AC243" s="32"/>
      <c r="AD243" s="32"/>
      <c r="AE243" s="32"/>
      <c r="AF243" s="32"/>
      <c r="AG243" s="32"/>
      <c r="AH243" s="32"/>
      <c r="AI243" s="32"/>
      <c r="AJ243" s="32"/>
    </row>
    <row r="244">
      <c r="A244" s="32"/>
      <c r="B244" s="32"/>
      <c r="C244" s="32"/>
      <c r="D244" s="32"/>
      <c r="E244" s="32"/>
      <c r="F244" s="32"/>
      <c r="G244" s="32"/>
      <c r="H244" s="32"/>
      <c r="I244" s="32"/>
      <c r="J244" s="32"/>
      <c r="K244" s="32"/>
      <c r="L244" s="32"/>
      <c r="M244" s="32"/>
      <c r="N244" s="32"/>
      <c r="O244" s="32"/>
      <c r="P244" s="32"/>
      <c r="Q244" s="32"/>
      <c r="R244" s="32"/>
      <c r="S244" s="32"/>
      <c r="T244" s="32"/>
      <c r="U244" s="32"/>
      <c r="V244" s="32"/>
      <c r="W244" s="32"/>
      <c r="X244" s="32"/>
      <c r="Y244" s="32"/>
      <c r="Z244" s="32"/>
      <c r="AA244" s="32"/>
      <c r="AB244" s="32"/>
      <c r="AC244" s="32"/>
      <c r="AD244" s="32"/>
      <c r="AE244" s="32"/>
      <c r="AF244" s="32"/>
      <c r="AG244" s="32"/>
      <c r="AH244" s="32"/>
      <c r="AI244" s="32"/>
      <c r="AJ244" s="32"/>
    </row>
    <row r="245">
      <c r="A245" s="32"/>
      <c r="B245" s="32"/>
      <c r="C245" s="32"/>
      <c r="D245" s="32"/>
      <c r="E245" s="32"/>
      <c r="F245" s="32"/>
      <c r="G245" s="32"/>
      <c r="H245" s="32"/>
      <c r="I245" s="32"/>
      <c r="J245" s="32"/>
      <c r="K245" s="32"/>
      <c r="L245" s="32"/>
      <c r="M245" s="32"/>
      <c r="N245" s="32"/>
      <c r="O245" s="32"/>
      <c r="P245" s="32"/>
      <c r="Q245" s="32"/>
      <c r="R245" s="32"/>
      <c r="S245" s="32"/>
      <c r="T245" s="32"/>
      <c r="U245" s="32"/>
      <c r="V245" s="32"/>
      <c r="W245" s="32"/>
      <c r="X245" s="32"/>
      <c r="Y245" s="32"/>
      <c r="Z245" s="32"/>
      <c r="AA245" s="32"/>
      <c r="AB245" s="32"/>
      <c r="AC245" s="32"/>
      <c r="AD245" s="32"/>
      <c r="AE245" s="32"/>
      <c r="AF245" s="32"/>
      <c r="AG245" s="32"/>
      <c r="AH245" s="32"/>
      <c r="AI245" s="32"/>
      <c r="AJ245" s="32"/>
    </row>
    <row r="246">
      <c r="A246" s="32"/>
      <c r="B246" s="32"/>
      <c r="C246" s="32"/>
      <c r="D246" s="32"/>
      <c r="E246" s="32"/>
      <c r="F246" s="32"/>
      <c r="G246" s="32"/>
      <c r="H246" s="32"/>
      <c r="I246" s="32"/>
      <c r="J246" s="32"/>
      <c r="K246" s="32"/>
      <c r="L246" s="32"/>
      <c r="M246" s="32"/>
      <c r="N246" s="32"/>
      <c r="O246" s="32"/>
      <c r="P246" s="32"/>
      <c r="Q246" s="32"/>
      <c r="R246" s="32"/>
      <c r="S246" s="32"/>
      <c r="T246" s="32"/>
      <c r="U246" s="32"/>
      <c r="V246" s="32"/>
      <c r="W246" s="32"/>
      <c r="X246" s="32"/>
      <c r="Y246" s="32"/>
      <c r="Z246" s="32"/>
      <c r="AA246" s="32"/>
      <c r="AB246" s="32"/>
      <c r="AC246" s="32"/>
      <c r="AD246" s="32"/>
      <c r="AE246" s="32"/>
      <c r="AF246" s="32"/>
      <c r="AG246" s="32"/>
      <c r="AH246" s="32"/>
      <c r="AI246" s="32"/>
      <c r="AJ246" s="32"/>
    </row>
    <row r="247">
      <c r="A247" s="32"/>
      <c r="B247" s="32"/>
      <c r="C247" s="32"/>
      <c r="D247" s="32"/>
      <c r="E247" s="32"/>
      <c r="F247" s="32"/>
      <c r="G247" s="32"/>
      <c r="H247" s="32"/>
      <c r="I247" s="32"/>
      <c r="J247" s="32"/>
      <c r="K247" s="32"/>
      <c r="L247" s="32"/>
      <c r="M247" s="32"/>
      <c r="N247" s="32"/>
      <c r="O247" s="32"/>
      <c r="P247" s="32"/>
      <c r="Q247" s="32"/>
      <c r="R247" s="32"/>
      <c r="S247" s="32"/>
      <c r="T247" s="32"/>
      <c r="U247" s="32"/>
      <c r="V247" s="32"/>
      <c r="W247" s="32"/>
      <c r="X247" s="32"/>
      <c r="Y247" s="32"/>
      <c r="Z247" s="32"/>
      <c r="AA247" s="32"/>
      <c r="AB247" s="32"/>
      <c r="AC247" s="32"/>
      <c r="AD247" s="32"/>
      <c r="AE247" s="32"/>
      <c r="AF247" s="32"/>
      <c r="AG247" s="32"/>
      <c r="AH247" s="32"/>
      <c r="AI247" s="32"/>
      <c r="AJ247" s="32"/>
    </row>
    <row r="248">
      <c r="A248" s="32"/>
      <c r="B248" s="32"/>
      <c r="C248" s="32"/>
      <c r="D248" s="32"/>
      <c r="E248" s="32"/>
      <c r="F248" s="32"/>
      <c r="G248" s="32"/>
      <c r="H248" s="32"/>
      <c r="I248" s="32"/>
      <c r="J248" s="32"/>
      <c r="K248" s="32"/>
      <c r="L248" s="32"/>
      <c r="M248" s="32"/>
      <c r="N248" s="32"/>
      <c r="O248" s="32"/>
      <c r="P248" s="32"/>
      <c r="Q248" s="32"/>
      <c r="R248" s="32"/>
      <c r="S248" s="32"/>
      <c r="T248" s="32"/>
      <c r="U248" s="32"/>
      <c r="V248" s="32"/>
      <c r="W248" s="32"/>
      <c r="X248" s="32"/>
      <c r="Y248" s="32"/>
      <c r="Z248" s="32"/>
      <c r="AA248" s="32"/>
      <c r="AB248" s="32"/>
      <c r="AC248" s="32"/>
      <c r="AD248" s="32"/>
      <c r="AE248" s="32"/>
      <c r="AF248" s="32"/>
      <c r="AG248" s="32"/>
      <c r="AH248" s="32"/>
      <c r="AI248" s="32"/>
      <c r="AJ248" s="32"/>
    </row>
    <row r="249">
      <c r="A249" s="32"/>
      <c r="B249" s="32"/>
      <c r="C249" s="32"/>
      <c r="D249" s="32"/>
      <c r="E249" s="32"/>
      <c r="F249" s="32"/>
      <c r="G249" s="32"/>
      <c r="H249" s="32"/>
      <c r="I249" s="32"/>
      <c r="J249" s="32"/>
      <c r="K249" s="32"/>
      <c r="L249" s="32"/>
      <c r="M249" s="32"/>
      <c r="N249" s="32"/>
      <c r="O249" s="32"/>
      <c r="P249" s="32"/>
      <c r="Q249" s="32"/>
      <c r="R249" s="32"/>
      <c r="S249" s="32"/>
      <c r="T249" s="32"/>
      <c r="U249" s="32"/>
      <c r="V249" s="32"/>
      <c r="W249" s="32"/>
      <c r="X249" s="32"/>
      <c r="Y249" s="32"/>
      <c r="Z249" s="32"/>
      <c r="AA249" s="32"/>
      <c r="AB249" s="32"/>
      <c r="AC249" s="32"/>
      <c r="AD249" s="32"/>
      <c r="AE249" s="32"/>
      <c r="AF249" s="32"/>
      <c r="AG249" s="32"/>
      <c r="AH249" s="32"/>
      <c r="AI249" s="32"/>
      <c r="AJ249" s="32"/>
    </row>
    <row r="250">
      <c r="A250" s="32"/>
      <c r="B250" s="32"/>
      <c r="C250" s="32"/>
      <c r="D250" s="32"/>
      <c r="E250" s="32"/>
      <c r="F250" s="32"/>
      <c r="G250" s="32"/>
      <c r="H250" s="32"/>
      <c r="I250" s="32"/>
      <c r="J250" s="32"/>
      <c r="K250" s="32"/>
      <c r="L250" s="32"/>
      <c r="M250" s="32"/>
      <c r="N250" s="32"/>
      <c r="O250" s="32"/>
      <c r="P250" s="32"/>
      <c r="Q250" s="32"/>
      <c r="R250" s="32"/>
      <c r="S250" s="32"/>
      <c r="T250" s="32"/>
      <c r="U250" s="32"/>
      <c r="V250" s="32"/>
      <c r="W250" s="32"/>
      <c r="X250" s="32"/>
      <c r="Y250" s="32"/>
      <c r="Z250" s="32"/>
      <c r="AA250" s="32"/>
      <c r="AB250" s="32"/>
      <c r="AC250" s="32"/>
      <c r="AD250" s="32"/>
      <c r="AE250" s="32"/>
      <c r="AF250" s="32"/>
      <c r="AG250" s="32"/>
      <c r="AH250" s="32"/>
      <c r="AI250" s="32"/>
      <c r="AJ250" s="32"/>
    </row>
    <row r="251">
      <c r="A251" s="32"/>
      <c r="B251" s="32"/>
      <c r="C251" s="32"/>
      <c r="D251" s="32"/>
      <c r="E251" s="32"/>
      <c r="F251" s="32"/>
      <c r="G251" s="32"/>
      <c r="H251" s="32"/>
      <c r="I251" s="32"/>
      <c r="J251" s="32"/>
      <c r="K251" s="32"/>
      <c r="L251" s="32"/>
      <c r="M251" s="32"/>
      <c r="N251" s="32"/>
      <c r="O251" s="32"/>
      <c r="P251" s="32"/>
      <c r="Q251" s="32"/>
      <c r="R251" s="32"/>
      <c r="S251" s="32"/>
      <c r="T251" s="32"/>
      <c r="U251" s="32"/>
      <c r="V251" s="32"/>
      <c r="W251" s="32"/>
      <c r="X251" s="32"/>
      <c r="Y251" s="32"/>
      <c r="Z251" s="32"/>
      <c r="AA251" s="32"/>
      <c r="AB251" s="32"/>
      <c r="AC251" s="32"/>
      <c r="AD251" s="32"/>
      <c r="AE251" s="32"/>
      <c r="AF251" s="32"/>
      <c r="AG251" s="32"/>
      <c r="AH251" s="32"/>
      <c r="AI251" s="32"/>
      <c r="AJ251" s="32"/>
    </row>
    <row r="252">
      <c r="A252" s="32"/>
      <c r="B252" s="32"/>
      <c r="C252" s="32"/>
      <c r="D252" s="32"/>
      <c r="E252" s="32"/>
      <c r="F252" s="32"/>
      <c r="G252" s="32"/>
      <c r="H252" s="32"/>
      <c r="I252" s="32"/>
      <c r="J252" s="32"/>
      <c r="K252" s="32"/>
      <c r="L252" s="32"/>
      <c r="M252" s="32"/>
      <c r="N252" s="32"/>
      <c r="O252" s="32"/>
      <c r="P252" s="32"/>
      <c r="Q252" s="32"/>
      <c r="R252" s="32"/>
      <c r="S252" s="32"/>
      <c r="T252" s="32"/>
      <c r="U252" s="32"/>
      <c r="V252" s="32"/>
      <c r="W252" s="32"/>
      <c r="X252" s="32"/>
      <c r="Y252" s="32"/>
      <c r="Z252" s="32"/>
      <c r="AA252" s="32"/>
      <c r="AB252" s="32"/>
      <c r="AC252" s="32"/>
      <c r="AD252" s="32"/>
      <c r="AE252" s="32"/>
      <c r="AF252" s="32"/>
      <c r="AG252" s="32"/>
      <c r="AH252" s="32"/>
      <c r="AI252" s="32"/>
      <c r="AJ252" s="32"/>
    </row>
    <row r="253">
      <c r="A253" s="32"/>
      <c r="B253" s="32"/>
      <c r="C253" s="32"/>
      <c r="D253" s="32"/>
      <c r="E253" s="32"/>
      <c r="F253" s="32"/>
      <c r="G253" s="32"/>
      <c r="H253" s="32"/>
      <c r="I253" s="32"/>
      <c r="J253" s="32"/>
      <c r="K253" s="32"/>
      <c r="L253" s="32"/>
      <c r="M253" s="32"/>
      <c r="N253" s="32"/>
      <c r="O253" s="32"/>
      <c r="P253" s="32"/>
      <c r="Q253" s="32"/>
      <c r="R253" s="32"/>
      <c r="S253" s="32"/>
      <c r="T253" s="32"/>
      <c r="U253" s="32"/>
      <c r="V253" s="32"/>
      <c r="W253" s="32"/>
      <c r="X253" s="32"/>
      <c r="Y253" s="32"/>
      <c r="Z253" s="32"/>
      <c r="AA253" s="32"/>
      <c r="AB253" s="32"/>
      <c r="AC253" s="32"/>
      <c r="AD253" s="32"/>
      <c r="AE253" s="32"/>
      <c r="AF253" s="32"/>
      <c r="AG253" s="32"/>
      <c r="AH253" s="32"/>
      <c r="AI253" s="32"/>
      <c r="AJ253" s="32"/>
    </row>
    <row r="254">
      <c r="A254" s="32"/>
      <c r="B254" s="32"/>
      <c r="C254" s="32"/>
      <c r="D254" s="32"/>
      <c r="E254" s="32"/>
      <c r="F254" s="32"/>
      <c r="G254" s="32"/>
      <c r="H254" s="32"/>
      <c r="I254" s="32"/>
      <c r="J254" s="32"/>
      <c r="K254" s="32"/>
      <c r="L254" s="32"/>
      <c r="M254" s="32"/>
      <c r="N254" s="32"/>
      <c r="O254" s="32"/>
      <c r="P254" s="32"/>
      <c r="Q254" s="32"/>
      <c r="R254" s="32"/>
      <c r="S254" s="32"/>
      <c r="T254" s="32"/>
      <c r="U254" s="32"/>
      <c r="V254" s="32"/>
      <c r="W254" s="32"/>
      <c r="X254" s="32"/>
      <c r="Y254" s="32"/>
      <c r="Z254" s="32"/>
      <c r="AA254" s="32"/>
      <c r="AB254" s="32"/>
      <c r="AC254" s="32"/>
      <c r="AD254" s="32"/>
      <c r="AE254" s="32"/>
      <c r="AF254" s="32"/>
      <c r="AG254" s="32"/>
      <c r="AH254" s="32"/>
      <c r="AI254" s="32"/>
      <c r="AJ254" s="32"/>
    </row>
    <row r="255">
      <c r="A255" s="32"/>
      <c r="B255" s="32"/>
      <c r="C255" s="32"/>
      <c r="D255" s="32"/>
      <c r="E255" s="32"/>
      <c r="F255" s="32"/>
      <c r="G255" s="32"/>
      <c r="H255" s="32"/>
      <c r="I255" s="32"/>
      <c r="J255" s="32"/>
      <c r="K255" s="32"/>
      <c r="L255" s="32"/>
      <c r="M255" s="32"/>
      <c r="N255" s="32"/>
      <c r="O255" s="32"/>
      <c r="P255" s="32"/>
      <c r="Q255" s="32"/>
      <c r="R255" s="32"/>
      <c r="S255" s="32"/>
      <c r="T255" s="32"/>
      <c r="U255" s="32"/>
      <c r="V255" s="32"/>
      <c r="W255" s="32"/>
      <c r="X255" s="32"/>
      <c r="Y255" s="32"/>
      <c r="Z255" s="32"/>
      <c r="AA255" s="32"/>
      <c r="AB255" s="32"/>
      <c r="AC255" s="32"/>
      <c r="AD255" s="32"/>
      <c r="AE255" s="32"/>
      <c r="AF255" s="32"/>
      <c r="AG255" s="32"/>
      <c r="AH255" s="32"/>
      <c r="AI255" s="32"/>
      <c r="AJ255" s="32"/>
    </row>
    <row r="256">
      <c r="A256" s="32"/>
      <c r="B256" s="32"/>
      <c r="C256" s="32"/>
      <c r="D256" s="32"/>
      <c r="E256" s="32"/>
      <c r="F256" s="32"/>
      <c r="G256" s="32"/>
      <c r="H256" s="32"/>
      <c r="I256" s="32"/>
      <c r="J256" s="32"/>
      <c r="K256" s="32"/>
      <c r="L256" s="32"/>
      <c r="M256" s="32"/>
      <c r="N256" s="32"/>
      <c r="O256" s="32"/>
      <c r="P256" s="32"/>
      <c r="Q256" s="32"/>
      <c r="R256" s="32"/>
      <c r="S256" s="32"/>
      <c r="T256" s="32"/>
      <c r="U256" s="32"/>
      <c r="V256" s="32"/>
      <c r="W256" s="32"/>
      <c r="X256" s="32"/>
      <c r="Y256" s="32"/>
      <c r="Z256" s="32"/>
      <c r="AA256" s="32"/>
      <c r="AB256" s="32"/>
      <c r="AC256" s="32"/>
      <c r="AD256" s="32"/>
      <c r="AE256" s="32"/>
      <c r="AF256" s="32"/>
      <c r="AG256" s="32"/>
      <c r="AH256" s="32"/>
      <c r="AI256" s="32"/>
      <c r="AJ256" s="32"/>
    </row>
    <row r="257">
      <c r="A257" s="32"/>
      <c r="B257" s="32"/>
      <c r="C257" s="32"/>
      <c r="D257" s="32"/>
      <c r="E257" s="32"/>
      <c r="F257" s="32"/>
      <c r="G257" s="32"/>
      <c r="H257" s="32"/>
      <c r="I257" s="32"/>
      <c r="J257" s="32"/>
      <c r="K257" s="32"/>
      <c r="L257" s="32"/>
      <c r="M257" s="32"/>
      <c r="N257" s="32"/>
      <c r="O257" s="32"/>
      <c r="P257" s="32"/>
      <c r="Q257" s="32"/>
      <c r="R257" s="32"/>
      <c r="S257" s="32"/>
      <c r="T257" s="32"/>
      <c r="U257" s="32"/>
      <c r="V257" s="32"/>
      <c r="W257" s="32"/>
      <c r="X257" s="32"/>
      <c r="Y257" s="32"/>
      <c r="Z257" s="32"/>
      <c r="AA257" s="32"/>
      <c r="AB257" s="32"/>
      <c r="AC257" s="32"/>
      <c r="AD257" s="32"/>
      <c r="AE257" s="32"/>
      <c r="AF257" s="32"/>
      <c r="AG257" s="32"/>
      <c r="AH257" s="32"/>
      <c r="AI257" s="32"/>
      <c r="AJ257" s="32"/>
    </row>
    <row r="258">
      <c r="A258" s="32"/>
      <c r="B258" s="32"/>
      <c r="C258" s="32"/>
      <c r="D258" s="32"/>
      <c r="E258" s="32"/>
      <c r="F258" s="32"/>
      <c r="G258" s="32"/>
      <c r="H258" s="32"/>
      <c r="I258" s="32"/>
      <c r="J258" s="32"/>
      <c r="K258" s="32"/>
      <c r="L258" s="32"/>
      <c r="M258" s="32"/>
      <c r="N258" s="32"/>
      <c r="O258" s="32"/>
      <c r="P258" s="32"/>
      <c r="Q258" s="32"/>
      <c r="R258" s="32"/>
      <c r="S258" s="32"/>
      <c r="T258" s="32"/>
      <c r="U258" s="32"/>
      <c r="V258" s="32"/>
      <c r="W258" s="32"/>
      <c r="X258" s="32"/>
      <c r="Y258" s="32"/>
      <c r="Z258" s="32"/>
      <c r="AA258" s="32"/>
      <c r="AB258" s="32"/>
      <c r="AC258" s="32"/>
      <c r="AD258" s="32"/>
      <c r="AE258" s="32"/>
      <c r="AF258" s="32"/>
      <c r="AG258" s="32"/>
      <c r="AH258" s="32"/>
      <c r="AI258" s="32"/>
      <c r="AJ258" s="32"/>
    </row>
    <row r="259">
      <c r="A259" s="32"/>
      <c r="B259" s="32"/>
      <c r="C259" s="32"/>
      <c r="D259" s="32"/>
      <c r="E259" s="32"/>
      <c r="F259" s="32"/>
      <c r="G259" s="32"/>
      <c r="H259" s="32"/>
      <c r="I259" s="32"/>
      <c r="J259" s="32"/>
      <c r="K259" s="32"/>
      <c r="L259" s="32"/>
      <c r="M259" s="32"/>
      <c r="N259" s="32"/>
      <c r="O259" s="32"/>
      <c r="P259" s="32"/>
      <c r="Q259" s="32"/>
      <c r="R259" s="32"/>
      <c r="S259" s="32"/>
      <c r="T259" s="32"/>
      <c r="U259" s="32"/>
      <c r="V259" s="32"/>
      <c r="W259" s="32"/>
      <c r="X259" s="32"/>
      <c r="Y259" s="32"/>
      <c r="Z259" s="32"/>
      <c r="AA259" s="32"/>
      <c r="AB259" s="32"/>
      <c r="AC259" s="32"/>
      <c r="AD259" s="32"/>
      <c r="AE259" s="32"/>
      <c r="AF259" s="32"/>
      <c r="AG259" s="32"/>
      <c r="AH259" s="32"/>
      <c r="AI259" s="32"/>
      <c r="AJ259" s="32"/>
    </row>
    <row r="260">
      <c r="A260" s="32"/>
      <c r="B260" s="32"/>
      <c r="C260" s="32"/>
      <c r="D260" s="32"/>
      <c r="E260" s="32"/>
      <c r="F260" s="32"/>
      <c r="G260" s="32"/>
      <c r="H260" s="32"/>
      <c r="I260" s="32"/>
      <c r="J260" s="32"/>
      <c r="K260" s="32"/>
      <c r="L260" s="32"/>
      <c r="M260" s="32"/>
      <c r="N260" s="32"/>
      <c r="O260" s="32"/>
      <c r="P260" s="32"/>
      <c r="Q260" s="32"/>
      <c r="R260" s="32"/>
      <c r="S260" s="32"/>
      <c r="T260" s="32"/>
      <c r="U260" s="32"/>
      <c r="V260" s="32"/>
      <c r="W260" s="32"/>
      <c r="X260" s="32"/>
      <c r="Y260" s="32"/>
      <c r="Z260" s="32"/>
      <c r="AA260" s="32"/>
      <c r="AB260" s="32"/>
      <c r="AC260" s="32"/>
      <c r="AD260" s="32"/>
      <c r="AE260" s="32"/>
      <c r="AF260" s="32"/>
      <c r="AG260" s="32"/>
      <c r="AH260" s="32"/>
      <c r="AI260" s="32"/>
      <c r="AJ260" s="32"/>
    </row>
    <row r="261">
      <c r="A261" s="32"/>
      <c r="B261" s="32"/>
      <c r="C261" s="32"/>
      <c r="D261" s="32"/>
      <c r="E261" s="32"/>
      <c r="F261" s="32"/>
      <c r="G261" s="32"/>
      <c r="H261" s="32"/>
      <c r="I261" s="32"/>
      <c r="J261" s="32"/>
      <c r="K261" s="32"/>
      <c r="L261" s="32"/>
      <c r="M261" s="32"/>
      <c r="N261" s="32"/>
      <c r="O261" s="32"/>
      <c r="P261" s="32"/>
      <c r="Q261" s="32"/>
      <c r="R261" s="32"/>
      <c r="S261" s="32"/>
      <c r="T261" s="32"/>
      <c r="U261" s="32"/>
      <c r="V261" s="32"/>
      <c r="W261" s="32"/>
      <c r="X261" s="32"/>
      <c r="Y261" s="32"/>
      <c r="Z261" s="32"/>
      <c r="AA261" s="32"/>
      <c r="AB261" s="32"/>
      <c r="AC261" s="32"/>
      <c r="AD261" s="32"/>
      <c r="AE261" s="32"/>
      <c r="AF261" s="32"/>
      <c r="AG261" s="32"/>
      <c r="AH261" s="32"/>
      <c r="AI261" s="32"/>
      <c r="AJ261" s="32"/>
    </row>
    <row r="262">
      <c r="A262" s="32"/>
      <c r="B262" s="32"/>
      <c r="C262" s="32"/>
      <c r="D262" s="32"/>
      <c r="E262" s="32"/>
      <c r="F262" s="32"/>
      <c r="G262" s="32"/>
      <c r="H262" s="32"/>
      <c r="I262" s="32"/>
      <c r="J262" s="32"/>
      <c r="K262" s="32"/>
      <c r="L262" s="32"/>
      <c r="M262" s="32"/>
      <c r="N262" s="32"/>
      <c r="O262" s="32"/>
      <c r="P262" s="32"/>
      <c r="Q262" s="32"/>
      <c r="R262" s="32"/>
      <c r="S262" s="32"/>
      <c r="T262" s="32"/>
      <c r="U262" s="32"/>
      <c r="V262" s="32"/>
      <c r="W262" s="32"/>
      <c r="X262" s="32"/>
      <c r="Y262" s="32"/>
      <c r="Z262" s="32"/>
      <c r="AA262" s="32"/>
      <c r="AB262" s="32"/>
      <c r="AC262" s="32"/>
      <c r="AD262" s="32"/>
      <c r="AE262" s="32"/>
      <c r="AF262" s="32"/>
      <c r="AG262" s="32"/>
      <c r="AH262" s="32"/>
      <c r="AI262" s="32"/>
      <c r="AJ262" s="32"/>
    </row>
    <row r="263">
      <c r="A263" s="32"/>
      <c r="B263" s="32"/>
      <c r="C263" s="32"/>
      <c r="D263" s="32"/>
      <c r="E263" s="32"/>
      <c r="F263" s="32"/>
      <c r="G263" s="32"/>
      <c r="H263" s="32"/>
      <c r="I263" s="32"/>
      <c r="J263" s="32"/>
      <c r="K263" s="32"/>
      <c r="L263" s="32"/>
      <c r="M263" s="32"/>
      <c r="N263" s="32"/>
      <c r="O263" s="32"/>
      <c r="P263" s="32"/>
      <c r="Q263" s="32"/>
      <c r="R263" s="32"/>
      <c r="S263" s="32"/>
      <c r="T263" s="32"/>
      <c r="U263" s="32"/>
      <c r="V263" s="32"/>
      <c r="W263" s="32"/>
      <c r="X263" s="32"/>
      <c r="Y263" s="32"/>
      <c r="Z263" s="32"/>
      <c r="AA263" s="32"/>
      <c r="AB263" s="32"/>
      <c r="AC263" s="32"/>
      <c r="AD263" s="32"/>
      <c r="AE263" s="32"/>
      <c r="AF263" s="32"/>
      <c r="AG263" s="32"/>
      <c r="AH263" s="32"/>
      <c r="AI263" s="32"/>
      <c r="AJ263" s="32"/>
    </row>
    <row r="264">
      <c r="A264" s="32"/>
      <c r="B264" s="32"/>
      <c r="C264" s="32"/>
      <c r="D264" s="32"/>
      <c r="E264" s="32"/>
      <c r="F264" s="32"/>
      <c r="G264" s="32"/>
      <c r="H264" s="32"/>
      <c r="I264" s="32"/>
      <c r="J264" s="32"/>
      <c r="K264" s="32"/>
      <c r="L264" s="32"/>
      <c r="M264" s="32"/>
      <c r="N264" s="32"/>
      <c r="O264" s="32"/>
      <c r="P264" s="32"/>
      <c r="Q264" s="32"/>
      <c r="R264" s="32"/>
      <c r="S264" s="32"/>
      <c r="T264" s="32"/>
      <c r="U264" s="32"/>
      <c r="V264" s="32"/>
      <c r="W264" s="32"/>
      <c r="X264" s="32"/>
      <c r="Y264" s="32"/>
      <c r="Z264" s="32"/>
      <c r="AA264" s="32"/>
      <c r="AB264" s="32"/>
      <c r="AC264" s="32"/>
      <c r="AD264" s="32"/>
      <c r="AE264" s="32"/>
      <c r="AF264" s="32"/>
      <c r="AG264" s="32"/>
      <c r="AH264" s="32"/>
      <c r="AI264" s="32"/>
      <c r="AJ264" s="32"/>
    </row>
    <row r="265">
      <c r="A265" s="32"/>
      <c r="B265" s="32"/>
      <c r="C265" s="32"/>
      <c r="D265" s="32"/>
      <c r="E265" s="32"/>
      <c r="F265" s="32"/>
      <c r="G265" s="32"/>
      <c r="H265" s="32"/>
      <c r="I265" s="32"/>
      <c r="J265" s="32"/>
      <c r="K265" s="32"/>
      <c r="L265" s="32"/>
      <c r="M265" s="32"/>
      <c r="N265" s="32"/>
      <c r="O265" s="32"/>
      <c r="P265" s="32"/>
      <c r="Q265" s="32"/>
      <c r="R265" s="32"/>
      <c r="S265" s="32"/>
      <c r="T265" s="32"/>
      <c r="U265" s="32"/>
      <c r="V265" s="32"/>
      <c r="W265" s="32"/>
      <c r="X265" s="32"/>
      <c r="Y265" s="32"/>
      <c r="Z265" s="32"/>
      <c r="AA265" s="32"/>
      <c r="AB265" s="32"/>
      <c r="AC265" s="32"/>
      <c r="AD265" s="32"/>
      <c r="AE265" s="32"/>
      <c r="AF265" s="32"/>
      <c r="AG265" s="32"/>
      <c r="AH265" s="32"/>
      <c r="AI265" s="32"/>
      <c r="AJ265" s="32"/>
    </row>
    <row r="266">
      <c r="A266" s="32"/>
      <c r="B266" s="32"/>
      <c r="C266" s="32"/>
      <c r="D266" s="32"/>
      <c r="E266" s="32"/>
      <c r="F266" s="32"/>
      <c r="G266" s="32"/>
      <c r="H266" s="32"/>
      <c r="I266" s="32"/>
      <c r="J266" s="32"/>
      <c r="K266" s="32"/>
      <c r="L266" s="32"/>
      <c r="M266" s="32"/>
      <c r="N266" s="32"/>
      <c r="O266" s="32"/>
      <c r="P266" s="32"/>
      <c r="Q266" s="32"/>
      <c r="R266" s="32"/>
      <c r="S266" s="32"/>
      <c r="T266" s="32"/>
      <c r="U266" s="32"/>
      <c r="V266" s="32"/>
      <c r="W266" s="32"/>
      <c r="X266" s="32"/>
      <c r="Y266" s="32"/>
      <c r="Z266" s="32"/>
      <c r="AA266" s="32"/>
      <c r="AB266" s="32"/>
      <c r="AC266" s="32"/>
      <c r="AD266" s="32"/>
      <c r="AE266" s="32"/>
      <c r="AF266" s="32"/>
      <c r="AG266" s="32"/>
      <c r="AH266" s="32"/>
      <c r="AI266" s="32"/>
      <c r="AJ266" s="32"/>
    </row>
    <row r="267">
      <c r="A267" s="32"/>
      <c r="B267" s="32"/>
      <c r="C267" s="32"/>
      <c r="D267" s="32"/>
      <c r="E267" s="32"/>
      <c r="F267" s="32"/>
      <c r="G267" s="32"/>
      <c r="H267" s="32"/>
      <c r="I267" s="32"/>
      <c r="J267" s="32"/>
      <c r="K267" s="32"/>
      <c r="L267" s="32"/>
      <c r="M267" s="32"/>
      <c r="N267" s="32"/>
      <c r="O267" s="32"/>
      <c r="P267" s="32"/>
      <c r="Q267" s="32"/>
      <c r="R267" s="32"/>
      <c r="S267" s="32"/>
      <c r="T267" s="32"/>
      <c r="U267" s="32"/>
      <c r="V267" s="32"/>
      <c r="W267" s="32"/>
      <c r="X267" s="32"/>
      <c r="Y267" s="32"/>
      <c r="Z267" s="32"/>
      <c r="AA267" s="32"/>
      <c r="AB267" s="32"/>
      <c r="AC267" s="32"/>
      <c r="AD267" s="32"/>
      <c r="AE267" s="32"/>
      <c r="AF267" s="32"/>
      <c r="AG267" s="32"/>
      <c r="AH267" s="32"/>
      <c r="AI267" s="32"/>
      <c r="AJ267" s="32"/>
    </row>
    <row r="268">
      <c r="A268" s="32"/>
      <c r="B268" s="32"/>
      <c r="C268" s="32"/>
      <c r="D268" s="32"/>
      <c r="E268" s="32"/>
      <c r="F268" s="32"/>
      <c r="G268" s="32"/>
      <c r="H268" s="32"/>
      <c r="I268" s="32"/>
      <c r="J268" s="32"/>
      <c r="K268" s="32"/>
      <c r="L268" s="32"/>
      <c r="M268" s="32"/>
      <c r="N268" s="32"/>
      <c r="O268" s="32"/>
      <c r="P268" s="32"/>
      <c r="Q268" s="32"/>
      <c r="R268" s="32"/>
      <c r="S268" s="32"/>
      <c r="T268" s="32"/>
      <c r="U268" s="32"/>
      <c r="V268" s="32"/>
      <c r="W268" s="32"/>
      <c r="X268" s="32"/>
      <c r="Y268" s="32"/>
      <c r="Z268" s="32"/>
      <c r="AA268" s="32"/>
      <c r="AB268" s="32"/>
      <c r="AC268" s="32"/>
      <c r="AD268" s="32"/>
      <c r="AE268" s="32"/>
      <c r="AF268" s="32"/>
      <c r="AG268" s="32"/>
      <c r="AH268" s="32"/>
      <c r="AI268" s="32"/>
      <c r="AJ268" s="32"/>
    </row>
    <row r="269">
      <c r="A269" s="32"/>
      <c r="B269" s="32"/>
      <c r="C269" s="32"/>
      <c r="D269" s="32"/>
      <c r="E269" s="32"/>
      <c r="F269" s="32"/>
      <c r="G269" s="32"/>
      <c r="H269" s="32"/>
      <c r="I269" s="32"/>
      <c r="J269" s="32"/>
      <c r="K269" s="32"/>
      <c r="L269" s="32"/>
      <c r="M269" s="32"/>
      <c r="N269" s="32"/>
      <c r="O269" s="32"/>
      <c r="P269" s="32"/>
      <c r="Q269" s="32"/>
      <c r="R269" s="32"/>
      <c r="S269" s="32"/>
      <c r="T269" s="32"/>
      <c r="U269" s="32"/>
      <c r="V269" s="32"/>
      <c r="W269" s="32"/>
      <c r="X269" s="32"/>
      <c r="Y269" s="32"/>
      <c r="Z269" s="32"/>
      <c r="AA269" s="32"/>
      <c r="AB269" s="32"/>
      <c r="AC269" s="32"/>
      <c r="AD269" s="32"/>
      <c r="AE269" s="32"/>
      <c r="AF269" s="32"/>
      <c r="AG269" s="32"/>
      <c r="AH269" s="32"/>
      <c r="AI269" s="32"/>
      <c r="AJ269" s="32"/>
    </row>
    <row r="270">
      <c r="A270" s="32"/>
      <c r="B270" s="32"/>
      <c r="C270" s="32"/>
      <c r="D270" s="32"/>
      <c r="E270" s="32"/>
      <c r="F270" s="32"/>
      <c r="G270" s="32"/>
      <c r="H270" s="32"/>
      <c r="I270" s="32"/>
      <c r="J270" s="32"/>
      <c r="K270" s="32"/>
      <c r="L270" s="32"/>
      <c r="M270" s="32"/>
      <c r="N270" s="32"/>
      <c r="O270" s="32"/>
      <c r="P270" s="32"/>
      <c r="Q270" s="32"/>
      <c r="R270" s="32"/>
      <c r="S270" s="32"/>
      <c r="T270" s="32"/>
      <c r="U270" s="32"/>
      <c r="V270" s="32"/>
      <c r="W270" s="32"/>
      <c r="X270" s="32"/>
      <c r="Y270" s="32"/>
      <c r="Z270" s="32"/>
      <c r="AA270" s="32"/>
      <c r="AB270" s="32"/>
      <c r="AC270" s="32"/>
      <c r="AD270" s="32"/>
      <c r="AE270" s="32"/>
      <c r="AF270" s="32"/>
      <c r="AG270" s="32"/>
      <c r="AH270" s="32"/>
      <c r="AI270" s="32"/>
      <c r="AJ270" s="32"/>
    </row>
    <row r="271">
      <c r="A271" s="32"/>
      <c r="B271" s="32"/>
      <c r="C271" s="32"/>
      <c r="D271" s="32"/>
      <c r="E271" s="32"/>
      <c r="F271" s="32"/>
      <c r="G271" s="32"/>
      <c r="H271" s="32"/>
      <c r="I271" s="32"/>
      <c r="J271" s="32"/>
      <c r="K271" s="32"/>
      <c r="L271" s="32"/>
      <c r="M271" s="32"/>
      <c r="N271" s="32"/>
      <c r="O271" s="32"/>
      <c r="P271" s="32"/>
      <c r="Q271" s="32"/>
      <c r="R271" s="32"/>
      <c r="S271" s="32"/>
      <c r="T271" s="32"/>
      <c r="U271" s="32"/>
      <c r="V271" s="32"/>
      <c r="W271" s="32"/>
      <c r="X271" s="32"/>
      <c r="Y271" s="32"/>
      <c r="Z271" s="32"/>
      <c r="AA271" s="32"/>
      <c r="AB271" s="32"/>
      <c r="AC271" s="32"/>
      <c r="AD271" s="32"/>
      <c r="AE271" s="32"/>
      <c r="AF271" s="32"/>
      <c r="AG271" s="32"/>
      <c r="AH271" s="32"/>
      <c r="AI271" s="32"/>
      <c r="AJ271" s="32"/>
    </row>
    <row r="272">
      <c r="A272" s="32"/>
      <c r="B272" s="32"/>
      <c r="C272" s="32"/>
      <c r="D272" s="32"/>
      <c r="E272" s="32"/>
      <c r="F272" s="32"/>
      <c r="G272" s="32"/>
      <c r="H272" s="32"/>
      <c r="I272" s="32"/>
      <c r="J272" s="32"/>
      <c r="K272" s="32"/>
      <c r="L272" s="32"/>
      <c r="M272" s="32"/>
      <c r="N272" s="32"/>
      <c r="O272" s="32"/>
      <c r="P272" s="32"/>
      <c r="Q272" s="32"/>
      <c r="R272" s="32"/>
      <c r="S272" s="32"/>
      <c r="T272" s="32"/>
      <c r="U272" s="32"/>
      <c r="V272" s="32"/>
      <c r="W272" s="32"/>
      <c r="X272" s="32"/>
      <c r="Y272" s="32"/>
      <c r="Z272" s="32"/>
      <c r="AA272" s="32"/>
      <c r="AB272" s="32"/>
      <c r="AC272" s="32"/>
      <c r="AD272" s="32"/>
      <c r="AE272" s="32"/>
      <c r="AF272" s="32"/>
      <c r="AG272" s="32"/>
      <c r="AH272" s="32"/>
      <c r="AI272" s="32"/>
      <c r="AJ272" s="32"/>
    </row>
    <row r="273">
      <c r="A273" s="32"/>
      <c r="B273" s="32"/>
      <c r="C273" s="32"/>
      <c r="D273" s="32"/>
      <c r="E273" s="32"/>
      <c r="F273" s="32"/>
      <c r="G273" s="32"/>
      <c r="H273" s="32"/>
      <c r="I273" s="32"/>
      <c r="J273" s="32"/>
      <c r="K273" s="32"/>
      <c r="L273" s="32"/>
      <c r="M273" s="32"/>
      <c r="N273" s="32"/>
      <c r="O273" s="32"/>
      <c r="P273" s="32"/>
      <c r="Q273" s="32"/>
      <c r="R273" s="32"/>
      <c r="S273" s="32"/>
      <c r="T273" s="32"/>
      <c r="U273" s="32"/>
      <c r="V273" s="32"/>
      <c r="W273" s="32"/>
      <c r="X273" s="32"/>
      <c r="Y273" s="32"/>
      <c r="Z273" s="32"/>
      <c r="AA273" s="32"/>
      <c r="AB273" s="32"/>
      <c r="AC273" s="32"/>
      <c r="AD273" s="32"/>
      <c r="AE273" s="32"/>
      <c r="AF273" s="32"/>
      <c r="AG273" s="32"/>
      <c r="AH273" s="32"/>
      <c r="AI273" s="32"/>
      <c r="AJ273" s="32"/>
    </row>
    <row r="274">
      <c r="A274" s="32"/>
      <c r="B274" s="32"/>
      <c r="C274" s="32"/>
      <c r="D274" s="32"/>
      <c r="E274" s="32"/>
      <c r="F274" s="32"/>
      <c r="G274" s="32"/>
      <c r="H274" s="32"/>
      <c r="I274" s="32"/>
      <c r="J274" s="32"/>
      <c r="K274" s="32"/>
      <c r="L274" s="32"/>
      <c r="M274" s="32"/>
      <c r="N274" s="32"/>
      <c r="O274" s="32"/>
      <c r="P274" s="32"/>
      <c r="Q274" s="32"/>
      <c r="R274" s="32"/>
      <c r="S274" s="32"/>
      <c r="T274" s="32"/>
      <c r="U274" s="32"/>
      <c r="V274" s="32"/>
      <c r="W274" s="32"/>
      <c r="X274" s="32"/>
      <c r="Y274" s="32"/>
      <c r="Z274" s="32"/>
      <c r="AA274" s="32"/>
      <c r="AB274" s="32"/>
      <c r="AC274" s="32"/>
      <c r="AD274" s="32"/>
      <c r="AE274" s="32"/>
      <c r="AF274" s="32"/>
      <c r="AG274" s="32"/>
      <c r="AH274" s="32"/>
      <c r="AI274" s="32"/>
      <c r="AJ274" s="32"/>
    </row>
    <row r="275">
      <c r="A275" s="32"/>
      <c r="B275" s="32"/>
      <c r="C275" s="32"/>
      <c r="D275" s="32"/>
      <c r="E275" s="32"/>
      <c r="F275" s="32"/>
      <c r="G275" s="32"/>
      <c r="H275" s="32"/>
      <c r="I275" s="32"/>
      <c r="J275" s="32"/>
      <c r="K275" s="32"/>
      <c r="L275" s="32"/>
      <c r="M275" s="32"/>
      <c r="N275" s="32"/>
      <c r="O275" s="32"/>
      <c r="P275" s="32"/>
      <c r="Q275" s="32"/>
      <c r="R275" s="32"/>
      <c r="S275" s="32"/>
      <c r="T275" s="32"/>
      <c r="U275" s="32"/>
      <c r="V275" s="32"/>
      <c r="W275" s="32"/>
      <c r="X275" s="32"/>
      <c r="Y275" s="32"/>
      <c r="Z275" s="32"/>
      <c r="AA275" s="32"/>
      <c r="AB275" s="32"/>
      <c r="AC275" s="32"/>
      <c r="AD275" s="32"/>
      <c r="AE275" s="32"/>
      <c r="AF275" s="32"/>
      <c r="AG275" s="32"/>
      <c r="AH275" s="32"/>
      <c r="AI275" s="32"/>
      <c r="AJ275" s="32"/>
    </row>
    <row r="276">
      <c r="A276" s="32"/>
      <c r="B276" s="32"/>
      <c r="C276" s="32"/>
      <c r="D276" s="32"/>
      <c r="E276" s="32"/>
      <c r="F276" s="32"/>
      <c r="G276" s="32"/>
      <c r="H276" s="32"/>
      <c r="I276" s="32"/>
      <c r="J276" s="32"/>
      <c r="K276" s="32"/>
      <c r="L276" s="32"/>
      <c r="M276" s="32"/>
      <c r="N276" s="32"/>
      <c r="O276" s="32"/>
      <c r="P276" s="32"/>
      <c r="Q276" s="32"/>
      <c r="R276" s="32"/>
      <c r="S276" s="32"/>
      <c r="T276" s="32"/>
      <c r="U276" s="32"/>
      <c r="V276" s="32"/>
      <c r="W276" s="32"/>
      <c r="X276" s="32"/>
      <c r="Y276" s="32"/>
      <c r="Z276" s="32"/>
      <c r="AA276" s="32"/>
      <c r="AB276" s="32"/>
      <c r="AC276" s="32"/>
      <c r="AD276" s="32"/>
      <c r="AE276" s="32"/>
      <c r="AF276" s="32"/>
      <c r="AG276" s="32"/>
      <c r="AH276" s="32"/>
      <c r="AI276" s="32"/>
      <c r="AJ276" s="32"/>
    </row>
    <row r="277">
      <c r="A277" s="32"/>
      <c r="B277" s="32"/>
      <c r="C277" s="32"/>
      <c r="D277" s="32"/>
      <c r="E277" s="32"/>
      <c r="F277" s="32"/>
      <c r="G277" s="32"/>
      <c r="H277" s="32"/>
      <c r="I277" s="32"/>
      <c r="J277" s="32"/>
      <c r="K277" s="32"/>
      <c r="L277" s="32"/>
      <c r="M277" s="32"/>
      <c r="N277" s="32"/>
      <c r="O277" s="32"/>
      <c r="P277" s="32"/>
      <c r="Q277" s="32"/>
      <c r="R277" s="32"/>
      <c r="S277" s="32"/>
      <c r="T277" s="32"/>
      <c r="U277" s="32"/>
      <c r="V277" s="32"/>
      <c r="W277" s="32"/>
      <c r="X277" s="32"/>
      <c r="Y277" s="32"/>
      <c r="Z277" s="32"/>
      <c r="AA277" s="32"/>
      <c r="AB277" s="32"/>
      <c r="AC277" s="32"/>
      <c r="AD277" s="32"/>
      <c r="AE277" s="32"/>
      <c r="AF277" s="32"/>
      <c r="AG277" s="32"/>
      <c r="AH277" s="32"/>
      <c r="AI277" s="32"/>
      <c r="AJ277" s="32"/>
    </row>
    <row r="278">
      <c r="A278" s="32"/>
      <c r="B278" s="32"/>
      <c r="C278" s="32"/>
      <c r="D278" s="32"/>
      <c r="E278" s="32"/>
      <c r="F278" s="32"/>
      <c r="G278" s="32"/>
      <c r="H278" s="32"/>
      <c r="I278" s="32"/>
      <c r="J278" s="32"/>
      <c r="K278" s="32"/>
      <c r="L278" s="32"/>
      <c r="M278" s="32"/>
      <c r="N278" s="32"/>
      <c r="O278" s="32"/>
      <c r="P278" s="32"/>
      <c r="Q278" s="32"/>
      <c r="R278" s="32"/>
      <c r="S278" s="32"/>
      <c r="T278" s="32"/>
      <c r="U278" s="32"/>
      <c r="V278" s="32"/>
      <c r="W278" s="32"/>
      <c r="X278" s="32"/>
      <c r="Y278" s="32"/>
      <c r="Z278" s="32"/>
      <c r="AA278" s="32"/>
      <c r="AB278" s="32"/>
      <c r="AC278" s="32"/>
      <c r="AD278" s="32"/>
      <c r="AE278" s="32"/>
      <c r="AF278" s="32"/>
      <c r="AG278" s="32"/>
      <c r="AH278" s="32"/>
      <c r="AI278" s="32"/>
      <c r="AJ278" s="32"/>
    </row>
    <row r="279">
      <c r="A279" s="32"/>
      <c r="B279" s="32"/>
      <c r="C279" s="32"/>
      <c r="D279" s="32"/>
      <c r="E279" s="32"/>
      <c r="F279" s="32"/>
      <c r="G279" s="32"/>
      <c r="H279" s="32"/>
      <c r="I279" s="32"/>
      <c r="J279" s="32"/>
      <c r="K279" s="32"/>
      <c r="L279" s="32"/>
      <c r="M279" s="32"/>
      <c r="N279" s="32"/>
      <c r="O279" s="32"/>
      <c r="P279" s="32"/>
      <c r="Q279" s="32"/>
      <c r="R279" s="32"/>
      <c r="S279" s="32"/>
      <c r="T279" s="32"/>
      <c r="U279" s="32"/>
      <c r="V279" s="32"/>
      <c r="W279" s="32"/>
      <c r="X279" s="32"/>
      <c r="Y279" s="32"/>
      <c r="Z279" s="32"/>
      <c r="AA279" s="32"/>
      <c r="AB279" s="32"/>
      <c r="AC279" s="32"/>
      <c r="AD279" s="32"/>
      <c r="AE279" s="32"/>
      <c r="AF279" s="32"/>
      <c r="AG279" s="32"/>
      <c r="AH279" s="32"/>
      <c r="AI279" s="32"/>
      <c r="AJ279" s="32"/>
    </row>
    <row r="280">
      <c r="A280" s="32"/>
      <c r="B280" s="32"/>
      <c r="C280" s="32"/>
      <c r="D280" s="32"/>
      <c r="E280" s="32"/>
      <c r="F280" s="32"/>
      <c r="G280" s="32"/>
      <c r="H280" s="32"/>
      <c r="I280" s="32"/>
      <c r="J280" s="32"/>
      <c r="K280" s="32"/>
      <c r="L280" s="32"/>
      <c r="M280" s="32"/>
      <c r="N280" s="32"/>
      <c r="O280" s="32"/>
      <c r="P280" s="32"/>
      <c r="Q280" s="32"/>
      <c r="R280" s="32"/>
      <c r="S280" s="32"/>
      <c r="T280" s="32"/>
      <c r="U280" s="32"/>
      <c r="V280" s="32"/>
      <c r="W280" s="32"/>
      <c r="X280" s="32"/>
      <c r="Y280" s="32"/>
      <c r="Z280" s="32"/>
      <c r="AA280" s="32"/>
      <c r="AB280" s="32"/>
      <c r="AC280" s="32"/>
      <c r="AD280" s="32"/>
      <c r="AE280" s="32"/>
      <c r="AF280" s="32"/>
      <c r="AG280" s="32"/>
      <c r="AH280" s="32"/>
      <c r="AI280" s="32"/>
      <c r="AJ280" s="32"/>
    </row>
    <row r="281">
      <c r="A281" s="32"/>
      <c r="B281" s="32"/>
      <c r="C281" s="32"/>
      <c r="D281" s="32"/>
      <c r="E281" s="32"/>
      <c r="F281" s="32"/>
      <c r="G281" s="32"/>
      <c r="H281" s="32"/>
      <c r="I281" s="32"/>
      <c r="J281" s="32"/>
      <c r="K281" s="32"/>
      <c r="L281" s="32"/>
      <c r="M281" s="32"/>
      <c r="N281" s="32"/>
      <c r="O281" s="32"/>
      <c r="P281" s="32"/>
      <c r="Q281" s="32"/>
      <c r="R281" s="32"/>
      <c r="S281" s="32"/>
      <c r="T281" s="32"/>
      <c r="U281" s="32"/>
      <c r="V281" s="32"/>
      <c r="W281" s="32"/>
      <c r="X281" s="32"/>
      <c r="Y281" s="32"/>
      <c r="Z281" s="32"/>
      <c r="AA281" s="32"/>
      <c r="AB281" s="32"/>
      <c r="AC281" s="32"/>
      <c r="AD281" s="32"/>
      <c r="AE281" s="32"/>
      <c r="AF281" s="32"/>
      <c r="AG281" s="32"/>
      <c r="AH281" s="32"/>
      <c r="AI281" s="32"/>
      <c r="AJ281" s="32"/>
    </row>
    <row r="282">
      <c r="A282" s="32"/>
      <c r="B282" s="32"/>
      <c r="C282" s="32"/>
      <c r="D282" s="32"/>
      <c r="E282" s="32"/>
      <c r="F282" s="32"/>
      <c r="G282" s="32"/>
      <c r="H282" s="32"/>
      <c r="I282" s="32"/>
      <c r="J282" s="32"/>
      <c r="K282" s="32"/>
      <c r="L282" s="32"/>
      <c r="M282" s="32"/>
      <c r="N282" s="32"/>
      <c r="O282" s="32"/>
      <c r="P282" s="32"/>
      <c r="Q282" s="32"/>
      <c r="R282" s="32"/>
      <c r="S282" s="32"/>
      <c r="T282" s="32"/>
      <c r="U282" s="32"/>
      <c r="V282" s="32"/>
      <c r="W282" s="32"/>
      <c r="X282" s="32"/>
      <c r="Y282" s="32"/>
      <c r="Z282" s="32"/>
      <c r="AA282" s="32"/>
      <c r="AB282" s="32"/>
      <c r="AC282" s="32"/>
      <c r="AD282" s="32"/>
      <c r="AE282" s="32"/>
      <c r="AF282" s="32"/>
      <c r="AG282" s="32"/>
      <c r="AH282" s="32"/>
      <c r="AI282" s="32"/>
      <c r="AJ282" s="32"/>
    </row>
    <row r="283">
      <c r="A283" s="32"/>
      <c r="B283" s="32"/>
      <c r="C283" s="32"/>
      <c r="D283" s="32"/>
      <c r="E283" s="32"/>
      <c r="F283" s="32"/>
      <c r="G283" s="32"/>
      <c r="H283" s="32"/>
      <c r="I283" s="32"/>
      <c r="J283" s="32"/>
      <c r="K283" s="32"/>
      <c r="L283" s="32"/>
      <c r="M283" s="32"/>
      <c r="N283" s="32"/>
      <c r="O283" s="32"/>
      <c r="P283" s="32"/>
      <c r="Q283" s="32"/>
      <c r="R283" s="32"/>
      <c r="S283" s="32"/>
      <c r="T283" s="32"/>
      <c r="U283" s="32"/>
      <c r="V283" s="32"/>
      <c r="W283" s="32"/>
      <c r="X283" s="32"/>
      <c r="Y283" s="32"/>
      <c r="Z283" s="32"/>
      <c r="AA283" s="32"/>
      <c r="AB283" s="32"/>
      <c r="AC283" s="32"/>
      <c r="AD283" s="32"/>
      <c r="AE283" s="32"/>
      <c r="AF283" s="32"/>
      <c r="AG283" s="32"/>
      <c r="AH283" s="32"/>
      <c r="AI283" s="32"/>
      <c r="AJ283" s="32"/>
    </row>
    <row r="284">
      <c r="A284" s="32"/>
      <c r="B284" s="32"/>
      <c r="C284" s="32"/>
      <c r="D284" s="32"/>
      <c r="E284" s="32"/>
      <c r="F284" s="32"/>
      <c r="G284" s="32"/>
      <c r="H284" s="32"/>
      <c r="I284" s="32"/>
      <c r="J284" s="32"/>
      <c r="K284" s="32"/>
      <c r="L284" s="32"/>
      <c r="M284" s="32"/>
      <c r="N284" s="32"/>
      <c r="O284" s="32"/>
      <c r="P284" s="32"/>
      <c r="Q284" s="32"/>
      <c r="R284" s="32"/>
      <c r="S284" s="32"/>
      <c r="T284" s="32"/>
      <c r="U284" s="32"/>
      <c r="V284" s="32"/>
      <c r="W284" s="32"/>
      <c r="X284" s="32"/>
      <c r="Y284" s="32"/>
      <c r="Z284" s="32"/>
      <c r="AA284" s="32"/>
      <c r="AB284" s="32"/>
      <c r="AC284" s="32"/>
      <c r="AD284" s="32"/>
      <c r="AE284" s="32"/>
      <c r="AF284" s="32"/>
      <c r="AG284" s="32"/>
      <c r="AH284" s="32"/>
      <c r="AI284" s="32"/>
      <c r="AJ284" s="32"/>
    </row>
    <row r="285">
      <c r="A285" s="32"/>
      <c r="B285" s="32"/>
      <c r="C285" s="32"/>
      <c r="D285" s="32"/>
      <c r="E285" s="32"/>
      <c r="F285" s="32"/>
      <c r="G285" s="32"/>
      <c r="H285" s="32"/>
      <c r="I285" s="32"/>
      <c r="J285" s="32"/>
      <c r="K285" s="32"/>
      <c r="L285" s="32"/>
      <c r="M285" s="32"/>
      <c r="N285" s="32"/>
      <c r="O285" s="32"/>
      <c r="P285" s="32"/>
      <c r="Q285" s="32"/>
      <c r="R285" s="32"/>
      <c r="S285" s="32"/>
      <c r="T285" s="32"/>
      <c r="U285" s="32"/>
      <c r="V285" s="32"/>
      <c r="W285" s="32"/>
      <c r="X285" s="32"/>
      <c r="Y285" s="32"/>
      <c r="Z285" s="32"/>
      <c r="AA285" s="32"/>
      <c r="AB285" s="32"/>
      <c r="AC285" s="32"/>
      <c r="AD285" s="32"/>
      <c r="AE285" s="32"/>
      <c r="AF285" s="32"/>
      <c r="AG285" s="32"/>
      <c r="AH285" s="32"/>
      <c r="AI285" s="32"/>
      <c r="AJ285" s="32"/>
    </row>
    <row r="286">
      <c r="A286" s="32"/>
      <c r="B286" s="32"/>
      <c r="C286" s="32"/>
      <c r="D286" s="32"/>
      <c r="E286" s="32"/>
      <c r="F286" s="32"/>
      <c r="G286" s="32"/>
      <c r="H286" s="32"/>
      <c r="I286" s="32"/>
      <c r="J286" s="32"/>
      <c r="K286" s="32"/>
      <c r="L286" s="32"/>
      <c r="M286" s="32"/>
      <c r="N286" s="32"/>
      <c r="O286" s="32"/>
      <c r="P286" s="32"/>
      <c r="Q286" s="32"/>
      <c r="R286" s="32"/>
      <c r="S286" s="32"/>
      <c r="T286" s="32"/>
      <c r="U286" s="32"/>
      <c r="V286" s="32"/>
      <c r="W286" s="32"/>
      <c r="X286" s="32"/>
      <c r="Y286" s="32"/>
      <c r="Z286" s="32"/>
      <c r="AA286" s="32"/>
      <c r="AB286" s="32"/>
      <c r="AC286" s="32"/>
      <c r="AD286" s="32"/>
      <c r="AE286" s="32"/>
      <c r="AF286" s="32"/>
      <c r="AG286" s="32"/>
      <c r="AH286" s="32"/>
      <c r="AI286" s="32"/>
      <c r="AJ286" s="32"/>
    </row>
    <row r="287">
      <c r="A287" s="32"/>
      <c r="B287" s="32"/>
      <c r="C287" s="32"/>
      <c r="D287" s="32"/>
      <c r="E287" s="32"/>
      <c r="F287" s="32"/>
      <c r="G287" s="32"/>
      <c r="H287" s="32"/>
      <c r="I287" s="32"/>
      <c r="J287" s="32"/>
      <c r="K287" s="32"/>
      <c r="L287" s="32"/>
      <c r="M287" s="32"/>
      <c r="N287" s="32"/>
      <c r="O287" s="32"/>
      <c r="P287" s="32"/>
      <c r="Q287" s="32"/>
      <c r="R287" s="32"/>
      <c r="S287" s="32"/>
      <c r="T287" s="32"/>
      <c r="U287" s="32"/>
      <c r="V287" s="32"/>
      <c r="W287" s="32"/>
      <c r="X287" s="32"/>
      <c r="Y287" s="32"/>
      <c r="Z287" s="32"/>
      <c r="AA287" s="32"/>
      <c r="AB287" s="32"/>
      <c r="AC287" s="32"/>
      <c r="AD287" s="32"/>
      <c r="AE287" s="32"/>
      <c r="AF287" s="32"/>
      <c r="AG287" s="32"/>
      <c r="AH287" s="32"/>
      <c r="AI287" s="32"/>
      <c r="AJ287" s="32"/>
    </row>
    <row r="288">
      <c r="A288" s="32"/>
      <c r="B288" s="32"/>
      <c r="C288" s="32"/>
      <c r="D288" s="32"/>
      <c r="E288" s="32"/>
      <c r="F288" s="32"/>
      <c r="G288" s="32"/>
      <c r="H288" s="32"/>
      <c r="I288" s="32"/>
      <c r="J288" s="32"/>
      <c r="K288" s="32"/>
      <c r="L288" s="32"/>
      <c r="M288" s="32"/>
      <c r="N288" s="32"/>
      <c r="O288" s="32"/>
      <c r="P288" s="32"/>
      <c r="Q288" s="32"/>
      <c r="R288" s="32"/>
      <c r="S288" s="32"/>
      <c r="T288" s="32"/>
      <c r="U288" s="32"/>
      <c r="V288" s="32"/>
      <c r="W288" s="32"/>
      <c r="X288" s="32"/>
      <c r="Y288" s="32"/>
      <c r="Z288" s="32"/>
      <c r="AA288" s="32"/>
      <c r="AB288" s="32"/>
      <c r="AC288" s="32"/>
      <c r="AD288" s="32"/>
      <c r="AE288" s="32"/>
      <c r="AF288" s="32"/>
      <c r="AG288" s="32"/>
      <c r="AH288" s="32"/>
      <c r="AI288" s="32"/>
      <c r="AJ288" s="32"/>
    </row>
    <row r="289">
      <c r="A289" s="32"/>
      <c r="B289" s="32"/>
      <c r="C289" s="32"/>
      <c r="D289" s="32"/>
      <c r="E289" s="32"/>
      <c r="F289" s="32"/>
      <c r="G289" s="32"/>
      <c r="H289" s="32"/>
      <c r="I289" s="32"/>
      <c r="J289" s="32"/>
      <c r="K289" s="32"/>
      <c r="L289" s="32"/>
      <c r="M289" s="32"/>
      <c r="N289" s="32"/>
      <c r="O289" s="32"/>
      <c r="P289" s="32"/>
      <c r="Q289" s="32"/>
      <c r="R289" s="32"/>
      <c r="S289" s="32"/>
      <c r="T289" s="32"/>
      <c r="U289" s="32"/>
      <c r="V289" s="32"/>
      <c r="W289" s="32"/>
      <c r="X289" s="32"/>
      <c r="Y289" s="32"/>
      <c r="Z289" s="32"/>
      <c r="AA289" s="32"/>
      <c r="AB289" s="32"/>
      <c r="AC289" s="32"/>
      <c r="AD289" s="32"/>
      <c r="AE289" s="32"/>
      <c r="AF289" s="32"/>
      <c r="AG289" s="32"/>
      <c r="AH289" s="32"/>
      <c r="AI289" s="32"/>
      <c r="AJ289" s="32"/>
    </row>
    <row r="290">
      <c r="A290" s="32"/>
      <c r="B290" s="32"/>
      <c r="C290" s="32"/>
      <c r="D290" s="32"/>
      <c r="E290" s="32"/>
      <c r="F290" s="32"/>
      <c r="G290" s="32"/>
      <c r="H290" s="32"/>
      <c r="I290" s="32"/>
      <c r="J290" s="32"/>
      <c r="K290" s="32"/>
      <c r="L290" s="32"/>
      <c r="M290" s="32"/>
      <c r="N290" s="32"/>
      <c r="O290" s="32"/>
      <c r="P290" s="32"/>
      <c r="Q290" s="32"/>
      <c r="R290" s="32"/>
      <c r="S290" s="32"/>
      <c r="T290" s="32"/>
      <c r="U290" s="32"/>
      <c r="V290" s="32"/>
      <c r="W290" s="32"/>
      <c r="X290" s="32"/>
      <c r="Y290" s="32"/>
      <c r="Z290" s="32"/>
      <c r="AA290" s="32"/>
      <c r="AB290" s="32"/>
      <c r="AC290" s="32"/>
      <c r="AD290" s="32"/>
      <c r="AE290" s="32"/>
      <c r="AF290" s="32"/>
      <c r="AG290" s="32"/>
      <c r="AH290" s="32"/>
      <c r="AI290" s="32"/>
      <c r="AJ290" s="32"/>
    </row>
    <row r="291">
      <c r="A291" s="32"/>
      <c r="B291" s="32"/>
      <c r="C291" s="32"/>
      <c r="D291" s="32"/>
      <c r="E291" s="32"/>
      <c r="F291" s="32"/>
      <c r="G291" s="32"/>
      <c r="H291" s="32"/>
      <c r="I291" s="32"/>
      <c r="J291" s="32"/>
      <c r="K291" s="32"/>
      <c r="L291" s="32"/>
      <c r="M291" s="32"/>
      <c r="N291" s="32"/>
      <c r="O291" s="32"/>
      <c r="P291" s="32"/>
      <c r="Q291" s="32"/>
      <c r="R291" s="32"/>
      <c r="S291" s="32"/>
      <c r="T291" s="32"/>
      <c r="U291" s="32"/>
      <c r="V291" s="32"/>
      <c r="W291" s="32"/>
      <c r="X291" s="32"/>
      <c r="Y291" s="32"/>
      <c r="Z291" s="32"/>
      <c r="AA291" s="32"/>
      <c r="AB291" s="32"/>
      <c r="AC291" s="32"/>
      <c r="AD291" s="32"/>
      <c r="AE291" s="32"/>
      <c r="AF291" s="32"/>
      <c r="AG291" s="32"/>
      <c r="AH291" s="32"/>
      <c r="AI291" s="32"/>
      <c r="AJ291" s="32"/>
    </row>
    <row r="292">
      <c r="A292" s="32"/>
      <c r="B292" s="32"/>
      <c r="C292" s="32"/>
      <c r="D292" s="32"/>
      <c r="E292" s="32"/>
      <c r="F292" s="32"/>
      <c r="G292" s="32"/>
      <c r="H292" s="32"/>
      <c r="I292" s="32"/>
      <c r="J292" s="32"/>
      <c r="K292" s="32"/>
      <c r="L292" s="32"/>
      <c r="M292" s="32"/>
      <c r="N292" s="32"/>
      <c r="O292" s="32"/>
      <c r="P292" s="32"/>
      <c r="Q292" s="32"/>
      <c r="R292" s="32"/>
      <c r="S292" s="32"/>
      <c r="T292" s="32"/>
      <c r="U292" s="32"/>
      <c r="V292" s="32"/>
      <c r="W292" s="32"/>
      <c r="X292" s="32"/>
      <c r="Y292" s="32"/>
      <c r="Z292" s="32"/>
      <c r="AA292" s="32"/>
      <c r="AB292" s="32"/>
      <c r="AC292" s="32"/>
      <c r="AD292" s="32"/>
      <c r="AE292" s="32"/>
      <c r="AF292" s="32"/>
      <c r="AG292" s="32"/>
      <c r="AH292" s="32"/>
      <c r="AI292" s="32"/>
      <c r="AJ292" s="32"/>
    </row>
    <row r="293">
      <c r="A293" s="32"/>
      <c r="B293" s="32"/>
      <c r="C293" s="32"/>
      <c r="D293" s="32"/>
      <c r="E293" s="32"/>
      <c r="F293" s="32"/>
      <c r="G293" s="32"/>
      <c r="H293" s="32"/>
      <c r="I293" s="32"/>
      <c r="J293" s="32"/>
      <c r="K293" s="32"/>
      <c r="L293" s="32"/>
      <c r="M293" s="32"/>
      <c r="N293" s="32"/>
      <c r="O293" s="32"/>
      <c r="P293" s="32"/>
      <c r="Q293" s="32"/>
      <c r="R293" s="32"/>
      <c r="S293" s="32"/>
      <c r="T293" s="32"/>
      <c r="U293" s="32"/>
      <c r="V293" s="32"/>
      <c r="W293" s="32"/>
      <c r="X293" s="32"/>
      <c r="Y293" s="32"/>
      <c r="Z293" s="32"/>
      <c r="AA293" s="32"/>
      <c r="AB293" s="32"/>
      <c r="AC293" s="32"/>
      <c r="AD293" s="32"/>
      <c r="AE293" s="32"/>
      <c r="AF293" s="32"/>
      <c r="AG293" s="32"/>
      <c r="AH293" s="32"/>
      <c r="AI293" s="32"/>
      <c r="AJ293" s="32"/>
    </row>
    <row r="294">
      <c r="A294" s="32"/>
      <c r="B294" s="32"/>
      <c r="C294" s="32"/>
      <c r="D294" s="32"/>
      <c r="E294" s="32"/>
      <c r="F294" s="32"/>
      <c r="G294" s="32"/>
      <c r="H294" s="32"/>
      <c r="I294" s="32"/>
      <c r="J294" s="32"/>
      <c r="K294" s="32"/>
      <c r="L294" s="32"/>
      <c r="M294" s="32"/>
      <c r="N294" s="32"/>
      <c r="O294" s="32"/>
      <c r="P294" s="32"/>
      <c r="Q294" s="32"/>
      <c r="R294" s="32"/>
      <c r="S294" s="32"/>
      <c r="T294" s="32"/>
      <c r="U294" s="32"/>
      <c r="V294" s="32"/>
      <c r="W294" s="32"/>
      <c r="X294" s="32"/>
      <c r="Y294" s="32"/>
      <c r="Z294" s="32"/>
      <c r="AA294" s="32"/>
      <c r="AB294" s="32"/>
      <c r="AC294" s="32"/>
      <c r="AD294" s="32"/>
      <c r="AE294" s="32"/>
      <c r="AF294" s="32"/>
      <c r="AG294" s="32"/>
      <c r="AH294" s="32"/>
      <c r="AI294" s="32"/>
      <c r="AJ294" s="32"/>
    </row>
    <row r="295">
      <c r="A295" s="32"/>
      <c r="B295" s="32"/>
      <c r="C295" s="32"/>
      <c r="D295" s="32"/>
      <c r="E295" s="32"/>
      <c r="F295" s="32"/>
      <c r="G295" s="32"/>
      <c r="H295" s="32"/>
      <c r="I295" s="32"/>
      <c r="J295" s="32"/>
      <c r="K295" s="32"/>
      <c r="L295" s="32"/>
      <c r="M295" s="32"/>
      <c r="N295" s="32"/>
      <c r="O295" s="32"/>
      <c r="P295" s="32"/>
      <c r="Q295" s="32"/>
      <c r="R295" s="32"/>
      <c r="S295" s="32"/>
      <c r="T295" s="32"/>
      <c r="U295" s="32"/>
      <c r="V295" s="32"/>
      <c r="W295" s="32"/>
      <c r="X295" s="32"/>
      <c r="Y295" s="32"/>
      <c r="Z295" s="32"/>
      <c r="AA295" s="32"/>
      <c r="AB295" s="32"/>
      <c r="AC295" s="32"/>
      <c r="AD295" s="32"/>
      <c r="AE295" s="32"/>
      <c r="AF295" s="32"/>
      <c r="AG295" s="32"/>
      <c r="AH295" s="32"/>
      <c r="AI295" s="32"/>
      <c r="AJ295" s="32"/>
    </row>
    <row r="296">
      <c r="A296" s="32"/>
      <c r="B296" s="32"/>
      <c r="C296" s="32"/>
      <c r="D296" s="32"/>
      <c r="E296" s="32"/>
      <c r="F296" s="32"/>
      <c r="G296" s="32"/>
      <c r="H296" s="32"/>
      <c r="I296" s="32"/>
      <c r="J296" s="32"/>
      <c r="K296" s="32"/>
      <c r="L296" s="32"/>
      <c r="M296" s="32"/>
      <c r="N296" s="32"/>
      <c r="O296" s="32"/>
      <c r="P296" s="32"/>
      <c r="Q296" s="32"/>
      <c r="R296" s="32"/>
      <c r="S296" s="32"/>
      <c r="T296" s="32"/>
      <c r="U296" s="32"/>
      <c r="V296" s="32"/>
      <c r="W296" s="32"/>
      <c r="X296" s="32"/>
      <c r="Y296" s="32"/>
      <c r="Z296" s="32"/>
      <c r="AA296" s="32"/>
      <c r="AB296" s="32"/>
      <c r="AC296" s="32"/>
      <c r="AD296" s="32"/>
      <c r="AE296" s="32"/>
      <c r="AF296" s="32"/>
      <c r="AG296" s="32"/>
      <c r="AH296" s="32"/>
      <c r="AI296" s="32"/>
      <c r="AJ296" s="32"/>
    </row>
    <row r="297">
      <c r="A297" s="32"/>
      <c r="B297" s="32"/>
      <c r="C297" s="32"/>
      <c r="D297" s="32"/>
      <c r="E297" s="32"/>
      <c r="F297" s="32"/>
      <c r="G297" s="32"/>
      <c r="H297" s="32"/>
      <c r="I297" s="32"/>
      <c r="J297" s="32"/>
      <c r="K297" s="32"/>
      <c r="L297" s="32"/>
      <c r="M297" s="32"/>
      <c r="N297" s="32"/>
      <c r="O297" s="32"/>
      <c r="P297" s="32"/>
      <c r="Q297" s="32"/>
      <c r="R297" s="32"/>
      <c r="S297" s="32"/>
      <c r="T297" s="32"/>
      <c r="U297" s="32"/>
      <c r="V297" s="32"/>
      <c r="W297" s="32"/>
      <c r="X297" s="32"/>
      <c r="Y297" s="32"/>
      <c r="Z297" s="32"/>
      <c r="AA297" s="32"/>
      <c r="AB297" s="32"/>
      <c r="AC297" s="32"/>
      <c r="AD297" s="32"/>
      <c r="AE297" s="32"/>
      <c r="AF297" s="32"/>
      <c r="AG297" s="32"/>
      <c r="AH297" s="32"/>
      <c r="AI297" s="32"/>
      <c r="AJ297" s="32"/>
    </row>
    <row r="298">
      <c r="A298" s="32"/>
      <c r="B298" s="32"/>
      <c r="C298" s="32"/>
      <c r="D298" s="32"/>
      <c r="E298" s="32"/>
      <c r="F298" s="32"/>
      <c r="G298" s="32"/>
      <c r="H298" s="32"/>
      <c r="I298" s="32"/>
      <c r="J298" s="32"/>
      <c r="K298" s="32"/>
      <c r="L298" s="32"/>
      <c r="M298" s="32"/>
      <c r="N298" s="32"/>
      <c r="O298" s="32"/>
      <c r="P298" s="32"/>
      <c r="Q298" s="32"/>
      <c r="R298" s="32"/>
      <c r="S298" s="32"/>
      <c r="T298" s="32"/>
      <c r="U298" s="32"/>
      <c r="V298" s="32"/>
      <c r="W298" s="32"/>
      <c r="X298" s="32"/>
      <c r="Y298" s="32"/>
      <c r="Z298" s="32"/>
      <c r="AA298" s="32"/>
      <c r="AB298" s="32"/>
      <c r="AC298" s="32"/>
      <c r="AD298" s="32"/>
      <c r="AE298" s="32"/>
      <c r="AF298" s="32"/>
      <c r="AG298" s="32"/>
      <c r="AH298" s="32"/>
      <c r="AI298" s="32"/>
      <c r="AJ298" s="32"/>
    </row>
    <row r="299">
      <c r="A299" s="32"/>
      <c r="B299" s="32"/>
      <c r="C299" s="32"/>
      <c r="D299" s="32"/>
      <c r="E299" s="32"/>
      <c r="F299" s="32"/>
      <c r="G299" s="32"/>
      <c r="H299" s="32"/>
      <c r="I299" s="32"/>
      <c r="J299" s="32"/>
      <c r="K299" s="32"/>
      <c r="L299" s="32"/>
      <c r="M299" s="32"/>
      <c r="N299" s="32"/>
      <c r="O299" s="32"/>
      <c r="P299" s="32"/>
      <c r="Q299" s="32"/>
      <c r="R299" s="32"/>
      <c r="S299" s="32"/>
      <c r="T299" s="32"/>
      <c r="U299" s="32"/>
      <c r="V299" s="32"/>
      <c r="W299" s="32"/>
      <c r="X299" s="32"/>
      <c r="Y299" s="32"/>
      <c r="Z299" s="32"/>
      <c r="AA299" s="32"/>
      <c r="AB299" s="32"/>
      <c r="AC299" s="32"/>
      <c r="AD299" s="32"/>
      <c r="AE299" s="32"/>
      <c r="AF299" s="32"/>
      <c r="AG299" s="32"/>
      <c r="AH299" s="32"/>
      <c r="AI299" s="32"/>
      <c r="AJ299" s="32"/>
    </row>
    <row r="300">
      <c r="A300" s="32"/>
      <c r="B300" s="32"/>
      <c r="C300" s="32"/>
      <c r="D300" s="32"/>
      <c r="E300" s="32"/>
      <c r="F300" s="32"/>
      <c r="G300" s="32"/>
      <c r="H300" s="32"/>
      <c r="I300" s="32"/>
      <c r="J300" s="32"/>
      <c r="K300" s="32"/>
      <c r="L300" s="32"/>
      <c r="M300" s="32"/>
      <c r="N300" s="32"/>
      <c r="O300" s="32"/>
      <c r="P300" s="32"/>
      <c r="Q300" s="32"/>
      <c r="R300" s="32"/>
      <c r="S300" s="32"/>
      <c r="T300" s="32"/>
      <c r="U300" s="32"/>
      <c r="V300" s="32"/>
      <c r="W300" s="32"/>
      <c r="X300" s="32"/>
      <c r="Y300" s="32"/>
      <c r="Z300" s="32"/>
      <c r="AA300" s="32"/>
      <c r="AB300" s="32"/>
      <c r="AC300" s="32"/>
      <c r="AD300" s="32"/>
      <c r="AE300" s="32"/>
      <c r="AF300" s="32"/>
      <c r="AG300" s="32"/>
      <c r="AH300" s="32"/>
      <c r="AI300" s="32"/>
      <c r="AJ300" s="32"/>
    </row>
    <row r="301">
      <c r="A301" s="32"/>
      <c r="B301" s="32"/>
      <c r="C301" s="32"/>
      <c r="D301" s="32"/>
      <c r="E301" s="32"/>
      <c r="F301" s="32"/>
      <c r="G301" s="32"/>
      <c r="H301" s="32"/>
      <c r="I301" s="32"/>
      <c r="J301" s="32"/>
      <c r="K301" s="32"/>
      <c r="L301" s="32"/>
      <c r="M301" s="32"/>
      <c r="N301" s="32"/>
      <c r="O301" s="32"/>
      <c r="P301" s="32"/>
      <c r="Q301" s="32"/>
      <c r="R301" s="32"/>
      <c r="S301" s="32"/>
      <c r="T301" s="32"/>
      <c r="U301" s="32"/>
      <c r="V301" s="32"/>
      <c r="W301" s="32"/>
      <c r="X301" s="32"/>
      <c r="Y301" s="32"/>
      <c r="Z301" s="32"/>
      <c r="AA301" s="32"/>
      <c r="AB301" s="32"/>
      <c r="AC301" s="32"/>
      <c r="AD301" s="32"/>
      <c r="AE301" s="32"/>
      <c r="AF301" s="32"/>
      <c r="AG301" s="32"/>
      <c r="AH301" s="32"/>
      <c r="AI301" s="32"/>
      <c r="AJ301" s="32"/>
    </row>
    <row r="302">
      <c r="A302" s="32"/>
      <c r="B302" s="32"/>
      <c r="C302" s="32"/>
      <c r="D302" s="32"/>
      <c r="E302" s="32"/>
      <c r="F302" s="32"/>
      <c r="G302" s="32"/>
      <c r="H302" s="32"/>
      <c r="I302" s="32"/>
      <c r="J302" s="32"/>
      <c r="K302" s="32"/>
      <c r="L302" s="32"/>
      <c r="M302" s="32"/>
      <c r="N302" s="32"/>
      <c r="O302" s="32"/>
      <c r="P302" s="32"/>
      <c r="Q302" s="32"/>
      <c r="R302" s="32"/>
      <c r="S302" s="32"/>
      <c r="T302" s="32"/>
      <c r="U302" s="32"/>
      <c r="V302" s="32"/>
      <c r="W302" s="32"/>
      <c r="X302" s="32"/>
      <c r="Y302" s="32"/>
      <c r="Z302" s="32"/>
      <c r="AA302" s="32"/>
      <c r="AB302" s="32"/>
      <c r="AC302" s="32"/>
      <c r="AD302" s="32"/>
      <c r="AE302" s="32"/>
      <c r="AF302" s="32"/>
      <c r="AG302" s="32"/>
      <c r="AH302" s="32"/>
      <c r="AI302" s="32"/>
      <c r="AJ302" s="32"/>
    </row>
    <row r="303">
      <c r="A303" s="32"/>
      <c r="B303" s="32"/>
      <c r="C303" s="32"/>
      <c r="D303" s="32"/>
      <c r="E303" s="32"/>
      <c r="F303" s="32"/>
      <c r="G303" s="32"/>
      <c r="H303" s="32"/>
      <c r="I303" s="32"/>
      <c r="J303" s="32"/>
      <c r="K303" s="32"/>
      <c r="L303" s="32"/>
      <c r="M303" s="32"/>
      <c r="N303" s="32"/>
      <c r="O303" s="32"/>
      <c r="P303" s="32"/>
      <c r="Q303" s="32"/>
      <c r="R303" s="32"/>
      <c r="S303" s="32"/>
      <c r="T303" s="32"/>
      <c r="U303" s="32"/>
      <c r="V303" s="32"/>
      <c r="W303" s="32"/>
      <c r="X303" s="32"/>
      <c r="Y303" s="32"/>
      <c r="Z303" s="32"/>
      <c r="AA303" s="32"/>
      <c r="AB303" s="32"/>
      <c r="AC303" s="32"/>
      <c r="AD303" s="32"/>
      <c r="AE303" s="32"/>
      <c r="AF303" s="32"/>
      <c r="AG303" s="32"/>
      <c r="AH303" s="32"/>
      <c r="AI303" s="32"/>
      <c r="AJ303" s="32"/>
    </row>
    <row r="304">
      <c r="A304" s="32"/>
      <c r="B304" s="32"/>
      <c r="C304" s="32"/>
      <c r="D304" s="32"/>
      <c r="E304" s="32"/>
      <c r="F304" s="32"/>
      <c r="G304" s="32"/>
      <c r="H304" s="32"/>
      <c r="I304" s="32"/>
      <c r="J304" s="32"/>
      <c r="K304" s="32"/>
      <c r="L304" s="32"/>
      <c r="M304" s="32"/>
      <c r="N304" s="32"/>
      <c r="O304" s="32"/>
      <c r="P304" s="32"/>
      <c r="Q304" s="32"/>
      <c r="R304" s="32"/>
      <c r="S304" s="32"/>
      <c r="T304" s="32"/>
      <c r="U304" s="32"/>
      <c r="V304" s="32"/>
      <c r="W304" s="32"/>
      <c r="X304" s="32"/>
      <c r="Y304" s="32"/>
      <c r="Z304" s="32"/>
      <c r="AA304" s="32"/>
      <c r="AB304" s="32"/>
      <c r="AC304" s="32"/>
      <c r="AD304" s="32"/>
      <c r="AE304" s="32"/>
      <c r="AF304" s="32"/>
      <c r="AG304" s="32"/>
      <c r="AH304" s="32"/>
      <c r="AI304" s="32"/>
      <c r="AJ304" s="32"/>
    </row>
    <row r="305">
      <c r="A305" s="32"/>
      <c r="B305" s="32"/>
      <c r="C305" s="32"/>
      <c r="D305" s="32"/>
      <c r="E305" s="32"/>
      <c r="F305" s="32"/>
      <c r="G305" s="32"/>
      <c r="H305" s="32"/>
      <c r="I305" s="32"/>
      <c r="J305" s="32"/>
      <c r="K305" s="32"/>
      <c r="L305" s="32"/>
      <c r="M305" s="32"/>
      <c r="N305" s="32"/>
      <c r="O305" s="32"/>
      <c r="P305" s="32"/>
      <c r="Q305" s="32"/>
      <c r="R305" s="32"/>
      <c r="S305" s="32"/>
      <c r="T305" s="32"/>
      <c r="U305" s="32"/>
      <c r="V305" s="32"/>
      <c r="W305" s="32"/>
      <c r="X305" s="32"/>
      <c r="Y305" s="32"/>
      <c r="Z305" s="32"/>
      <c r="AA305" s="32"/>
      <c r="AB305" s="32"/>
      <c r="AC305" s="32"/>
      <c r="AD305" s="32"/>
      <c r="AE305" s="32"/>
      <c r="AF305" s="32"/>
      <c r="AG305" s="32"/>
      <c r="AH305" s="32"/>
      <c r="AI305" s="32"/>
      <c r="AJ305" s="32"/>
    </row>
    <row r="306">
      <c r="A306" s="32"/>
      <c r="B306" s="32"/>
      <c r="C306" s="32"/>
      <c r="D306" s="32"/>
      <c r="E306" s="32"/>
      <c r="F306" s="32"/>
      <c r="G306" s="32"/>
      <c r="H306" s="32"/>
      <c r="I306" s="32"/>
      <c r="J306" s="32"/>
      <c r="K306" s="32"/>
      <c r="L306" s="32"/>
      <c r="M306" s="32"/>
      <c r="N306" s="32"/>
      <c r="O306" s="32"/>
      <c r="P306" s="32"/>
      <c r="Q306" s="32"/>
      <c r="R306" s="32"/>
      <c r="S306" s="32"/>
      <c r="T306" s="32"/>
      <c r="U306" s="32"/>
      <c r="V306" s="32"/>
      <c r="W306" s="32"/>
      <c r="X306" s="32"/>
      <c r="Y306" s="32"/>
      <c r="Z306" s="32"/>
      <c r="AA306" s="32"/>
      <c r="AB306" s="32"/>
      <c r="AC306" s="32"/>
      <c r="AD306" s="32"/>
      <c r="AE306" s="32"/>
      <c r="AF306" s="32"/>
      <c r="AG306" s="32"/>
      <c r="AH306" s="32"/>
      <c r="AI306" s="32"/>
      <c r="AJ306" s="32"/>
    </row>
    <row r="307">
      <c r="A307" s="32"/>
      <c r="B307" s="32"/>
      <c r="C307" s="32"/>
      <c r="D307" s="32"/>
      <c r="E307" s="32"/>
      <c r="F307" s="32"/>
      <c r="G307" s="32"/>
      <c r="H307" s="32"/>
      <c r="I307" s="32"/>
      <c r="J307" s="32"/>
      <c r="K307" s="32"/>
      <c r="L307" s="32"/>
      <c r="M307" s="32"/>
      <c r="N307" s="32"/>
      <c r="O307" s="32"/>
      <c r="P307" s="32"/>
      <c r="Q307" s="32"/>
      <c r="R307" s="32"/>
      <c r="S307" s="32"/>
      <c r="T307" s="32"/>
      <c r="U307" s="32"/>
      <c r="V307" s="32"/>
      <c r="W307" s="32"/>
      <c r="X307" s="32"/>
      <c r="Y307" s="32"/>
      <c r="Z307" s="32"/>
      <c r="AA307" s="32"/>
      <c r="AB307" s="32"/>
      <c r="AC307" s="32"/>
      <c r="AD307" s="32"/>
      <c r="AE307" s="32"/>
      <c r="AF307" s="32"/>
      <c r="AG307" s="32"/>
      <c r="AH307" s="32"/>
      <c r="AI307" s="32"/>
      <c r="AJ307" s="32"/>
    </row>
    <row r="308">
      <c r="A308" s="32"/>
      <c r="B308" s="32"/>
      <c r="C308" s="32"/>
      <c r="D308" s="32"/>
      <c r="E308" s="32"/>
      <c r="F308" s="32"/>
      <c r="G308" s="32"/>
      <c r="H308" s="32"/>
      <c r="I308" s="32"/>
      <c r="J308" s="32"/>
      <c r="K308" s="32"/>
      <c r="L308" s="32"/>
      <c r="M308" s="32"/>
      <c r="N308" s="32"/>
      <c r="O308" s="32"/>
      <c r="P308" s="32"/>
      <c r="Q308" s="32"/>
      <c r="R308" s="32"/>
      <c r="S308" s="32"/>
      <c r="T308" s="32"/>
      <c r="U308" s="32"/>
      <c r="V308" s="32"/>
      <c r="W308" s="32"/>
      <c r="X308" s="32"/>
      <c r="Y308" s="32"/>
      <c r="Z308" s="32"/>
      <c r="AA308" s="32"/>
      <c r="AB308" s="32"/>
      <c r="AC308" s="32"/>
      <c r="AD308" s="32"/>
      <c r="AE308" s="32"/>
      <c r="AF308" s="32"/>
      <c r="AG308" s="32"/>
      <c r="AH308" s="32"/>
      <c r="AI308" s="32"/>
      <c r="AJ308" s="32"/>
    </row>
    <row r="309">
      <c r="A309" s="32"/>
      <c r="B309" s="32"/>
      <c r="C309" s="32"/>
      <c r="D309" s="32"/>
      <c r="E309" s="32"/>
      <c r="F309" s="32"/>
      <c r="G309" s="32"/>
      <c r="H309" s="32"/>
      <c r="I309" s="32"/>
      <c r="J309" s="32"/>
      <c r="K309" s="32"/>
      <c r="L309" s="32"/>
      <c r="M309" s="32"/>
      <c r="N309" s="32"/>
      <c r="O309" s="32"/>
      <c r="P309" s="32"/>
      <c r="Q309" s="32"/>
      <c r="R309" s="32"/>
      <c r="S309" s="32"/>
      <c r="T309" s="32"/>
      <c r="U309" s="32"/>
      <c r="V309" s="32"/>
      <c r="W309" s="32"/>
      <c r="X309" s="32"/>
      <c r="Y309" s="32"/>
      <c r="Z309" s="32"/>
      <c r="AA309" s="32"/>
      <c r="AB309" s="32"/>
      <c r="AC309" s="32"/>
      <c r="AD309" s="32"/>
      <c r="AE309" s="32"/>
      <c r="AF309" s="32"/>
      <c r="AG309" s="32"/>
      <c r="AH309" s="32"/>
      <c r="AI309" s="32"/>
      <c r="AJ309" s="32"/>
    </row>
    <row r="310">
      <c r="A310" s="32"/>
      <c r="B310" s="32"/>
      <c r="C310" s="32"/>
      <c r="D310" s="32"/>
      <c r="E310" s="32"/>
      <c r="F310" s="32"/>
      <c r="G310" s="32"/>
      <c r="H310" s="32"/>
      <c r="I310" s="32"/>
      <c r="J310" s="32"/>
      <c r="K310" s="32"/>
      <c r="L310" s="32"/>
      <c r="M310" s="32"/>
      <c r="N310" s="32"/>
      <c r="O310" s="32"/>
      <c r="P310" s="32"/>
      <c r="Q310" s="32"/>
      <c r="R310" s="32"/>
      <c r="S310" s="32"/>
      <c r="T310" s="32"/>
      <c r="U310" s="32"/>
      <c r="V310" s="32"/>
      <c r="W310" s="32"/>
      <c r="X310" s="32"/>
      <c r="Y310" s="32"/>
      <c r="Z310" s="32"/>
      <c r="AA310" s="32"/>
      <c r="AB310" s="32"/>
      <c r="AC310" s="32"/>
      <c r="AD310" s="32"/>
      <c r="AE310" s="32"/>
      <c r="AF310" s="32"/>
      <c r="AG310" s="32"/>
      <c r="AH310" s="32"/>
      <c r="AI310" s="32"/>
      <c r="AJ310" s="32"/>
    </row>
    <row r="311">
      <c r="A311" s="32"/>
      <c r="B311" s="32"/>
      <c r="C311" s="32"/>
      <c r="D311" s="32"/>
      <c r="E311" s="32"/>
      <c r="F311" s="32"/>
      <c r="G311" s="32"/>
      <c r="H311" s="32"/>
      <c r="I311" s="32"/>
      <c r="J311" s="32"/>
      <c r="K311" s="32"/>
      <c r="L311" s="32"/>
      <c r="M311" s="32"/>
      <c r="N311" s="32"/>
      <c r="O311" s="32"/>
      <c r="P311" s="32"/>
      <c r="Q311" s="32"/>
      <c r="R311" s="32"/>
      <c r="S311" s="32"/>
      <c r="T311" s="32"/>
      <c r="U311" s="32"/>
      <c r="V311" s="32"/>
      <c r="W311" s="32"/>
      <c r="X311" s="32"/>
      <c r="Y311" s="32"/>
      <c r="Z311" s="32"/>
      <c r="AA311" s="32"/>
      <c r="AB311" s="32"/>
      <c r="AC311" s="32"/>
      <c r="AD311" s="32"/>
      <c r="AE311" s="32"/>
      <c r="AF311" s="32"/>
      <c r="AG311" s="32"/>
      <c r="AH311" s="32"/>
      <c r="AI311" s="32"/>
      <c r="AJ311" s="32"/>
    </row>
    <row r="312">
      <c r="A312" s="32"/>
      <c r="B312" s="32"/>
      <c r="C312" s="32"/>
      <c r="D312" s="32"/>
      <c r="E312" s="32"/>
      <c r="F312" s="32"/>
      <c r="G312" s="32"/>
      <c r="H312" s="32"/>
      <c r="I312" s="32"/>
      <c r="J312" s="32"/>
      <c r="K312" s="32"/>
      <c r="L312" s="32"/>
      <c r="M312" s="32"/>
      <c r="N312" s="32"/>
      <c r="O312" s="32"/>
      <c r="P312" s="32"/>
      <c r="Q312" s="32"/>
      <c r="R312" s="32"/>
      <c r="S312" s="32"/>
      <c r="T312" s="32"/>
      <c r="U312" s="32"/>
      <c r="V312" s="32"/>
      <c r="W312" s="32"/>
      <c r="X312" s="32"/>
      <c r="Y312" s="32"/>
      <c r="Z312" s="32"/>
      <c r="AA312" s="32"/>
      <c r="AB312" s="32"/>
      <c r="AC312" s="32"/>
      <c r="AD312" s="32"/>
      <c r="AE312" s="32"/>
      <c r="AF312" s="32"/>
      <c r="AG312" s="32"/>
      <c r="AH312" s="32"/>
      <c r="AI312" s="32"/>
      <c r="AJ312" s="32"/>
    </row>
    <row r="313">
      <c r="A313" s="32"/>
      <c r="B313" s="32"/>
      <c r="C313" s="32"/>
      <c r="D313" s="32"/>
      <c r="E313" s="32"/>
      <c r="F313" s="32"/>
      <c r="G313" s="32"/>
      <c r="H313" s="32"/>
      <c r="I313" s="32"/>
      <c r="J313" s="32"/>
      <c r="K313" s="32"/>
      <c r="L313" s="32"/>
      <c r="M313" s="32"/>
      <c r="N313" s="32"/>
      <c r="O313" s="32"/>
      <c r="P313" s="32"/>
      <c r="Q313" s="32"/>
      <c r="R313" s="32"/>
      <c r="S313" s="32"/>
      <c r="T313" s="32"/>
      <c r="U313" s="32"/>
      <c r="V313" s="32"/>
      <c r="W313" s="32"/>
      <c r="X313" s="32"/>
      <c r="Y313" s="32"/>
      <c r="Z313" s="32"/>
      <c r="AA313" s="32"/>
      <c r="AB313" s="32"/>
      <c r="AC313" s="32"/>
      <c r="AD313" s="32"/>
      <c r="AE313" s="32"/>
      <c r="AF313" s="32"/>
      <c r="AG313" s="32"/>
      <c r="AH313" s="32"/>
      <c r="AI313" s="32"/>
      <c r="AJ313" s="32"/>
    </row>
    <row r="314">
      <c r="A314" s="32"/>
      <c r="B314" s="32"/>
      <c r="C314" s="32"/>
      <c r="D314" s="32"/>
      <c r="E314" s="32"/>
      <c r="F314" s="32"/>
      <c r="G314" s="32"/>
      <c r="H314" s="32"/>
      <c r="I314" s="32"/>
      <c r="J314" s="32"/>
      <c r="K314" s="32"/>
      <c r="L314" s="32"/>
      <c r="M314" s="32"/>
      <c r="N314" s="32"/>
      <c r="O314" s="32"/>
      <c r="P314" s="32"/>
      <c r="Q314" s="32"/>
      <c r="R314" s="32"/>
      <c r="S314" s="32"/>
      <c r="T314" s="32"/>
      <c r="U314" s="32"/>
      <c r="V314" s="32"/>
      <c r="W314" s="32"/>
      <c r="X314" s="32"/>
      <c r="Y314" s="32"/>
      <c r="Z314" s="32"/>
      <c r="AA314" s="32"/>
      <c r="AB314" s="32"/>
      <c r="AC314" s="32"/>
      <c r="AD314" s="32"/>
      <c r="AE314" s="32"/>
      <c r="AF314" s="32"/>
      <c r="AG314" s="32"/>
      <c r="AH314" s="32"/>
      <c r="AI314" s="32"/>
      <c r="AJ314" s="32"/>
    </row>
    <row r="315">
      <c r="A315" s="32"/>
      <c r="B315" s="32"/>
      <c r="C315" s="32"/>
      <c r="D315" s="32"/>
      <c r="E315" s="32"/>
      <c r="F315" s="32"/>
      <c r="G315" s="32"/>
      <c r="H315" s="32"/>
      <c r="I315" s="32"/>
      <c r="J315" s="32"/>
      <c r="K315" s="32"/>
      <c r="L315" s="32"/>
      <c r="M315" s="32"/>
      <c r="N315" s="32"/>
      <c r="O315" s="32"/>
      <c r="P315" s="32"/>
      <c r="Q315" s="32"/>
      <c r="R315" s="32"/>
      <c r="S315" s="32"/>
      <c r="T315" s="32"/>
      <c r="U315" s="32"/>
      <c r="V315" s="32"/>
      <c r="W315" s="32"/>
      <c r="X315" s="32"/>
      <c r="Y315" s="32"/>
      <c r="Z315" s="32"/>
      <c r="AA315" s="32"/>
      <c r="AB315" s="32"/>
      <c r="AC315" s="32"/>
      <c r="AD315" s="32"/>
      <c r="AE315" s="32"/>
      <c r="AF315" s="32"/>
      <c r="AG315" s="32"/>
      <c r="AH315" s="32"/>
      <c r="AI315" s="32"/>
      <c r="AJ315" s="32"/>
    </row>
    <row r="316">
      <c r="A316" s="32"/>
      <c r="B316" s="32"/>
      <c r="C316" s="32"/>
      <c r="D316" s="32"/>
      <c r="E316" s="32"/>
      <c r="F316" s="32"/>
      <c r="G316" s="32"/>
      <c r="H316" s="32"/>
      <c r="I316" s="32"/>
      <c r="J316" s="32"/>
      <c r="K316" s="32"/>
      <c r="L316" s="32"/>
      <c r="M316" s="32"/>
      <c r="N316" s="32"/>
      <c r="O316" s="32"/>
      <c r="P316" s="32"/>
      <c r="Q316" s="32"/>
      <c r="R316" s="32"/>
      <c r="S316" s="32"/>
      <c r="T316" s="32"/>
      <c r="U316" s="32"/>
      <c r="V316" s="32"/>
      <c r="W316" s="32"/>
      <c r="X316" s="32"/>
      <c r="Y316" s="32"/>
      <c r="Z316" s="32"/>
      <c r="AA316" s="32"/>
      <c r="AB316" s="32"/>
      <c r="AC316" s="32"/>
      <c r="AD316" s="32"/>
      <c r="AE316" s="32"/>
      <c r="AF316" s="32"/>
      <c r="AG316" s="32"/>
      <c r="AH316" s="32"/>
      <c r="AI316" s="32"/>
      <c r="AJ316" s="32"/>
    </row>
    <row r="317">
      <c r="A317" s="32"/>
      <c r="B317" s="32"/>
      <c r="C317" s="32"/>
      <c r="D317" s="32"/>
      <c r="E317" s="32"/>
      <c r="F317" s="32"/>
      <c r="G317" s="32"/>
      <c r="H317" s="32"/>
      <c r="I317" s="32"/>
      <c r="J317" s="32"/>
      <c r="K317" s="32"/>
      <c r="L317" s="32"/>
      <c r="M317" s="32"/>
      <c r="N317" s="32"/>
      <c r="O317" s="32"/>
      <c r="P317" s="32"/>
      <c r="Q317" s="32"/>
      <c r="R317" s="32"/>
      <c r="S317" s="32"/>
      <c r="T317" s="32"/>
      <c r="U317" s="32"/>
      <c r="V317" s="32"/>
      <c r="W317" s="32"/>
      <c r="X317" s="32"/>
      <c r="Y317" s="32"/>
      <c r="Z317" s="32"/>
      <c r="AA317" s="32"/>
      <c r="AB317" s="32"/>
      <c r="AC317" s="32"/>
      <c r="AD317" s="32"/>
      <c r="AE317" s="32"/>
      <c r="AF317" s="32"/>
      <c r="AG317" s="32"/>
      <c r="AH317" s="32"/>
      <c r="AI317" s="32"/>
      <c r="AJ317" s="32"/>
    </row>
    <row r="318">
      <c r="A318" s="32"/>
      <c r="B318" s="32"/>
      <c r="C318" s="32"/>
      <c r="D318" s="32"/>
      <c r="E318" s="32"/>
      <c r="F318" s="32"/>
      <c r="G318" s="32"/>
      <c r="H318" s="32"/>
      <c r="I318" s="32"/>
      <c r="J318" s="32"/>
      <c r="K318" s="32"/>
      <c r="L318" s="32"/>
      <c r="M318" s="32"/>
      <c r="N318" s="32"/>
      <c r="O318" s="32"/>
      <c r="P318" s="32"/>
      <c r="Q318" s="32"/>
      <c r="R318" s="32"/>
      <c r="S318" s="32"/>
      <c r="T318" s="32"/>
      <c r="U318" s="32"/>
      <c r="V318" s="32"/>
      <c r="W318" s="32"/>
      <c r="X318" s="32"/>
      <c r="Y318" s="32"/>
      <c r="Z318" s="32"/>
      <c r="AA318" s="32"/>
      <c r="AB318" s="32"/>
      <c r="AC318" s="32"/>
      <c r="AD318" s="32"/>
      <c r="AE318" s="32"/>
      <c r="AF318" s="32"/>
      <c r="AG318" s="32"/>
      <c r="AH318" s="32"/>
      <c r="AI318" s="32"/>
      <c r="AJ318" s="32"/>
    </row>
    <row r="319">
      <c r="A319" s="32"/>
      <c r="B319" s="32"/>
      <c r="C319" s="32"/>
      <c r="D319" s="32"/>
      <c r="E319" s="32"/>
      <c r="F319" s="32"/>
      <c r="G319" s="32"/>
      <c r="H319" s="32"/>
      <c r="I319" s="32"/>
      <c r="J319" s="32"/>
      <c r="K319" s="32"/>
      <c r="L319" s="32"/>
      <c r="M319" s="32"/>
      <c r="N319" s="32"/>
      <c r="O319" s="32"/>
      <c r="P319" s="32"/>
      <c r="Q319" s="32"/>
      <c r="R319" s="32"/>
      <c r="S319" s="32"/>
      <c r="T319" s="32"/>
      <c r="U319" s="32"/>
      <c r="V319" s="32"/>
      <c r="W319" s="32"/>
      <c r="X319" s="32"/>
      <c r="Y319" s="32"/>
      <c r="Z319" s="32"/>
      <c r="AA319" s="32"/>
      <c r="AB319" s="32"/>
      <c r="AC319" s="32"/>
      <c r="AD319" s="32"/>
      <c r="AE319" s="32"/>
      <c r="AF319" s="32"/>
      <c r="AG319" s="32"/>
      <c r="AH319" s="32"/>
      <c r="AI319" s="32"/>
      <c r="AJ319" s="32"/>
    </row>
    <row r="320">
      <c r="A320" s="32"/>
      <c r="B320" s="32"/>
      <c r="C320" s="32"/>
      <c r="D320" s="32"/>
      <c r="E320" s="32"/>
      <c r="F320" s="32"/>
      <c r="G320" s="32"/>
      <c r="H320" s="32"/>
      <c r="I320" s="32"/>
      <c r="J320" s="32"/>
      <c r="K320" s="32"/>
      <c r="L320" s="32"/>
      <c r="M320" s="32"/>
      <c r="N320" s="32"/>
      <c r="O320" s="32"/>
      <c r="P320" s="32"/>
      <c r="Q320" s="32"/>
      <c r="R320" s="32"/>
      <c r="S320" s="32"/>
      <c r="T320" s="32"/>
      <c r="U320" s="32"/>
      <c r="V320" s="32"/>
      <c r="W320" s="32"/>
      <c r="X320" s="32"/>
      <c r="Y320" s="32"/>
      <c r="Z320" s="32"/>
      <c r="AA320" s="32"/>
      <c r="AB320" s="32"/>
      <c r="AC320" s="32"/>
      <c r="AD320" s="32"/>
      <c r="AE320" s="32"/>
      <c r="AF320" s="32"/>
      <c r="AG320" s="32"/>
      <c r="AH320" s="32"/>
      <c r="AI320" s="32"/>
      <c r="AJ320" s="32"/>
    </row>
    <row r="321">
      <c r="A321" s="32"/>
      <c r="B321" s="32"/>
      <c r="C321" s="32"/>
      <c r="D321" s="32"/>
      <c r="E321" s="32"/>
      <c r="F321" s="32"/>
      <c r="G321" s="32"/>
      <c r="H321" s="32"/>
      <c r="I321" s="32"/>
      <c r="J321" s="32"/>
      <c r="K321" s="32"/>
      <c r="L321" s="32"/>
      <c r="M321" s="32"/>
      <c r="N321" s="32"/>
      <c r="O321" s="32"/>
      <c r="P321" s="32"/>
      <c r="Q321" s="32"/>
      <c r="R321" s="32"/>
      <c r="S321" s="32"/>
      <c r="T321" s="32"/>
      <c r="U321" s="32"/>
      <c r="V321" s="32"/>
      <c r="W321" s="32"/>
      <c r="X321" s="32"/>
      <c r="Y321" s="32"/>
      <c r="Z321" s="32"/>
      <c r="AA321" s="32"/>
      <c r="AB321" s="32"/>
      <c r="AC321" s="32"/>
      <c r="AD321" s="32"/>
      <c r="AE321" s="32"/>
      <c r="AF321" s="32"/>
      <c r="AG321" s="32"/>
      <c r="AH321" s="32"/>
      <c r="AI321" s="32"/>
      <c r="AJ321" s="32"/>
    </row>
    <row r="322">
      <c r="A322" s="32"/>
      <c r="B322" s="32"/>
      <c r="C322" s="32"/>
      <c r="D322" s="32"/>
      <c r="E322" s="32"/>
      <c r="F322" s="32"/>
      <c r="G322" s="32"/>
      <c r="H322" s="32"/>
      <c r="I322" s="32"/>
      <c r="J322" s="32"/>
      <c r="K322" s="32"/>
      <c r="L322" s="32"/>
      <c r="M322" s="32"/>
      <c r="N322" s="32"/>
      <c r="O322" s="32"/>
      <c r="P322" s="32"/>
      <c r="Q322" s="32"/>
      <c r="R322" s="32"/>
      <c r="S322" s="32"/>
      <c r="T322" s="32"/>
      <c r="U322" s="32"/>
      <c r="V322" s="32"/>
      <c r="W322" s="32"/>
      <c r="X322" s="32"/>
      <c r="Y322" s="32"/>
      <c r="Z322" s="32"/>
      <c r="AA322" s="32"/>
      <c r="AB322" s="32"/>
      <c r="AC322" s="32"/>
      <c r="AD322" s="32"/>
      <c r="AE322" s="32"/>
      <c r="AF322" s="32"/>
      <c r="AG322" s="32"/>
      <c r="AH322" s="32"/>
      <c r="AI322" s="32"/>
      <c r="AJ322" s="32"/>
    </row>
    <row r="323">
      <c r="A323" s="32"/>
      <c r="B323" s="32"/>
      <c r="C323" s="32"/>
      <c r="D323" s="32"/>
      <c r="E323" s="32"/>
      <c r="F323" s="32"/>
      <c r="G323" s="32"/>
      <c r="H323" s="32"/>
      <c r="I323" s="32"/>
      <c r="J323" s="32"/>
      <c r="K323" s="32"/>
      <c r="L323" s="32"/>
      <c r="M323" s="32"/>
      <c r="N323" s="32"/>
      <c r="O323" s="32"/>
      <c r="P323" s="32"/>
      <c r="Q323" s="32"/>
      <c r="R323" s="32"/>
      <c r="S323" s="32"/>
      <c r="T323" s="32"/>
      <c r="U323" s="32"/>
      <c r="V323" s="32"/>
      <c r="W323" s="32"/>
      <c r="X323" s="32"/>
      <c r="Y323" s="32"/>
      <c r="Z323" s="32"/>
      <c r="AA323" s="32"/>
      <c r="AB323" s="32"/>
      <c r="AC323" s="32"/>
      <c r="AD323" s="32"/>
      <c r="AE323" s="32"/>
      <c r="AF323" s="32"/>
      <c r="AG323" s="32"/>
      <c r="AH323" s="32"/>
      <c r="AI323" s="32"/>
      <c r="AJ323" s="32"/>
    </row>
    <row r="324">
      <c r="A324" s="32"/>
      <c r="B324" s="32"/>
      <c r="C324" s="32"/>
      <c r="D324" s="32"/>
      <c r="E324" s="32"/>
      <c r="F324" s="32"/>
      <c r="G324" s="32"/>
      <c r="H324" s="32"/>
      <c r="I324" s="32"/>
      <c r="J324" s="32"/>
      <c r="K324" s="32"/>
      <c r="L324" s="32"/>
      <c r="M324" s="32"/>
      <c r="N324" s="32"/>
      <c r="O324" s="32"/>
      <c r="P324" s="32"/>
      <c r="Q324" s="32"/>
      <c r="R324" s="32"/>
      <c r="S324" s="32"/>
      <c r="T324" s="32"/>
      <c r="U324" s="32"/>
      <c r="V324" s="32"/>
      <c r="W324" s="32"/>
      <c r="X324" s="32"/>
      <c r="Y324" s="32"/>
      <c r="Z324" s="32"/>
      <c r="AA324" s="32"/>
      <c r="AB324" s="32"/>
      <c r="AC324" s="32"/>
      <c r="AD324" s="32"/>
      <c r="AE324" s="32"/>
      <c r="AF324" s="32"/>
      <c r="AG324" s="32"/>
      <c r="AH324" s="32"/>
      <c r="AI324" s="32"/>
      <c r="AJ324" s="32"/>
    </row>
    <row r="325">
      <c r="A325" s="32"/>
      <c r="B325" s="32"/>
      <c r="C325" s="32"/>
      <c r="D325" s="32"/>
      <c r="E325" s="32"/>
      <c r="F325" s="32"/>
      <c r="G325" s="32"/>
      <c r="H325" s="32"/>
      <c r="I325" s="32"/>
      <c r="J325" s="32"/>
      <c r="K325" s="32"/>
      <c r="L325" s="32"/>
      <c r="M325" s="32"/>
      <c r="N325" s="32"/>
      <c r="O325" s="32"/>
      <c r="P325" s="32"/>
      <c r="Q325" s="32"/>
      <c r="R325" s="32"/>
      <c r="S325" s="32"/>
      <c r="T325" s="32"/>
      <c r="U325" s="32"/>
      <c r="V325" s="32"/>
      <c r="W325" s="32"/>
      <c r="X325" s="32"/>
      <c r="Y325" s="32"/>
      <c r="Z325" s="32"/>
      <c r="AA325" s="32"/>
      <c r="AB325" s="32"/>
      <c r="AC325" s="32"/>
      <c r="AD325" s="32"/>
      <c r="AE325" s="32"/>
      <c r="AF325" s="32"/>
      <c r="AG325" s="32"/>
      <c r="AH325" s="32"/>
      <c r="AI325" s="32"/>
      <c r="AJ325" s="32"/>
    </row>
    <row r="326">
      <c r="A326" s="32"/>
      <c r="B326" s="32"/>
      <c r="C326" s="32"/>
      <c r="D326" s="32"/>
      <c r="E326" s="32"/>
      <c r="F326" s="32"/>
      <c r="G326" s="32"/>
      <c r="H326" s="32"/>
      <c r="I326" s="32"/>
      <c r="J326" s="32"/>
      <c r="K326" s="32"/>
      <c r="L326" s="32"/>
      <c r="M326" s="32"/>
      <c r="N326" s="32"/>
      <c r="O326" s="32"/>
      <c r="P326" s="32"/>
      <c r="Q326" s="32"/>
      <c r="R326" s="32"/>
      <c r="S326" s="32"/>
      <c r="T326" s="32"/>
      <c r="U326" s="32"/>
      <c r="V326" s="32"/>
      <c r="W326" s="32"/>
      <c r="X326" s="32"/>
      <c r="Y326" s="32"/>
      <c r="Z326" s="32"/>
      <c r="AA326" s="32"/>
      <c r="AB326" s="32"/>
      <c r="AC326" s="32"/>
      <c r="AD326" s="32"/>
      <c r="AE326" s="32"/>
      <c r="AF326" s="32"/>
      <c r="AG326" s="32"/>
      <c r="AH326" s="32"/>
      <c r="AI326" s="32"/>
      <c r="AJ326" s="32"/>
    </row>
    <row r="327">
      <c r="A327" s="32"/>
      <c r="B327" s="32"/>
      <c r="C327" s="32"/>
      <c r="D327" s="32"/>
      <c r="E327" s="32"/>
      <c r="F327" s="32"/>
      <c r="G327" s="32"/>
      <c r="H327" s="32"/>
      <c r="I327" s="32"/>
      <c r="J327" s="32"/>
      <c r="K327" s="32"/>
      <c r="L327" s="32"/>
      <c r="M327" s="32"/>
      <c r="N327" s="32"/>
      <c r="O327" s="32"/>
      <c r="P327" s="32"/>
      <c r="Q327" s="32"/>
      <c r="R327" s="32"/>
      <c r="S327" s="32"/>
      <c r="T327" s="32"/>
      <c r="U327" s="32"/>
      <c r="V327" s="32"/>
      <c r="W327" s="32"/>
      <c r="X327" s="32"/>
      <c r="Y327" s="32"/>
      <c r="Z327" s="32"/>
      <c r="AA327" s="32"/>
      <c r="AB327" s="32"/>
      <c r="AC327" s="32"/>
      <c r="AD327" s="32"/>
      <c r="AE327" s="32"/>
      <c r="AF327" s="32"/>
      <c r="AG327" s="32"/>
      <c r="AH327" s="32"/>
      <c r="AI327" s="32"/>
      <c r="AJ327" s="32"/>
    </row>
    <row r="328">
      <c r="A328" s="32"/>
      <c r="B328" s="32"/>
      <c r="C328" s="32"/>
      <c r="D328" s="32"/>
      <c r="E328" s="32"/>
      <c r="F328" s="32"/>
      <c r="G328" s="32"/>
      <c r="H328" s="32"/>
      <c r="I328" s="32"/>
      <c r="J328" s="32"/>
      <c r="K328" s="32"/>
      <c r="L328" s="32"/>
      <c r="M328" s="32"/>
      <c r="N328" s="32"/>
      <c r="O328" s="32"/>
      <c r="P328" s="32"/>
      <c r="Q328" s="32"/>
      <c r="R328" s="32"/>
      <c r="S328" s="32"/>
      <c r="T328" s="32"/>
      <c r="U328" s="32"/>
      <c r="V328" s="32"/>
      <c r="W328" s="32"/>
      <c r="X328" s="32"/>
      <c r="Y328" s="32"/>
      <c r="Z328" s="32"/>
      <c r="AA328" s="32"/>
      <c r="AB328" s="32"/>
      <c r="AC328" s="32"/>
      <c r="AD328" s="32"/>
      <c r="AE328" s="32"/>
      <c r="AF328" s="32"/>
      <c r="AG328" s="32"/>
      <c r="AH328" s="32"/>
      <c r="AI328" s="32"/>
      <c r="AJ328" s="32"/>
    </row>
    <row r="329">
      <c r="A329" s="32"/>
      <c r="B329" s="32"/>
      <c r="C329" s="32"/>
      <c r="D329" s="32"/>
      <c r="E329" s="32"/>
      <c r="F329" s="32"/>
      <c r="G329" s="32"/>
      <c r="H329" s="32"/>
      <c r="I329" s="32"/>
      <c r="J329" s="32"/>
      <c r="K329" s="32"/>
      <c r="L329" s="32"/>
      <c r="M329" s="32"/>
      <c r="N329" s="32"/>
      <c r="O329" s="32"/>
      <c r="P329" s="32"/>
      <c r="Q329" s="32"/>
      <c r="R329" s="32"/>
      <c r="S329" s="32"/>
      <c r="T329" s="32"/>
      <c r="U329" s="32"/>
      <c r="V329" s="32"/>
      <c r="W329" s="32"/>
      <c r="X329" s="32"/>
      <c r="Y329" s="32"/>
      <c r="Z329" s="32"/>
      <c r="AA329" s="32"/>
      <c r="AB329" s="32"/>
      <c r="AC329" s="32"/>
      <c r="AD329" s="32"/>
      <c r="AE329" s="32"/>
      <c r="AF329" s="32"/>
      <c r="AG329" s="32"/>
      <c r="AH329" s="32"/>
      <c r="AI329" s="32"/>
      <c r="AJ329" s="32"/>
    </row>
    <row r="330">
      <c r="A330" s="32"/>
      <c r="B330" s="32"/>
      <c r="C330" s="32"/>
      <c r="D330" s="32"/>
      <c r="E330" s="32"/>
      <c r="F330" s="32"/>
      <c r="G330" s="32"/>
      <c r="H330" s="32"/>
      <c r="I330" s="32"/>
      <c r="J330" s="32"/>
      <c r="K330" s="32"/>
      <c r="L330" s="32"/>
      <c r="M330" s="32"/>
      <c r="N330" s="32"/>
      <c r="O330" s="32"/>
      <c r="P330" s="32"/>
      <c r="Q330" s="32"/>
      <c r="R330" s="32"/>
      <c r="S330" s="32"/>
      <c r="T330" s="32"/>
      <c r="U330" s="32"/>
      <c r="V330" s="32"/>
      <c r="W330" s="32"/>
      <c r="X330" s="32"/>
      <c r="Y330" s="32"/>
      <c r="Z330" s="32"/>
      <c r="AA330" s="32"/>
      <c r="AB330" s="32"/>
      <c r="AC330" s="32"/>
      <c r="AD330" s="32"/>
      <c r="AE330" s="32"/>
      <c r="AF330" s="32"/>
      <c r="AG330" s="32"/>
      <c r="AH330" s="32"/>
      <c r="AI330" s="32"/>
      <c r="AJ330" s="32"/>
    </row>
    <row r="331">
      <c r="A331" s="32"/>
      <c r="B331" s="32"/>
      <c r="C331" s="32"/>
      <c r="D331" s="32"/>
      <c r="E331" s="32"/>
      <c r="F331" s="32"/>
      <c r="G331" s="32"/>
      <c r="H331" s="32"/>
      <c r="I331" s="32"/>
      <c r="J331" s="32"/>
      <c r="K331" s="32"/>
      <c r="L331" s="32"/>
      <c r="M331" s="32"/>
      <c r="N331" s="32"/>
      <c r="O331" s="32"/>
      <c r="P331" s="32"/>
      <c r="Q331" s="32"/>
      <c r="R331" s="32"/>
      <c r="S331" s="32"/>
      <c r="T331" s="32"/>
      <c r="U331" s="32"/>
      <c r="V331" s="32"/>
      <c r="W331" s="32"/>
      <c r="X331" s="32"/>
      <c r="Y331" s="32"/>
      <c r="Z331" s="32"/>
      <c r="AA331" s="32"/>
      <c r="AB331" s="32"/>
      <c r="AC331" s="32"/>
      <c r="AD331" s="32"/>
      <c r="AE331" s="32"/>
      <c r="AF331" s="32"/>
      <c r="AG331" s="32"/>
      <c r="AH331" s="32"/>
      <c r="AI331" s="32"/>
      <c r="AJ331" s="32"/>
    </row>
    <row r="332">
      <c r="A332" s="32"/>
      <c r="B332" s="32"/>
      <c r="C332" s="32"/>
      <c r="D332" s="32"/>
      <c r="E332" s="32"/>
      <c r="F332" s="32"/>
      <c r="G332" s="32"/>
      <c r="H332" s="32"/>
      <c r="I332" s="32"/>
      <c r="J332" s="32"/>
      <c r="K332" s="32"/>
      <c r="L332" s="32"/>
      <c r="M332" s="32"/>
      <c r="N332" s="32"/>
      <c r="O332" s="32"/>
      <c r="P332" s="32"/>
      <c r="Q332" s="32"/>
      <c r="R332" s="32"/>
      <c r="S332" s="32"/>
      <c r="T332" s="32"/>
      <c r="U332" s="32"/>
      <c r="V332" s="32"/>
      <c r="W332" s="32"/>
      <c r="X332" s="32"/>
      <c r="Y332" s="32"/>
      <c r="Z332" s="32"/>
      <c r="AA332" s="32"/>
      <c r="AB332" s="32"/>
      <c r="AC332" s="32"/>
      <c r="AD332" s="32"/>
      <c r="AE332" s="32"/>
      <c r="AF332" s="32"/>
      <c r="AG332" s="32"/>
      <c r="AH332" s="32"/>
      <c r="AI332" s="32"/>
      <c r="AJ332" s="32"/>
    </row>
    <row r="333">
      <c r="A333" s="32"/>
      <c r="B333" s="32"/>
      <c r="C333" s="32"/>
      <c r="D333" s="32"/>
      <c r="E333" s="32"/>
      <c r="F333" s="32"/>
      <c r="G333" s="32"/>
      <c r="H333" s="32"/>
      <c r="I333" s="32"/>
      <c r="J333" s="32"/>
      <c r="K333" s="32"/>
      <c r="L333" s="32"/>
      <c r="M333" s="32"/>
      <c r="N333" s="32"/>
      <c r="O333" s="32"/>
      <c r="P333" s="32"/>
      <c r="Q333" s="32"/>
      <c r="R333" s="32"/>
      <c r="S333" s="32"/>
      <c r="T333" s="32"/>
      <c r="U333" s="32"/>
      <c r="V333" s="32"/>
      <c r="W333" s="32"/>
      <c r="X333" s="32"/>
      <c r="Y333" s="32"/>
      <c r="Z333" s="32"/>
      <c r="AA333" s="32"/>
      <c r="AB333" s="32"/>
      <c r="AC333" s="32"/>
      <c r="AD333" s="32"/>
      <c r="AE333" s="32"/>
      <c r="AF333" s="32"/>
      <c r="AG333" s="32"/>
      <c r="AH333" s="32"/>
      <c r="AI333" s="32"/>
      <c r="AJ333" s="32"/>
    </row>
    <row r="334">
      <c r="A334" s="32"/>
      <c r="B334" s="32"/>
      <c r="C334" s="32"/>
      <c r="D334" s="32"/>
      <c r="E334" s="32"/>
      <c r="F334" s="32"/>
      <c r="G334" s="32"/>
      <c r="H334" s="32"/>
      <c r="I334" s="32"/>
      <c r="J334" s="32"/>
      <c r="K334" s="32"/>
      <c r="L334" s="32"/>
      <c r="M334" s="32"/>
      <c r="N334" s="32"/>
      <c r="O334" s="32"/>
      <c r="P334" s="32"/>
      <c r="Q334" s="32"/>
      <c r="R334" s="32"/>
      <c r="S334" s="32"/>
      <c r="T334" s="32"/>
      <c r="U334" s="32"/>
      <c r="V334" s="32"/>
      <c r="W334" s="32"/>
      <c r="X334" s="32"/>
      <c r="Y334" s="32"/>
      <c r="Z334" s="32"/>
      <c r="AA334" s="32"/>
      <c r="AB334" s="32"/>
      <c r="AC334" s="32"/>
      <c r="AD334" s="32"/>
      <c r="AE334" s="32"/>
      <c r="AF334" s="32"/>
      <c r="AG334" s="32"/>
      <c r="AH334" s="32"/>
      <c r="AI334" s="32"/>
      <c r="AJ334" s="32"/>
    </row>
    <row r="335">
      <c r="A335" s="32"/>
      <c r="B335" s="32"/>
      <c r="C335" s="32"/>
      <c r="D335" s="32"/>
      <c r="E335" s="32"/>
      <c r="F335" s="32"/>
      <c r="G335" s="32"/>
      <c r="H335" s="32"/>
      <c r="I335" s="32"/>
      <c r="J335" s="32"/>
      <c r="K335" s="32"/>
      <c r="L335" s="32"/>
      <c r="M335" s="32"/>
      <c r="N335" s="32"/>
      <c r="O335" s="32"/>
      <c r="P335" s="32"/>
      <c r="Q335" s="32"/>
      <c r="R335" s="32"/>
      <c r="S335" s="32"/>
      <c r="T335" s="32"/>
      <c r="U335" s="32"/>
      <c r="V335" s="32"/>
      <c r="W335" s="32"/>
      <c r="X335" s="32"/>
      <c r="Y335" s="32"/>
      <c r="Z335" s="32"/>
      <c r="AA335" s="32"/>
      <c r="AB335" s="32"/>
      <c r="AC335" s="32"/>
      <c r="AD335" s="32"/>
      <c r="AE335" s="32"/>
      <c r="AF335" s="32"/>
      <c r="AG335" s="32"/>
      <c r="AH335" s="32"/>
      <c r="AI335" s="32"/>
      <c r="AJ335" s="32"/>
    </row>
    <row r="336">
      <c r="A336" s="32"/>
      <c r="B336" s="32"/>
      <c r="C336" s="32"/>
      <c r="D336" s="32"/>
      <c r="E336" s="32"/>
      <c r="F336" s="32"/>
      <c r="G336" s="32"/>
      <c r="H336" s="32"/>
      <c r="I336" s="32"/>
      <c r="J336" s="32"/>
      <c r="K336" s="32"/>
      <c r="L336" s="32"/>
      <c r="M336" s="32"/>
      <c r="N336" s="32"/>
      <c r="O336" s="32"/>
      <c r="P336" s="32"/>
      <c r="Q336" s="32"/>
      <c r="R336" s="32"/>
      <c r="S336" s="32"/>
      <c r="T336" s="32"/>
      <c r="U336" s="32"/>
      <c r="V336" s="32"/>
      <c r="W336" s="32"/>
      <c r="X336" s="32"/>
      <c r="Y336" s="32"/>
      <c r="Z336" s="32"/>
      <c r="AA336" s="32"/>
      <c r="AB336" s="32"/>
      <c r="AC336" s="32"/>
      <c r="AD336" s="32"/>
      <c r="AE336" s="32"/>
      <c r="AF336" s="32"/>
      <c r="AG336" s="32"/>
      <c r="AH336" s="32"/>
      <c r="AI336" s="32"/>
      <c r="AJ336" s="32"/>
    </row>
    <row r="337">
      <c r="A337" s="32"/>
      <c r="B337" s="32"/>
      <c r="C337" s="32"/>
      <c r="D337" s="32"/>
      <c r="E337" s="32"/>
      <c r="F337" s="32"/>
      <c r="G337" s="32"/>
      <c r="H337" s="32"/>
      <c r="I337" s="32"/>
      <c r="J337" s="32"/>
      <c r="K337" s="32"/>
      <c r="L337" s="32"/>
      <c r="M337" s="32"/>
      <c r="N337" s="32"/>
      <c r="O337" s="32"/>
      <c r="P337" s="32"/>
      <c r="Q337" s="32"/>
      <c r="R337" s="32"/>
      <c r="S337" s="32"/>
      <c r="T337" s="32"/>
      <c r="U337" s="32"/>
      <c r="V337" s="32"/>
      <c r="W337" s="32"/>
      <c r="X337" s="32"/>
      <c r="Y337" s="32"/>
      <c r="Z337" s="32"/>
      <c r="AA337" s="32"/>
      <c r="AB337" s="32"/>
      <c r="AC337" s="32"/>
      <c r="AD337" s="32"/>
      <c r="AE337" s="32"/>
      <c r="AF337" s="32"/>
      <c r="AG337" s="32"/>
      <c r="AH337" s="32"/>
      <c r="AI337" s="32"/>
      <c r="AJ337" s="32"/>
    </row>
    <row r="338">
      <c r="A338" s="32"/>
      <c r="B338" s="32"/>
      <c r="C338" s="32"/>
      <c r="D338" s="32"/>
      <c r="E338" s="32"/>
      <c r="F338" s="32"/>
      <c r="G338" s="32"/>
      <c r="H338" s="32"/>
      <c r="I338" s="32"/>
      <c r="J338" s="32"/>
      <c r="K338" s="32"/>
      <c r="L338" s="32"/>
      <c r="M338" s="32"/>
      <c r="N338" s="32"/>
      <c r="O338" s="32"/>
      <c r="P338" s="32"/>
      <c r="Q338" s="32"/>
      <c r="R338" s="32"/>
      <c r="S338" s="32"/>
      <c r="T338" s="32"/>
      <c r="U338" s="32"/>
      <c r="V338" s="32"/>
      <c r="W338" s="32"/>
      <c r="X338" s="32"/>
      <c r="Y338" s="32"/>
      <c r="Z338" s="32"/>
      <c r="AA338" s="32"/>
      <c r="AB338" s="32"/>
      <c r="AC338" s="32"/>
      <c r="AD338" s="32"/>
      <c r="AE338" s="32"/>
      <c r="AF338" s="32"/>
      <c r="AG338" s="32"/>
      <c r="AH338" s="32"/>
      <c r="AI338" s="32"/>
      <c r="AJ338" s="32"/>
    </row>
    <row r="339">
      <c r="A339" s="32"/>
      <c r="B339" s="32"/>
      <c r="C339" s="32"/>
      <c r="D339" s="32"/>
      <c r="E339" s="32"/>
      <c r="F339" s="32"/>
      <c r="G339" s="32"/>
      <c r="H339" s="32"/>
      <c r="I339" s="32"/>
      <c r="J339" s="32"/>
      <c r="K339" s="32"/>
      <c r="L339" s="32"/>
      <c r="M339" s="32"/>
      <c r="N339" s="32"/>
      <c r="O339" s="32"/>
      <c r="P339" s="32"/>
      <c r="Q339" s="32"/>
      <c r="R339" s="32"/>
      <c r="S339" s="32"/>
      <c r="T339" s="32"/>
      <c r="U339" s="32"/>
      <c r="V339" s="32"/>
      <c r="W339" s="32"/>
      <c r="X339" s="32"/>
      <c r="Y339" s="32"/>
      <c r="Z339" s="32"/>
      <c r="AA339" s="32"/>
      <c r="AB339" s="32"/>
      <c r="AC339" s="32"/>
      <c r="AD339" s="32"/>
      <c r="AE339" s="32"/>
      <c r="AF339" s="32"/>
      <c r="AG339" s="32"/>
      <c r="AH339" s="32"/>
      <c r="AI339" s="32"/>
      <c r="AJ339" s="32"/>
    </row>
    <row r="340">
      <c r="A340" s="32"/>
      <c r="B340" s="32"/>
      <c r="C340" s="32"/>
      <c r="D340" s="32"/>
      <c r="E340" s="32"/>
      <c r="F340" s="32"/>
      <c r="G340" s="32"/>
      <c r="H340" s="32"/>
      <c r="I340" s="32"/>
      <c r="J340" s="32"/>
      <c r="K340" s="32"/>
      <c r="L340" s="32"/>
      <c r="M340" s="32"/>
      <c r="N340" s="32"/>
      <c r="O340" s="32"/>
      <c r="P340" s="32"/>
      <c r="Q340" s="32"/>
      <c r="R340" s="32"/>
      <c r="S340" s="32"/>
      <c r="T340" s="32"/>
      <c r="U340" s="32"/>
      <c r="V340" s="32"/>
      <c r="W340" s="32"/>
      <c r="X340" s="32"/>
      <c r="Y340" s="32"/>
      <c r="Z340" s="32"/>
      <c r="AA340" s="32"/>
      <c r="AB340" s="32"/>
      <c r="AC340" s="32"/>
      <c r="AD340" s="32"/>
      <c r="AE340" s="32"/>
      <c r="AF340" s="32"/>
      <c r="AG340" s="32"/>
      <c r="AH340" s="32"/>
      <c r="AI340" s="32"/>
      <c r="AJ340" s="32"/>
    </row>
    <row r="341">
      <c r="A341" s="32"/>
      <c r="B341" s="32"/>
      <c r="C341" s="32"/>
      <c r="D341" s="32"/>
      <c r="E341" s="32"/>
      <c r="F341" s="32"/>
      <c r="G341" s="32"/>
      <c r="H341" s="32"/>
      <c r="I341" s="32"/>
      <c r="J341" s="32"/>
      <c r="K341" s="32"/>
      <c r="L341" s="32"/>
      <c r="M341" s="32"/>
      <c r="N341" s="32"/>
      <c r="O341" s="32"/>
      <c r="P341" s="32"/>
      <c r="Q341" s="32"/>
      <c r="R341" s="32"/>
      <c r="S341" s="32"/>
      <c r="T341" s="32"/>
      <c r="U341" s="32"/>
      <c r="V341" s="32"/>
      <c r="W341" s="32"/>
      <c r="X341" s="32"/>
      <c r="Y341" s="32"/>
      <c r="Z341" s="32"/>
      <c r="AA341" s="32"/>
      <c r="AB341" s="32"/>
      <c r="AC341" s="32"/>
      <c r="AD341" s="32"/>
      <c r="AE341" s="32"/>
      <c r="AF341" s="32"/>
      <c r="AG341" s="32"/>
      <c r="AH341" s="32"/>
      <c r="AI341" s="32"/>
      <c r="AJ341" s="32"/>
    </row>
    <row r="342">
      <c r="A342" s="32"/>
      <c r="B342" s="32"/>
      <c r="C342" s="32"/>
      <c r="D342" s="32"/>
      <c r="E342" s="32"/>
      <c r="F342" s="32"/>
      <c r="G342" s="32"/>
      <c r="H342" s="32"/>
      <c r="I342" s="32"/>
      <c r="J342" s="32"/>
      <c r="K342" s="32"/>
      <c r="L342" s="32"/>
      <c r="M342" s="32"/>
      <c r="N342" s="32"/>
      <c r="O342" s="32"/>
      <c r="P342" s="32"/>
      <c r="Q342" s="32"/>
      <c r="R342" s="32"/>
      <c r="S342" s="32"/>
      <c r="T342" s="32"/>
      <c r="U342" s="32"/>
      <c r="V342" s="32"/>
      <c r="W342" s="32"/>
      <c r="X342" s="32"/>
      <c r="Y342" s="32"/>
      <c r="Z342" s="32"/>
      <c r="AA342" s="32"/>
      <c r="AB342" s="32"/>
      <c r="AC342" s="32"/>
      <c r="AD342" s="32"/>
      <c r="AE342" s="32"/>
      <c r="AF342" s="32"/>
      <c r="AG342" s="32"/>
      <c r="AH342" s="32"/>
      <c r="AI342" s="32"/>
      <c r="AJ342" s="32"/>
    </row>
    <row r="343">
      <c r="A343" s="32"/>
      <c r="B343" s="32"/>
      <c r="C343" s="32"/>
      <c r="D343" s="32"/>
      <c r="E343" s="32"/>
      <c r="F343" s="32"/>
      <c r="G343" s="32"/>
      <c r="H343" s="32"/>
      <c r="I343" s="32"/>
      <c r="J343" s="32"/>
      <c r="K343" s="32"/>
      <c r="L343" s="32"/>
      <c r="M343" s="32"/>
      <c r="N343" s="32"/>
      <c r="O343" s="32"/>
      <c r="P343" s="32"/>
      <c r="Q343" s="32"/>
      <c r="R343" s="32"/>
      <c r="S343" s="32"/>
      <c r="T343" s="32"/>
      <c r="U343" s="32"/>
      <c r="V343" s="32"/>
      <c r="W343" s="32"/>
      <c r="X343" s="32"/>
      <c r="Y343" s="32"/>
      <c r="Z343" s="32"/>
      <c r="AA343" s="32"/>
      <c r="AB343" s="32"/>
      <c r="AC343" s="32"/>
      <c r="AD343" s="32"/>
      <c r="AE343" s="32"/>
      <c r="AF343" s="32"/>
      <c r="AG343" s="32"/>
      <c r="AH343" s="32"/>
      <c r="AI343" s="32"/>
      <c r="AJ343" s="32"/>
    </row>
    <row r="344">
      <c r="A344" s="32"/>
      <c r="B344" s="32"/>
      <c r="C344" s="32"/>
      <c r="D344" s="32"/>
      <c r="E344" s="32"/>
      <c r="F344" s="32"/>
      <c r="G344" s="32"/>
      <c r="H344" s="32"/>
      <c r="I344" s="32"/>
      <c r="J344" s="32"/>
      <c r="K344" s="32"/>
      <c r="L344" s="32"/>
      <c r="M344" s="32"/>
      <c r="N344" s="32"/>
      <c r="O344" s="32"/>
      <c r="P344" s="32"/>
      <c r="Q344" s="32"/>
      <c r="R344" s="32"/>
      <c r="S344" s="32"/>
      <c r="T344" s="32"/>
      <c r="U344" s="32"/>
      <c r="V344" s="32"/>
      <c r="W344" s="32"/>
      <c r="X344" s="32"/>
      <c r="Y344" s="32"/>
      <c r="Z344" s="32"/>
      <c r="AA344" s="32"/>
      <c r="AB344" s="32"/>
      <c r="AC344" s="32"/>
      <c r="AD344" s="32"/>
      <c r="AE344" s="32"/>
      <c r="AF344" s="32"/>
      <c r="AG344" s="32"/>
      <c r="AH344" s="32"/>
      <c r="AI344" s="32"/>
      <c r="AJ344" s="32"/>
    </row>
    <row r="345">
      <c r="A345" s="32"/>
      <c r="B345" s="32"/>
      <c r="C345" s="32"/>
      <c r="D345" s="32"/>
      <c r="E345" s="32"/>
      <c r="F345" s="32"/>
      <c r="G345" s="32"/>
      <c r="H345" s="32"/>
      <c r="I345" s="32"/>
      <c r="J345" s="32"/>
      <c r="K345" s="32"/>
      <c r="L345" s="32"/>
      <c r="M345" s="32"/>
      <c r="N345" s="32"/>
      <c r="O345" s="32"/>
      <c r="P345" s="32"/>
      <c r="Q345" s="32"/>
      <c r="R345" s="32"/>
      <c r="S345" s="32"/>
      <c r="T345" s="32"/>
      <c r="U345" s="32"/>
      <c r="V345" s="32"/>
      <c r="W345" s="32"/>
      <c r="X345" s="32"/>
      <c r="Y345" s="32"/>
      <c r="Z345" s="32"/>
      <c r="AA345" s="32"/>
      <c r="AB345" s="32"/>
      <c r="AC345" s="32"/>
      <c r="AD345" s="32"/>
      <c r="AE345" s="32"/>
      <c r="AF345" s="32"/>
      <c r="AG345" s="32"/>
      <c r="AH345" s="32"/>
      <c r="AI345" s="32"/>
      <c r="AJ345" s="32"/>
    </row>
    <row r="346">
      <c r="A346" s="32"/>
      <c r="B346" s="32"/>
      <c r="C346" s="32"/>
      <c r="D346" s="32"/>
      <c r="E346" s="32"/>
      <c r="F346" s="32"/>
      <c r="G346" s="32"/>
      <c r="H346" s="32"/>
      <c r="I346" s="32"/>
      <c r="J346" s="32"/>
      <c r="K346" s="32"/>
      <c r="L346" s="32"/>
      <c r="M346" s="32"/>
      <c r="N346" s="32"/>
      <c r="O346" s="32"/>
      <c r="P346" s="32"/>
      <c r="Q346" s="32"/>
      <c r="R346" s="32"/>
      <c r="S346" s="32"/>
      <c r="T346" s="32"/>
      <c r="U346" s="32"/>
      <c r="V346" s="32"/>
      <c r="W346" s="32"/>
      <c r="X346" s="32"/>
      <c r="Y346" s="32"/>
      <c r="Z346" s="32"/>
      <c r="AA346" s="32"/>
      <c r="AB346" s="32"/>
      <c r="AC346" s="32"/>
      <c r="AD346" s="32"/>
      <c r="AE346" s="32"/>
      <c r="AF346" s="32"/>
      <c r="AG346" s="32"/>
      <c r="AH346" s="32"/>
      <c r="AI346" s="32"/>
      <c r="AJ346" s="32"/>
    </row>
    <row r="347">
      <c r="A347" s="32"/>
      <c r="B347" s="32"/>
      <c r="C347" s="32"/>
      <c r="D347" s="32"/>
      <c r="E347" s="32"/>
      <c r="F347" s="32"/>
      <c r="G347" s="32"/>
      <c r="H347" s="32"/>
      <c r="I347" s="32"/>
      <c r="J347" s="32"/>
      <c r="K347" s="32"/>
      <c r="L347" s="32"/>
      <c r="M347" s="32"/>
      <c r="N347" s="32"/>
      <c r="O347" s="32"/>
      <c r="P347" s="32"/>
      <c r="Q347" s="32"/>
      <c r="R347" s="32"/>
      <c r="S347" s="32"/>
      <c r="T347" s="32"/>
      <c r="U347" s="32"/>
      <c r="V347" s="32"/>
      <c r="W347" s="32"/>
      <c r="X347" s="32"/>
      <c r="Y347" s="32"/>
      <c r="Z347" s="32"/>
      <c r="AA347" s="32"/>
      <c r="AB347" s="32"/>
      <c r="AC347" s="32"/>
      <c r="AD347" s="32"/>
      <c r="AE347" s="32"/>
      <c r="AF347" s="32"/>
      <c r="AG347" s="32"/>
      <c r="AH347" s="32"/>
      <c r="AI347" s="32"/>
      <c r="AJ347" s="32"/>
    </row>
    <row r="348">
      <c r="A348" s="32"/>
      <c r="B348" s="32"/>
      <c r="C348" s="32"/>
      <c r="D348" s="32"/>
      <c r="E348" s="32"/>
      <c r="F348" s="32"/>
      <c r="G348" s="32"/>
      <c r="H348" s="32"/>
      <c r="I348" s="32"/>
      <c r="J348" s="32"/>
      <c r="K348" s="32"/>
      <c r="L348" s="32"/>
      <c r="M348" s="32"/>
      <c r="N348" s="32"/>
      <c r="O348" s="32"/>
      <c r="P348" s="32"/>
      <c r="Q348" s="32"/>
      <c r="R348" s="32"/>
      <c r="S348" s="32"/>
      <c r="T348" s="32"/>
      <c r="U348" s="32"/>
      <c r="V348" s="32"/>
      <c r="W348" s="32"/>
      <c r="X348" s="32"/>
      <c r="Y348" s="32"/>
      <c r="Z348" s="32"/>
      <c r="AA348" s="32"/>
      <c r="AB348" s="32"/>
      <c r="AC348" s="32"/>
      <c r="AD348" s="32"/>
      <c r="AE348" s="32"/>
      <c r="AF348" s="32"/>
      <c r="AG348" s="32"/>
      <c r="AH348" s="32"/>
      <c r="AI348" s="32"/>
      <c r="AJ348" s="32"/>
    </row>
    <row r="349">
      <c r="A349" s="32"/>
      <c r="B349" s="32"/>
      <c r="C349" s="32"/>
      <c r="D349" s="32"/>
      <c r="E349" s="32"/>
      <c r="F349" s="32"/>
      <c r="G349" s="32"/>
      <c r="H349" s="32"/>
      <c r="I349" s="32"/>
      <c r="J349" s="32"/>
      <c r="K349" s="32"/>
      <c r="L349" s="32"/>
      <c r="M349" s="32"/>
      <c r="N349" s="32"/>
      <c r="O349" s="32"/>
      <c r="P349" s="32"/>
      <c r="Q349" s="32"/>
      <c r="R349" s="32"/>
      <c r="S349" s="32"/>
      <c r="T349" s="32"/>
      <c r="U349" s="32"/>
      <c r="V349" s="32"/>
      <c r="W349" s="32"/>
      <c r="X349" s="32"/>
      <c r="Y349" s="32"/>
      <c r="Z349" s="32"/>
      <c r="AA349" s="32"/>
      <c r="AB349" s="32"/>
      <c r="AC349" s="32"/>
      <c r="AD349" s="32"/>
      <c r="AE349" s="32"/>
      <c r="AF349" s="32"/>
      <c r="AG349" s="32"/>
      <c r="AH349" s="32"/>
      <c r="AI349" s="32"/>
      <c r="AJ349" s="32"/>
    </row>
    <row r="350">
      <c r="A350" s="32"/>
      <c r="B350" s="32"/>
      <c r="C350" s="32"/>
      <c r="D350" s="32"/>
      <c r="E350" s="32"/>
      <c r="F350" s="32"/>
      <c r="G350" s="32"/>
      <c r="H350" s="32"/>
      <c r="I350" s="32"/>
      <c r="J350" s="32"/>
      <c r="K350" s="32"/>
      <c r="L350" s="32"/>
      <c r="M350" s="32"/>
      <c r="N350" s="32"/>
      <c r="O350" s="32"/>
      <c r="P350" s="32"/>
      <c r="Q350" s="32"/>
      <c r="R350" s="32"/>
      <c r="S350" s="32"/>
      <c r="T350" s="32"/>
      <c r="U350" s="32"/>
      <c r="V350" s="32"/>
      <c r="W350" s="32"/>
      <c r="X350" s="32"/>
      <c r="Y350" s="32"/>
      <c r="Z350" s="32"/>
      <c r="AA350" s="32"/>
      <c r="AB350" s="32"/>
      <c r="AC350" s="32"/>
      <c r="AD350" s="32"/>
      <c r="AE350" s="32"/>
      <c r="AF350" s="32"/>
      <c r="AG350" s="32"/>
      <c r="AH350" s="32"/>
      <c r="AI350" s="32"/>
      <c r="AJ350" s="32"/>
    </row>
    <row r="351">
      <c r="A351" s="32"/>
      <c r="B351" s="32"/>
      <c r="C351" s="32"/>
      <c r="D351" s="32"/>
      <c r="E351" s="32"/>
      <c r="F351" s="32"/>
      <c r="G351" s="32"/>
      <c r="H351" s="32"/>
      <c r="I351" s="32"/>
      <c r="J351" s="32"/>
      <c r="K351" s="32"/>
      <c r="L351" s="32"/>
      <c r="M351" s="32"/>
      <c r="N351" s="32"/>
      <c r="O351" s="32"/>
      <c r="P351" s="32"/>
      <c r="Q351" s="32"/>
      <c r="R351" s="32"/>
      <c r="S351" s="32"/>
      <c r="T351" s="32"/>
      <c r="U351" s="32"/>
      <c r="V351" s="32"/>
      <c r="W351" s="32"/>
      <c r="X351" s="32"/>
      <c r="Y351" s="32"/>
      <c r="Z351" s="32"/>
      <c r="AA351" s="32"/>
      <c r="AB351" s="32"/>
      <c r="AC351" s="32"/>
      <c r="AD351" s="32"/>
      <c r="AE351" s="32"/>
      <c r="AF351" s="32"/>
      <c r="AG351" s="32"/>
      <c r="AH351" s="32"/>
      <c r="AI351" s="32"/>
      <c r="AJ351" s="32"/>
    </row>
    <row r="352">
      <c r="A352" s="32"/>
      <c r="B352" s="32"/>
      <c r="C352" s="32"/>
      <c r="D352" s="32"/>
      <c r="E352" s="32"/>
      <c r="F352" s="32"/>
      <c r="G352" s="32"/>
      <c r="H352" s="32"/>
      <c r="I352" s="32"/>
      <c r="J352" s="32"/>
      <c r="K352" s="32"/>
      <c r="L352" s="32"/>
      <c r="M352" s="32"/>
      <c r="N352" s="32"/>
      <c r="O352" s="32"/>
      <c r="P352" s="32"/>
      <c r="Q352" s="32"/>
      <c r="R352" s="32"/>
      <c r="S352" s="32"/>
      <c r="T352" s="32"/>
      <c r="U352" s="32"/>
      <c r="V352" s="32"/>
      <c r="W352" s="32"/>
      <c r="X352" s="32"/>
      <c r="Y352" s="32"/>
      <c r="Z352" s="32"/>
      <c r="AA352" s="32"/>
      <c r="AB352" s="32"/>
      <c r="AC352" s="32"/>
      <c r="AD352" s="32"/>
      <c r="AE352" s="32"/>
      <c r="AF352" s="32"/>
      <c r="AG352" s="32"/>
      <c r="AH352" s="32"/>
      <c r="AI352" s="32"/>
      <c r="AJ352" s="32"/>
    </row>
    <row r="353">
      <c r="A353" s="32"/>
      <c r="B353" s="32"/>
      <c r="C353" s="32"/>
      <c r="D353" s="32"/>
      <c r="E353" s="32"/>
      <c r="F353" s="32"/>
      <c r="G353" s="32"/>
      <c r="H353" s="32"/>
      <c r="I353" s="32"/>
      <c r="J353" s="32"/>
      <c r="K353" s="32"/>
      <c r="L353" s="32"/>
      <c r="M353" s="32"/>
      <c r="N353" s="32"/>
      <c r="O353" s="32"/>
      <c r="P353" s="32"/>
      <c r="Q353" s="32"/>
      <c r="R353" s="32"/>
      <c r="S353" s="32"/>
      <c r="T353" s="32"/>
      <c r="U353" s="32"/>
      <c r="V353" s="32"/>
      <c r="W353" s="32"/>
      <c r="X353" s="32"/>
      <c r="Y353" s="32"/>
      <c r="Z353" s="32"/>
      <c r="AA353" s="32"/>
      <c r="AB353" s="32"/>
      <c r="AC353" s="32"/>
      <c r="AD353" s="32"/>
      <c r="AE353" s="32"/>
      <c r="AF353" s="32"/>
      <c r="AG353" s="32"/>
      <c r="AH353" s="32"/>
      <c r="AI353" s="32"/>
      <c r="AJ353" s="32"/>
    </row>
    <row r="354">
      <c r="A354" s="32"/>
      <c r="B354" s="32"/>
      <c r="C354" s="32"/>
      <c r="D354" s="32"/>
      <c r="E354" s="32"/>
      <c r="F354" s="32"/>
      <c r="G354" s="32"/>
      <c r="H354" s="32"/>
      <c r="I354" s="32"/>
      <c r="J354" s="32"/>
      <c r="K354" s="32"/>
      <c r="L354" s="32"/>
      <c r="M354" s="32"/>
      <c r="N354" s="32"/>
      <c r="O354" s="32"/>
      <c r="P354" s="32"/>
      <c r="Q354" s="32"/>
      <c r="R354" s="32"/>
      <c r="S354" s="32"/>
      <c r="T354" s="32"/>
      <c r="U354" s="32"/>
      <c r="V354" s="32"/>
      <c r="W354" s="32"/>
      <c r="X354" s="32"/>
      <c r="Y354" s="32"/>
      <c r="Z354" s="32"/>
      <c r="AA354" s="32"/>
      <c r="AB354" s="32"/>
      <c r="AC354" s="32"/>
      <c r="AD354" s="32"/>
      <c r="AE354" s="32"/>
      <c r="AF354" s="32"/>
      <c r="AG354" s="32"/>
      <c r="AH354" s="32"/>
      <c r="AI354" s="32"/>
      <c r="AJ354" s="32"/>
    </row>
    <row r="355">
      <c r="A355" s="32"/>
      <c r="B355" s="32"/>
      <c r="C355" s="32"/>
      <c r="D355" s="32"/>
      <c r="E355" s="32"/>
      <c r="F355" s="32"/>
      <c r="G355" s="32"/>
      <c r="H355" s="32"/>
      <c r="I355" s="32"/>
      <c r="J355" s="32"/>
      <c r="K355" s="32"/>
      <c r="L355" s="32"/>
      <c r="M355" s="32"/>
      <c r="N355" s="32"/>
      <c r="O355" s="32"/>
      <c r="P355" s="32"/>
      <c r="Q355" s="32"/>
      <c r="R355" s="32"/>
      <c r="S355" s="32"/>
      <c r="T355" s="32"/>
      <c r="U355" s="32"/>
      <c r="V355" s="32"/>
      <c r="W355" s="32"/>
      <c r="X355" s="32"/>
      <c r="Y355" s="32"/>
      <c r="Z355" s="32"/>
      <c r="AA355" s="32"/>
      <c r="AB355" s="32"/>
      <c r="AC355" s="32"/>
      <c r="AD355" s="32"/>
      <c r="AE355" s="32"/>
      <c r="AF355" s="32"/>
      <c r="AG355" s="32"/>
      <c r="AH355" s="32"/>
      <c r="AI355" s="32"/>
      <c r="AJ355" s="32"/>
    </row>
    <row r="356">
      <c r="A356" s="32"/>
      <c r="B356" s="32"/>
      <c r="C356" s="32"/>
      <c r="D356" s="32"/>
      <c r="E356" s="32"/>
      <c r="F356" s="32"/>
      <c r="G356" s="32"/>
      <c r="H356" s="32"/>
      <c r="I356" s="32"/>
      <c r="J356" s="32"/>
      <c r="K356" s="32"/>
      <c r="L356" s="32"/>
      <c r="M356" s="32"/>
      <c r="N356" s="32"/>
      <c r="O356" s="32"/>
      <c r="P356" s="32"/>
      <c r="Q356" s="32"/>
      <c r="R356" s="32"/>
      <c r="S356" s="32"/>
      <c r="T356" s="32"/>
      <c r="U356" s="32"/>
      <c r="V356" s="32"/>
      <c r="W356" s="32"/>
      <c r="X356" s="32"/>
      <c r="Y356" s="32"/>
      <c r="Z356" s="32"/>
      <c r="AA356" s="32"/>
      <c r="AB356" s="32"/>
      <c r="AC356" s="32"/>
      <c r="AD356" s="32"/>
      <c r="AE356" s="32"/>
      <c r="AF356" s="32"/>
      <c r="AG356" s="32"/>
      <c r="AH356" s="32"/>
      <c r="AI356" s="32"/>
      <c r="AJ356" s="32"/>
    </row>
    <row r="357">
      <c r="A357" s="32"/>
      <c r="B357" s="32"/>
      <c r="C357" s="32"/>
      <c r="D357" s="32"/>
      <c r="E357" s="32"/>
      <c r="F357" s="32"/>
      <c r="G357" s="32"/>
      <c r="H357" s="32"/>
      <c r="I357" s="32"/>
      <c r="J357" s="32"/>
      <c r="K357" s="32"/>
      <c r="L357" s="32"/>
      <c r="M357" s="32"/>
      <c r="N357" s="32"/>
      <c r="O357" s="32"/>
      <c r="P357" s="32"/>
      <c r="Q357" s="32"/>
      <c r="R357" s="32"/>
      <c r="S357" s="32"/>
      <c r="T357" s="32"/>
      <c r="U357" s="32"/>
      <c r="V357" s="32"/>
      <c r="W357" s="32"/>
      <c r="X357" s="32"/>
      <c r="Y357" s="32"/>
      <c r="Z357" s="32"/>
      <c r="AA357" s="32"/>
      <c r="AB357" s="32"/>
      <c r="AC357" s="32"/>
      <c r="AD357" s="32"/>
      <c r="AE357" s="32"/>
      <c r="AF357" s="32"/>
      <c r="AG357" s="32"/>
      <c r="AH357" s="32"/>
      <c r="AI357" s="32"/>
      <c r="AJ357" s="32"/>
    </row>
    <row r="358">
      <c r="A358" s="32"/>
      <c r="B358" s="32"/>
      <c r="C358" s="32"/>
      <c r="D358" s="32"/>
      <c r="E358" s="32"/>
      <c r="F358" s="32"/>
      <c r="G358" s="32"/>
      <c r="H358" s="32"/>
      <c r="I358" s="32"/>
      <c r="J358" s="32"/>
      <c r="K358" s="32"/>
      <c r="L358" s="32"/>
      <c r="M358" s="32"/>
      <c r="N358" s="32"/>
      <c r="O358" s="32"/>
      <c r="P358" s="32"/>
      <c r="Q358" s="32"/>
      <c r="R358" s="32"/>
      <c r="S358" s="32"/>
      <c r="T358" s="32"/>
      <c r="U358" s="32"/>
      <c r="V358" s="32"/>
      <c r="W358" s="32"/>
      <c r="X358" s="32"/>
      <c r="Y358" s="32"/>
      <c r="Z358" s="32"/>
      <c r="AA358" s="32"/>
      <c r="AB358" s="32"/>
      <c r="AC358" s="32"/>
      <c r="AD358" s="32"/>
      <c r="AE358" s="32"/>
      <c r="AF358" s="32"/>
      <c r="AG358" s="32"/>
      <c r="AH358" s="32"/>
      <c r="AI358" s="32"/>
      <c r="AJ358" s="32"/>
    </row>
    <row r="359">
      <c r="A359" s="32"/>
      <c r="B359" s="32"/>
      <c r="C359" s="32"/>
      <c r="D359" s="32"/>
      <c r="E359" s="32"/>
      <c r="F359" s="32"/>
      <c r="G359" s="32"/>
      <c r="H359" s="32"/>
      <c r="I359" s="32"/>
      <c r="J359" s="32"/>
      <c r="K359" s="32"/>
      <c r="L359" s="32"/>
      <c r="M359" s="32"/>
      <c r="N359" s="32"/>
      <c r="O359" s="32"/>
      <c r="P359" s="32"/>
      <c r="Q359" s="32"/>
      <c r="R359" s="32"/>
      <c r="S359" s="32"/>
      <c r="T359" s="32"/>
      <c r="U359" s="32"/>
      <c r="V359" s="32"/>
      <c r="W359" s="32"/>
      <c r="X359" s="32"/>
      <c r="Y359" s="32"/>
      <c r="Z359" s="32"/>
      <c r="AA359" s="32"/>
      <c r="AB359" s="32"/>
      <c r="AC359" s="32"/>
      <c r="AD359" s="32"/>
      <c r="AE359" s="32"/>
      <c r="AF359" s="32"/>
      <c r="AG359" s="32"/>
      <c r="AH359" s="32"/>
      <c r="AI359" s="32"/>
      <c r="AJ359" s="32"/>
    </row>
    <row r="360">
      <c r="A360" s="32"/>
      <c r="B360" s="32"/>
      <c r="C360" s="32"/>
      <c r="D360" s="32"/>
      <c r="E360" s="32"/>
      <c r="F360" s="32"/>
      <c r="G360" s="32"/>
      <c r="H360" s="32"/>
      <c r="I360" s="32"/>
      <c r="J360" s="32"/>
      <c r="K360" s="32"/>
      <c r="L360" s="32"/>
      <c r="M360" s="32"/>
      <c r="N360" s="32"/>
      <c r="O360" s="32"/>
      <c r="P360" s="32"/>
      <c r="Q360" s="32"/>
      <c r="R360" s="32"/>
      <c r="S360" s="32"/>
      <c r="T360" s="32"/>
      <c r="U360" s="32"/>
      <c r="V360" s="32"/>
      <c r="W360" s="32"/>
      <c r="X360" s="32"/>
      <c r="Y360" s="32"/>
      <c r="Z360" s="32"/>
      <c r="AA360" s="32"/>
      <c r="AB360" s="32"/>
      <c r="AC360" s="32"/>
      <c r="AD360" s="32"/>
      <c r="AE360" s="32"/>
      <c r="AF360" s="32"/>
      <c r="AG360" s="32"/>
      <c r="AH360" s="32"/>
      <c r="AI360" s="32"/>
      <c r="AJ360" s="32"/>
    </row>
    <row r="361">
      <c r="A361" s="32"/>
      <c r="B361" s="32"/>
      <c r="C361" s="32"/>
      <c r="D361" s="32"/>
      <c r="E361" s="32"/>
      <c r="F361" s="32"/>
      <c r="G361" s="32"/>
      <c r="H361" s="32"/>
      <c r="I361" s="32"/>
      <c r="J361" s="32"/>
      <c r="K361" s="32"/>
      <c r="L361" s="32"/>
      <c r="M361" s="32"/>
      <c r="N361" s="32"/>
      <c r="O361" s="32"/>
      <c r="P361" s="32"/>
      <c r="Q361" s="32"/>
      <c r="R361" s="32"/>
      <c r="S361" s="32"/>
      <c r="T361" s="32"/>
      <c r="U361" s="32"/>
      <c r="V361" s="32"/>
      <c r="W361" s="32"/>
      <c r="X361" s="32"/>
      <c r="Y361" s="32"/>
      <c r="Z361" s="32"/>
      <c r="AA361" s="32"/>
      <c r="AB361" s="32"/>
      <c r="AC361" s="32"/>
      <c r="AD361" s="32"/>
      <c r="AE361" s="32"/>
      <c r="AF361" s="32"/>
      <c r="AG361" s="32"/>
      <c r="AH361" s="32"/>
      <c r="AI361" s="32"/>
      <c r="AJ361" s="32"/>
    </row>
    <row r="362">
      <c r="A362" s="32"/>
      <c r="B362" s="32"/>
      <c r="C362" s="32"/>
      <c r="D362" s="32"/>
      <c r="E362" s="32"/>
      <c r="F362" s="32"/>
      <c r="G362" s="32"/>
      <c r="H362" s="32"/>
      <c r="I362" s="32"/>
      <c r="J362" s="32"/>
      <c r="K362" s="32"/>
      <c r="L362" s="32"/>
      <c r="M362" s="32"/>
      <c r="N362" s="32"/>
      <c r="O362" s="32"/>
      <c r="P362" s="32"/>
      <c r="Q362" s="32"/>
      <c r="R362" s="32"/>
      <c r="S362" s="32"/>
      <c r="T362" s="32"/>
      <c r="U362" s="32"/>
      <c r="V362" s="32"/>
      <c r="W362" s="32"/>
      <c r="X362" s="32"/>
      <c r="Y362" s="32"/>
      <c r="Z362" s="32"/>
      <c r="AA362" s="32"/>
      <c r="AB362" s="32"/>
      <c r="AC362" s="32"/>
      <c r="AD362" s="32"/>
      <c r="AE362" s="32"/>
      <c r="AF362" s="32"/>
      <c r="AG362" s="32"/>
      <c r="AH362" s="32"/>
      <c r="AI362" s="32"/>
      <c r="AJ362" s="32"/>
    </row>
    <row r="363">
      <c r="A363" s="32"/>
      <c r="B363" s="32"/>
      <c r="C363" s="32"/>
      <c r="D363" s="32"/>
      <c r="E363" s="32"/>
      <c r="F363" s="32"/>
      <c r="G363" s="32"/>
      <c r="H363" s="32"/>
      <c r="I363" s="32"/>
      <c r="J363" s="32"/>
      <c r="K363" s="32"/>
      <c r="L363" s="32"/>
      <c r="M363" s="32"/>
      <c r="N363" s="32"/>
      <c r="O363" s="32"/>
      <c r="P363" s="32"/>
      <c r="Q363" s="32"/>
      <c r="R363" s="32"/>
      <c r="S363" s="32"/>
      <c r="T363" s="32"/>
      <c r="U363" s="32"/>
      <c r="V363" s="32"/>
      <c r="W363" s="32"/>
      <c r="X363" s="32"/>
      <c r="Y363" s="32"/>
      <c r="Z363" s="32"/>
      <c r="AA363" s="32"/>
      <c r="AB363" s="32"/>
      <c r="AC363" s="32"/>
      <c r="AD363" s="32"/>
      <c r="AE363" s="32"/>
      <c r="AF363" s="32"/>
      <c r="AG363" s="32"/>
      <c r="AH363" s="32"/>
      <c r="AI363" s="32"/>
      <c r="AJ363" s="32"/>
    </row>
    <row r="364">
      <c r="A364" s="32"/>
      <c r="B364" s="32"/>
      <c r="C364" s="32"/>
      <c r="D364" s="32"/>
      <c r="E364" s="32"/>
      <c r="F364" s="32"/>
      <c r="G364" s="32"/>
      <c r="H364" s="32"/>
      <c r="I364" s="32"/>
      <c r="J364" s="32"/>
      <c r="K364" s="32"/>
      <c r="L364" s="32"/>
      <c r="M364" s="32"/>
      <c r="N364" s="32"/>
      <c r="O364" s="32"/>
      <c r="P364" s="32"/>
      <c r="Q364" s="32"/>
      <c r="R364" s="32"/>
      <c r="S364" s="32"/>
      <c r="T364" s="32"/>
      <c r="U364" s="32"/>
      <c r="V364" s="32"/>
      <c r="W364" s="32"/>
      <c r="X364" s="32"/>
      <c r="Y364" s="32"/>
      <c r="Z364" s="32"/>
      <c r="AA364" s="32"/>
      <c r="AB364" s="32"/>
      <c r="AC364" s="32"/>
      <c r="AD364" s="32"/>
      <c r="AE364" s="32"/>
      <c r="AF364" s="32"/>
      <c r="AG364" s="32"/>
      <c r="AH364" s="32"/>
      <c r="AI364" s="32"/>
      <c r="AJ364" s="32"/>
    </row>
    <row r="365">
      <c r="A365" s="32"/>
      <c r="B365" s="32"/>
      <c r="C365" s="32"/>
      <c r="D365" s="32"/>
      <c r="E365" s="32"/>
      <c r="F365" s="32"/>
      <c r="G365" s="32"/>
      <c r="H365" s="32"/>
      <c r="I365" s="32"/>
      <c r="J365" s="32"/>
      <c r="K365" s="32"/>
      <c r="L365" s="32"/>
      <c r="M365" s="32"/>
      <c r="N365" s="32"/>
      <c r="O365" s="32"/>
      <c r="P365" s="32"/>
      <c r="Q365" s="32"/>
      <c r="R365" s="32"/>
      <c r="S365" s="32"/>
      <c r="T365" s="32"/>
      <c r="U365" s="32"/>
      <c r="V365" s="32"/>
      <c r="W365" s="32"/>
      <c r="X365" s="32"/>
      <c r="Y365" s="32"/>
      <c r="Z365" s="32"/>
      <c r="AA365" s="32"/>
      <c r="AB365" s="32"/>
      <c r="AC365" s="32"/>
      <c r="AD365" s="32"/>
      <c r="AE365" s="32"/>
      <c r="AF365" s="32"/>
      <c r="AG365" s="32"/>
      <c r="AH365" s="32"/>
      <c r="AI365" s="32"/>
      <c r="AJ365" s="32"/>
    </row>
    <row r="366">
      <c r="A366" s="32"/>
      <c r="B366" s="32"/>
      <c r="C366" s="32"/>
      <c r="D366" s="32"/>
      <c r="E366" s="32"/>
      <c r="F366" s="32"/>
      <c r="G366" s="32"/>
      <c r="H366" s="32"/>
      <c r="I366" s="32"/>
      <c r="J366" s="32"/>
      <c r="K366" s="32"/>
      <c r="L366" s="32"/>
      <c r="M366" s="32"/>
      <c r="N366" s="32"/>
      <c r="O366" s="32"/>
      <c r="P366" s="32"/>
      <c r="Q366" s="32"/>
      <c r="R366" s="32"/>
      <c r="S366" s="32"/>
      <c r="T366" s="32"/>
      <c r="U366" s="32"/>
      <c r="V366" s="32"/>
      <c r="W366" s="32"/>
      <c r="X366" s="32"/>
      <c r="Y366" s="32"/>
      <c r="Z366" s="32"/>
      <c r="AA366" s="32"/>
      <c r="AB366" s="32"/>
      <c r="AC366" s="32"/>
      <c r="AD366" s="32"/>
      <c r="AE366" s="32"/>
      <c r="AF366" s="32"/>
      <c r="AG366" s="32"/>
      <c r="AH366" s="32"/>
      <c r="AI366" s="32"/>
      <c r="AJ366" s="32"/>
    </row>
    <row r="367">
      <c r="A367" s="32"/>
      <c r="B367" s="32"/>
      <c r="C367" s="32"/>
      <c r="D367" s="32"/>
      <c r="E367" s="32"/>
      <c r="F367" s="32"/>
      <c r="G367" s="32"/>
      <c r="H367" s="32"/>
      <c r="I367" s="32"/>
      <c r="J367" s="32"/>
      <c r="K367" s="32"/>
      <c r="L367" s="32"/>
      <c r="M367" s="32"/>
      <c r="N367" s="32"/>
      <c r="O367" s="32"/>
      <c r="P367" s="32"/>
      <c r="Q367" s="32"/>
      <c r="R367" s="32"/>
      <c r="S367" s="32"/>
      <c r="T367" s="32"/>
      <c r="U367" s="32"/>
      <c r="V367" s="32"/>
      <c r="W367" s="32"/>
      <c r="X367" s="32"/>
      <c r="Y367" s="32"/>
      <c r="Z367" s="32"/>
      <c r="AA367" s="32"/>
      <c r="AB367" s="32"/>
      <c r="AC367" s="32"/>
      <c r="AD367" s="32"/>
      <c r="AE367" s="32"/>
      <c r="AF367" s="32"/>
      <c r="AG367" s="32"/>
      <c r="AH367" s="32"/>
      <c r="AI367" s="32"/>
      <c r="AJ367" s="32"/>
    </row>
    <row r="368">
      <c r="A368" s="32"/>
      <c r="B368" s="32"/>
      <c r="C368" s="32"/>
      <c r="D368" s="32"/>
      <c r="E368" s="32"/>
      <c r="F368" s="32"/>
      <c r="G368" s="32"/>
      <c r="H368" s="32"/>
      <c r="I368" s="32"/>
      <c r="J368" s="32"/>
      <c r="K368" s="32"/>
      <c r="L368" s="32"/>
      <c r="M368" s="32"/>
      <c r="N368" s="32"/>
      <c r="O368" s="32"/>
      <c r="P368" s="32"/>
      <c r="Q368" s="32"/>
      <c r="R368" s="32"/>
      <c r="S368" s="32"/>
      <c r="T368" s="32"/>
      <c r="U368" s="32"/>
      <c r="V368" s="32"/>
      <c r="W368" s="32"/>
      <c r="X368" s="32"/>
      <c r="Y368" s="32"/>
      <c r="Z368" s="32"/>
      <c r="AA368" s="32"/>
      <c r="AB368" s="32"/>
      <c r="AC368" s="32"/>
      <c r="AD368" s="32"/>
      <c r="AE368" s="32"/>
      <c r="AF368" s="32"/>
      <c r="AG368" s="32"/>
      <c r="AH368" s="32"/>
      <c r="AI368" s="32"/>
      <c r="AJ368" s="32"/>
    </row>
    <row r="369">
      <c r="A369" s="32"/>
      <c r="B369" s="32"/>
      <c r="C369" s="32"/>
      <c r="D369" s="32"/>
      <c r="E369" s="32"/>
      <c r="F369" s="32"/>
      <c r="G369" s="32"/>
      <c r="H369" s="32"/>
      <c r="I369" s="32"/>
      <c r="J369" s="32"/>
      <c r="K369" s="32"/>
      <c r="L369" s="32"/>
      <c r="M369" s="32"/>
      <c r="N369" s="32"/>
      <c r="O369" s="32"/>
      <c r="P369" s="32"/>
      <c r="Q369" s="32"/>
      <c r="R369" s="32"/>
      <c r="S369" s="32"/>
      <c r="T369" s="32"/>
      <c r="U369" s="32"/>
      <c r="V369" s="32"/>
      <c r="W369" s="32"/>
      <c r="X369" s="32"/>
      <c r="Y369" s="32"/>
      <c r="Z369" s="32"/>
      <c r="AA369" s="32"/>
      <c r="AB369" s="32"/>
      <c r="AC369" s="32"/>
      <c r="AD369" s="32"/>
      <c r="AE369" s="32"/>
      <c r="AF369" s="32"/>
      <c r="AG369" s="32"/>
      <c r="AH369" s="32"/>
      <c r="AI369" s="32"/>
      <c r="AJ369" s="32"/>
    </row>
    <row r="370">
      <c r="A370" s="32"/>
      <c r="B370" s="32"/>
      <c r="C370" s="32"/>
      <c r="D370" s="32"/>
      <c r="E370" s="32"/>
      <c r="F370" s="32"/>
      <c r="G370" s="32"/>
      <c r="H370" s="32"/>
      <c r="I370" s="32"/>
      <c r="J370" s="32"/>
      <c r="K370" s="32"/>
      <c r="L370" s="32"/>
      <c r="M370" s="32"/>
      <c r="N370" s="32"/>
      <c r="O370" s="32"/>
      <c r="P370" s="32"/>
      <c r="Q370" s="32"/>
      <c r="R370" s="32"/>
      <c r="S370" s="32"/>
      <c r="T370" s="32"/>
      <c r="U370" s="32"/>
      <c r="V370" s="32"/>
      <c r="W370" s="32"/>
      <c r="X370" s="32"/>
      <c r="Y370" s="32"/>
      <c r="Z370" s="32"/>
      <c r="AA370" s="32"/>
      <c r="AB370" s="32"/>
      <c r="AC370" s="32"/>
      <c r="AD370" s="32"/>
      <c r="AE370" s="32"/>
      <c r="AF370" s="32"/>
      <c r="AG370" s="32"/>
      <c r="AH370" s="32"/>
      <c r="AI370" s="32"/>
      <c r="AJ370" s="32"/>
    </row>
    <row r="371">
      <c r="A371" s="32"/>
      <c r="B371" s="32"/>
      <c r="C371" s="32"/>
      <c r="D371" s="32"/>
      <c r="E371" s="32"/>
      <c r="F371" s="32"/>
      <c r="G371" s="32"/>
      <c r="H371" s="32"/>
      <c r="I371" s="32"/>
      <c r="J371" s="32"/>
      <c r="K371" s="32"/>
      <c r="L371" s="32"/>
      <c r="M371" s="32"/>
      <c r="N371" s="32"/>
      <c r="O371" s="32"/>
      <c r="P371" s="32"/>
      <c r="Q371" s="32"/>
      <c r="R371" s="32"/>
      <c r="S371" s="32"/>
      <c r="T371" s="32"/>
      <c r="U371" s="32"/>
      <c r="V371" s="32"/>
      <c r="W371" s="32"/>
      <c r="X371" s="32"/>
      <c r="Y371" s="32"/>
      <c r="Z371" s="32"/>
      <c r="AA371" s="32"/>
      <c r="AB371" s="32"/>
      <c r="AC371" s="32"/>
      <c r="AD371" s="32"/>
      <c r="AE371" s="32"/>
      <c r="AF371" s="32"/>
      <c r="AG371" s="32"/>
      <c r="AH371" s="32"/>
      <c r="AI371" s="32"/>
      <c r="AJ371" s="32"/>
    </row>
    <row r="372">
      <c r="A372" s="32"/>
      <c r="B372" s="32"/>
      <c r="C372" s="32"/>
      <c r="D372" s="32"/>
      <c r="E372" s="32"/>
      <c r="F372" s="32"/>
      <c r="G372" s="32"/>
      <c r="H372" s="32"/>
      <c r="I372" s="32"/>
      <c r="J372" s="32"/>
      <c r="K372" s="32"/>
      <c r="L372" s="32"/>
      <c r="M372" s="32"/>
      <c r="N372" s="32"/>
      <c r="O372" s="32"/>
      <c r="P372" s="32"/>
      <c r="Q372" s="32"/>
      <c r="R372" s="32"/>
      <c r="S372" s="32"/>
      <c r="T372" s="32"/>
      <c r="U372" s="32"/>
      <c r="V372" s="32"/>
      <c r="W372" s="32"/>
      <c r="X372" s="32"/>
      <c r="Y372" s="32"/>
      <c r="Z372" s="32"/>
      <c r="AA372" s="32"/>
      <c r="AB372" s="32"/>
      <c r="AC372" s="32"/>
      <c r="AD372" s="32"/>
      <c r="AE372" s="32"/>
      <c r="AF372" s="32"/>
      <c r="AG372" s="32"/>
      <c r="AH372" s="32"/>
      <c r="AI372" s="32"/>
      <c r="AJ372" s="32"/>
    </row>
    <row r="373">
      <c r="A373" s="32"/>
      <c r="B373" s="32"/>
      <c r="C373" s="32"/>
      <c r="D373" s="32"/>
      <c r="E373" s="32"/>
      <c r="F373" s="32"/>
      <c r="G373" s="32"/>
      <c r="H373" s="32"/>
      <c r="I373" s="32"/>
      <c r="J373" s="32"/>
      <c r="K373" s="32"/>
      <c r="L373" s="32"/>
      <c r="M373" s="32"/>
      <c r="N373" s="32"/>
      <c r="O373" s="32"/>
      <c r="P373" s="32"/>
      <c r="Q373" s="32"/>
      <c r="R373" s="32"/>
      <c r="S373" s="32"/>
      <c r="T373" s="32"/>
      <c r="U373" s="32"/>
      <c r="V373" s="32"/>
      <c r="W373" s="32"/>
      <c r="X373" s="32"/>
      <c r="Y373" s="32"/>
      <c r="Z373" s="32"/>
      <c r="AA373" s="32"/>
      <c r="AB373" s="32"/>
      <c r="AC373" s="32"/>
      <c r="AD373" s="32"/>
      <c r="AE373" s="32"/>
      <c r="AF373" s="32"/>
      <c r="AG373" s="32"/>
      <c r="AH373" s="32"/>
      <c r="AI373" s="32"/>
      <c r="AJ373" s="32"/>
    </row>
    <row r="374">
      <c r="A374" s="32"/>
      <c r="B374" s="32"/>
      <c r="C374" s="32"/>
      <c r="D374" s="32"/>
      <c r="E374" s="32"/>
      <c r="F374" s="32"/>
      <c r="G374" s="32"/>
      <c r="H374" s="32"/>
      <c r="I374" s="32"/>
      <c r="J374" s="32"/>
      <c r="K374" s="32"/>
      <c r="L374" s="32"/>
      <c r="M374" s="32"/>
      <c r="N374" s="32"/>
      <c r="O374" s="32"/>
      <c r="P374" s="32"/>
      <c r="Q374" s="32"/>
      <c r="R374" s="32"/>
      <c r="S374" s="32"/>
      <c r="T374" s="32"/>
      <c r="U374" s="32"/>
      <c r="V374" s="32"/>
      <c r="W374" s="32"/>
      <c r="X374" s="32"/>
      <c r="Y374" s="32"/>
      <c r="Z374" s="32"/>
      <c r="AA374" s="32"/>
      <c r="AB374" s="32"/>
      <c r="AC374" s="32"/>
      <c r="AD374" s="32"/>
      <c r="AE374" s="32"/>
      <c r="AF374" s="32"/>
      <c r="AG374" s="32"/>
      <c r="AH374" s="32"/>
      <c r="AI374" s="32"/>
      <c r="AJ374" s="32"/>
    </row>
    <row r="375">
      <c r="A375" s="32"/>
      <c r="B375" s="32"/>
      <c r="C375" s="32"/>
      <c r="D375" s="32"/>
      <c r="E375" s="32"/>
      <c r="F375" s="32"/>
      <c r="G375" s="32"/>
      <c r="H375" s="32"/>
      <c r="I375" s="32"/>
      <c r="J375" s="32"/>
      <c r="K375" s="32"/>
      <c r="L375" s="32"/>
      <c r="M375" s="32"/>
      <c r="N375" s="32"/>
      <c r="O375" s="32"/>
      <c r="P375" s="32"/>
      <c r="Q375" s="32"/>
      <c r="R375" s="32"/>
      <c r="S375" s="32"/>
      <c r="T375" s="32"/>
      <c r="U375" s="32"/>
      <c r="V375" s="32"/>
      <c r="W375" s="32"/>
      <c r="X375" s="32"/>
      <c r="Y375" s="32"/>
      <c r="Z375" s="32"/>
      <c r="AA375" s="32"/>
      <c r="AB375" s="32"/>
      <c r="AC375" s="32"/>
      <c r="AD375" s="32"/>
      <c r="AE375" s="32"/>
      <c r="AF375" s="32"/>
      <c r="AG375" s="32"/>
      <c r="AH375" s="32"/>
      <c r="AI375" s="32"/>
      <c r="AJ375" s="32"/>
    </row>
    <row r="376">
      <c r="A376" s="32"/>
      <c r="B376" s="32"/>
      <c r="C376" s="32"/>
      <c r="D376" s="32"/>
      <c r="E376" s="32"/>
      <c r="F376" s="32"/>
      <c r="G376" s="32"/>
      <c r="H376" s="32"/>
      <c r="I376" s="32"/>
      <c r="J376" s="32"/>
      <c r="K376" s="32"/>
      <c r="L376" s="32"/>
      <c r="M376" s="32"/>
      <c r="N376" s="32"/>
      <c r="O376" s="32"/>
      <c r="P376" s="32"/>
      <c r="Q376" s="32"/>
      <c r="R376" s="32"/>
      <c r="S376" s="32"/>
      <c r="T376" s="32"/>
      <c r="U376" s="32"/>
      <c r="V376" s="32"/>
      <c r="W376" s="32"/>
      <c r="X376" s="32"/>
      <c r="Y376" s="32"/>
      <c r="Z376" s="32"/>
      <c r="AA376" s="32"/>
      <c r="AB376" s="32"/>
      <c r="AC376" s="32"/>
      <c r="AD376" s="32"/>
      <c r="AE376" s="32"/>
      <c r="AF376" s="32"/>
      <c r="AG376" s="32"/>
      <c r="AH376" s="32"/>
      <c r="AI376" s="32"/>
      <c r="AJ376" s="32"/>
    </row>
    <row r="377">
      <c r="A377" s="32"/>
      <c r="B377" s="32"/>
      <c r="C377" s="32"/>
      <c r="D377" s="32"/>
      <c r="E377" s="32"/>
      <c r="F377" s="32"/>
      <c r="G377" s="32"/>
      <c r="H377" s="32"/>
      <c r="I377" s="32"/>
      <c r="J377" s="32"/>
      <c r="K377" s="32"/>
      <c r="L377" s="32"/>
      <c r="M377" s="32"/>
      <c r="N377" s="32"/>
      <c r="O377" s="32"/>
      <c r="P377" s="32"/>
      <c r="Q377" s="32"/>
      <c r="R377" s="32"/>
      <c r="S377" s="32"/>
      <c r="T377" s="32"/>
      <c r="U377" s="32"/>
      <c r="V377" s="32"/>
      <c r="W377" s="32"/>
      <c r="X377" s="32"/>
      <c r="Y377" s="32"/>
      <c r="Z377" s="32"/>
      <c r="AA377" s="32"/>
      <c r="AB377" s="32"/>
      <c r="AC377" s="32"/>
      <c r="AD377" s="32"/>
      <c r="AE377" s="32"/>
      <c r="AF377" s="32"/>
      <c r="AG377" s="32"/>
      <c r="AH377" s="32"/>
      <c r="AI377" s="32"/>
      <c r="AJ377" s="32"/>
    </row>
    <row r="378">
      <c r="A378" s="32"/>
      <c r="B378" s="32"/>
      <c r="C378" s="32"/>
      <c r="D378" s="32"/>
      <c r="E378" s="32"/>
      <c r="F378" s="32"/>
      <c r="G378" s="32"/>
      <c r="H378" s="32"/>
      <c r="I378" s="32"/>
      <c r="J378" s="32"/>
      <c r="K378" s="32"/>
      <c r="L378" s="32"/>
      <c r="M378" s="32"/>
      <c r="N378" s="32"/>
      <c r="O378" s="32"/>
      <c r="P378" s="32"/>
      <c r="Q378" s="32"/>
      <c r="R378" s="32"/>
      <c r="S378" s="32"/>
      <c r="T378" s="32"/>
      <c r="U378" s="32"/>
      <c r="V378" s="32"/>
      <c r="W378" s="32"/>
      <c r="X378" s="32"/>
      <c r="Y378" s="32"/>
      <c r="Z378" s="32"/>
      <c r="AA378" s="32"/>
      <c r="AB378" s="32"/>
      <c r="AC378" s="32"/>
      <c r="AD378" s="32"/>
      <c r="AE378" s="32"/>
      <c r="AF378" s="32"/>
      <c r="AG378" s="32"/>
      <c r="AH378" s="32"/>
      <c r="AI378" s="32"/>
      <c r="AJ378" s="32"/>
    </row>
    <row r="379">
      <c r="A379" s="32"/>
      <c r="B379" s="32"/>
      <c r="C379" s="32"/>
      <c r="D379" s="32"/>
      <c r="E379" s="32"/>
      <c r="F379" s="32"/>
      <c r="G379" s="32"/>
      <c r="H379" s="32"/>
      <c r="I379" s="32"/>
      <c r="J379" s="32"/>
      <c r="K379" s="32"/>
      <c r="L379" s="32"/>
      <c r="M379" s="32"/>
      <c r="N379" s="32"/>
      <c r="O379" s="32"/>
      <c r="P379" s="32"/>
      <c r="Q379" s="32"/>
      <c r="R379" s="32"/>
      <c r="S379" s="32"/>
      <c r="T379" s="32"/>
      <c r="U379" s="32"/>
      <c r="V379" s="32"/>
      <c r="W379" s="32"/>
      <c r="X379" s="32"/>
      <c r="Y379" s="32"/>
      <c r="Z379" s="32"/>
      <c r="AA379" s="32"/>
      <c r="AB379" s="32"/>
      <c r="AC379" s="32"/>
      <c r="AD379" s="32"/>
      <c r="AE379" s="32"/>
      <c r="AF379" s="32"/>
      <c r="AG379" s="32"/>
      <c r="AH379" s="32"/>
      <c r="AI379" s="32"/>
      <c r="AJ379" s="32"/>
    </row>
    <row r="380">
      <c r="A380" s="32"/>
      <c r="B380" s="32"/>
      <c r="C380" s="32"/>
      <c r="D380" s="32"/>
      <c r="E380" s="32"/>
      <c r="F380" s="32"/>
      <c r="G380" s="32"/>
      <c r="H380" s="32"/>
      <c r="I380" s="32"/>
      <c r="J380" s="32"/>
      <c r="K380" s="32"/>
      <c r="L380" s="32"/>
      <c r="M380" s="32"/>
      <c r="N380" s="32"/>
      <c r="O380" s="32"/>
      <c r="P380" s="32"/>
      <c r="Q380" s="32"/>
      <c r="R380" s="32"/>
      <c r="S380" s="32"/>
      <c r="T380" s="32"/>
      <c r="U380" s="32"/>
      <c r="V380" s="32"/>
      <c r="W380" s="32"/>
      <c r="X380" s="32"/>
      <c r="Y380" s="32"/>
      <c r="Z380" s="32"/>
      <c r="AA380" s="32"/>
      <c r="AB380" s="32"/>
      <c r="AC380" s="32"/>
      <c r="AD380" s="32"/>
      <c r="AE380" s="32"/>
      <c r="AF380" s="32"/>
      <c r="AG380" s="32"/>
      <c r="AH380" s="32"/>
      <c r="AI380" s="32"/>
      <c r="AJ380" s="32"/>
    </row>
    <row r="381">
      <c r="A381" s="32"/>
      <c r="B381" s="32"/>
      <c r="C381" s="32"/>
      <c r="D381" s="32"/>
      <c r="E381" s="32"/>
      <c r="F381" s="32"/>
      <c r="G381" s="32"/>
      <c r="H381" s="32"/>
      <c r="I381" s="32"/>
      <c r="J381" s="32"/>
      <c r="K381" s="32"/>
      <c r="L381" s="32"/>
      <c r="M381" s="32"/>
      <c r="N381" s="32"/>
      <c r="O381" s="32"/>
      <c r="P381" s="32"/>
      <c r="Q381" s="32"/>
      <c r="R381" s="32"/>
      <c r="S381" s="32"/>
      <c r="T381" s="32"/>
      <c r="U381" s="32"/>
      <c r="V381" s="32"/>
      <c r="W381" s="32"/>
      <c r="X381" s="32"/>
      <c r="Y381" s="32"/>
      <c r="Z381" s="32"/>
      <c r="AA381" s="32"/>
      <c r="AB381" s="32"/>
      <c r="AC381" s="32"/>
      <c r="AD381" s="32"/>
      <c r="AE381" s="32"/>
      <c r="AF381" s="32"/>
      <c r="AG381" s="32"/>
      <c r="AH381" s="32"/>
      <c r="AI381" s="32"/>
      <c r="AJ381" s="32"/>
    </row>
    <row r="382">
      <c r="A382" s="32"/>
      <c r="B382" s="32"/>
      <c r="C382" s="32"/>
      <c r="D382" s="32"/>
      <c r="E382" s="32"/>
      <c r="F382" s="32"/>
      <c r="G382" s="32"/>
      <c r="H382" s="32"/>
      <c r="I382" s="32"/>
      <c r="J382" s="32"/>
      <c r="K382" s="32"/>
      <c r="L382" s="32"/>
      <c r="M382" s="32"/>
      <c r="N382" s="32"/>
      <c r="O382" s="32"/>
      <c r="P382" s="32"/>
      <c r="Q382" s="32"/>
      <c r="R382" s="32"/>
      <c r="S382" s="32"/>
      <c r="T382" s="32"/>
      <c r="U382" s="32"/>
      <c r="V382" s="32"/>
      <c r="W382" s="32"/>
      <c r="X382" s="32"/>
      <c r="Y382" s="32"/>
      <c r="Z382" s="32"/>
      <c r="AA382" s="32"/>
      <c r="AB382" s="32"/>
      <c r="AC382" s="32"/>
      <c r="AD382" s="32"/>
      <c r="AE382" s="32"/>
      <c r="AF382" s="32"/>
      <c r="AG382" s="32"/>
      <c r="AH382" s="32"/>
      <c r="AI382" s="32"/>
      <c r="AJ382" s="32"/>
    </row>
    <row r="383">
      <c r="A383" s="32"/>
      <c r="B383" s="32"/>
      <c r="C383" s="32"/>
      <c r="D383" s="32"/>
      <c r="E383" s="32"/>
      <c r="F383" s="32"/>
      <c r="G383" s="32"/>
      <c r="H383" s="32"/>
      <c r="I383" s="32"/>
      <c r="J383" s="32"/>
      <c r="K383" s="32"/>
      <c r="L383" s="32"/>
      <c r="M383" s="32"/>
      <c r="N383" s="32"/>
      <c r="O383" s="32"/>
      <c r="P383" s="32"/>
      <c r="Q383" s="32"/>
      <c r="R383" s="32"/>
      <c r="S383" s="32"/>
      <c r="T383" s="32"/>
      <c r="U383" s="32"/>
      <c r="V383" s="32"/>
      <c r="W383" s="32"/>
      <c r="X383" s="32"/>
      <c r="Y383" s="32"/>
      <c r="Z383" s="32"/>
      <c r="AA383" s="32"/>
      <c r="AB383" s="32"/>
      <c r="AC383" s="32"/>
      <c r="AD383" s="32"/>
      <c r="AE383" s="32"/>
      <c r="AF383" s="32"/>
      <c r="AG383" s="32"/>
      <c r="AH383" s="32"/>
      <c r="AI383" s="32"/>
      <c r="AJ383" s="32"/>
    </row>
    <row r="384">
      <c r="A384" s="32"/>
      <c r="B384" s="32"/>
      <c r="C384" s="32"/>
      <c r="D384" s="32"/>
      <c r="E384" s="32"/>
      <c r="F384" s="32"/>
      <c r="G384" s="32"/>
      <c r="H384" s="32"/>
      <c r="I384" s="32"/>
      <c r="J384" s="32"/>
      <c r="K384" s="32"/>
      <c r="L384" s="32"/>
      <c r="M384" s="32"/>
      <c r="N384" s="32"/>
      <c r="O384" s="32"/>
      <c r="P384" s="32"/>
      <c r="Q384" s="32"/>
      <c r="R384" s="32"/>
      <c r="S384" s="32"/>
      <c r="T384" s="32"/>
      <c r="U384" s="32"/>
      <c r="V384" s="32"/>
      <c r="W384" s="32"/>
      <c r="X384" s="32"/>
      <c r="Y384" s="32"/>
      <c r="Z384" s="32"/>
      <c r="AA384" s="32"/>
      <c r="AB384" s="32"/>
      <c r="AC384" s="32"/>
      <c r="AD384" s="32"/>
      <c r="AE384" s="32"/>
      <c r="AF384" s="32"/>
      <c r="AG384" s="32"/>
      <c r="AH384" s="32"/>
      <c r="AI384" s="32"/>
      <c r="AJ384" s="32"/>
    </row>
    <row r="385">
      <c r="A385" s="32"/>
      <c r="B385" s="32"/>
      <c r="C385" s="32"/>
      <c r="D385" s="32"/>
      <c r="E385" s="32"/>
      <c r="F385" s="32"/>
      <c r="G385" s="32"/>
      <c r="H385" s="32"/>
      <c r="I385" s="32"/>
      <c r="J385" s="32"/>
      <c r="K385" s="32"/>
      <c r="L385" s="32"/>
      <c r="M385" s="32"/>
      <c r="N385" s="32"/>
      <c r="O385" s="32"/>
      <c r="P385" s="32"/>
      <c r="Q385" s="32"/>
      <c r="R385" s="32"/>
      <c r="S385" s="32"/>
      <c r="T385" s="32"/>
      <c r="U385" s="32"/>
      <c r="V385" s="32"/>
      <c r="W385" s="32"/>
      <c r="X385" s="32"/>
      <c r="Y385" s="32"/>
      <c r="Z385" s="32"/>
      <c r="AA385" s="32"/>
      <c r="AB385" s="32"/>
      <c r="AC385" s="32"/>
      <c r="AD385" s="32"/>
      <c r="AE385" s="32"/>
      <c r="AF385" s="32"/>
      <c r="AG385" s="32"/>
      <c r="AH385" s="32"/>
      <c r="AI385" s="32"/>
      <c r="AJ385" s="32"/>
    </row>
    <row r="386">
      <c r="A386" s="32"/>
      <c r="B386" s="32"/>
      <c r="C386" s="32"/>
      <c r="D386" s="32"/>
      <c r="E386" s="32"/>
      <c r="F386" s="32"/>
      <c r="G386" s="32"/>
      <c r="H386" s="32"/>
      <c r="I386" s="32"/>
      <c r="J386" s="32"/>
      <c r="K386" s="32"/>
      <c r="L386" s="32"/>
      <c r="M386" s="32"/>
      <c r="N386" s="32"/>
      <c r="O386" s="32"/>
      <c r="P386" s="32"/>
      <c r="Q386" s="32"/>
      <c r="R386" s="32"/>
      <c r="S386" s="32"/>
      <c r="T386" s="32"/>
      <c r="U386" s="32"/>
      <c r="V386" s="32"/>
      <c r="W386" s="32"/>
      <c r="X386" s="32"/>
      <c r="Y386" s="32"/>
      <c r="Z386" s="32"/>
      <c r="AA386" s="32"/>
      <c r="AB386" s="32"/>
      <c r="AC386" s="32"/>
      <c r="AD386" s="32"/>
      <c r="AE386" s="32"/>
      <c r="AF386" s="32"/>
      <c r="AG386" s="32"/>
      <c r="AH386" s="32"/>
      <c r="AI386" s="32"/>
      <c r="AJ386" s="32"/>
    </row>
    <row r="387">
      <c r="A387" s="32"/>
      <c r="B387" s="32"/>
      <c r="C387" s="32"/>
      <c r="D387" s="32"/>
      <c r="E387" s="32"/>
      <c r="F387" s="32"/>
      <c r="G387" s="32"/>
      <c r="H387" s="32"/>
      <c r="I387" s="32"/>
      <c r="J387" s="32"/>
      <c r="K387" s="32"/>
      <c r="L387" s="32"/>
      <c r="M387" s="32"/>
      <c r="N387" s="32"/>
      <c r="O387" s="32"/>
      <c r="P387" s="32"/>
      <c r="Q387" s="32"/>
      <c r="R387" s="32"/>
      <c r="S387" s="32"/>
      <c r="T387" s="32"/>
      <c r="U387" s="32"/>
      <c r="V387" s="32"/>
      <c r="W387" s="32"/>
      <c r="X387" s="32"/>
      <c r="Y387" s="32"/>
      <c r="Z387" s="32"/>
      <c r="AA387" s="32"/>
      <c r="AB387" s="32"/>
      <c r="AC387" s="32"/>
      <c r="AD387" s="32"/>
      <c r="AE387" s="32"/>
      <c r="AF387" s="32"/>
      <c r="AG387" s="32"/>
      <c r="AH387" s="32"/>
      <c r="AI387" s="32"/>
      <c r="AJ387" s="32"/>
    </row>
    <row r="388">
      <c r="A388" s="32"/>
      <c r="B388" s="32"/>
      <c r="C388" s="32"/>
      <c r="D388" s="32"/>
      <c r="E388" s="32"/>
      <c r="F388" s="32"/>
      <c r="G388" s="32"/>
      <c r="H388" s="32"/>
      <c r="I388" s="32"/>
      <c r="J388" s="32"/>
      <c r="K388" s="32"/>
      <c r="L388" s="32"/>
      <c r="M388" s="32"/>
      <c r="N388" s="32"/>
      <c r="O388" s="32"/>
      <c r="P388" s="32"/>
      <c r="Q388" s="32"/>
      <c r="R388" s="32"/>
      <c r="S388" s="32"/>
      <c r="T388" s="32"/>
      <c r="U388" s="32"/>
      <c r="V388" s="32"/>
      <c r="W388" s="32"/>
      <c r="X388" s="32"/>
      <c r="Y388" s="32"/>
      <c r="Z388" s="32"/>
      <c r="AA388" s="32"/>
      <c r="AB388" s="32"/>
      <c r="AC388" s="32"/>
      <c r="AD388" s="32"/>
      <c r="AE388" s="32"/>
      <c r="AF388" s="32"/>
      <c r="AG388" s="32"/>
      <c r="AH388" s="32"/>
      <c r="AI388" s="32"/>
      <c r="AJ388" s="32"/>
    </row>
    <row r="389">
      <c r="A389" s="32"/>
      <c r="B389" s="32"/>
      <c r="C389" s="32"/>
      <c r="D389" s="32"/>
      <c r="E389" s="32"/>
      <c r="F389" s="32"/>
      <c r="G389" s="32"/>
      <c r="H389" s="32"/>
      <c r="I389" s="32"/>
      <c r="J389" s="32"/>
      <c r="K389" s="32"/>
      <c r="L389" s="32"/>
      <c r="M389" s="32"/>
      <c r="N389" s="32"/>
      <c r="O389" s="32"/>
      <c r="P389" s="32"/>
      <c r="Q389" s="32"/>
      <c r="R389" s="32"/>
      <c r="S389" s="32"/>
      <c r="T389" s="32"/>
      <c r="U389" s="32"/>
      <c r="V389" s="32"/>
      <c r="W389" s="32"/>
      <c r="X389" s="32"/>
      <c r="Y389" s="32"/>
      <c r="Z389" s="32"/>
      <c r="AA389" s="32"/>
      <c r="AB389" s="32"/>
      <c r="AC389" s="32"/>
      <c r="AD389" s="32"/>
      <c r="AE389" s="32"/>
      <c r="AF389" s="32"/>
      <c r="AG389" s="32"/>
      <c r="AH389" s="32"/>
      <c r="AI389" s="32"/>
      <c r="AJ389" s="32"/>
    </row>
    <row r="390">
      <c r="A390" s="32"/>
      <c r="B390" s="32"/>
      <c r="C390" s="32"/>
      <c r="D390" s="32"/>
      <c r="E390" s="32"/>
      <c r="F390" s="32"/>
      <c r="G390" s="32"/>
      <c r="H390" s="32"/>
      <c r="I390" s="32"/>
      <c r="J390" s="32"/>
      <c r="K390" s="32"/>
      <c r="L390" s="32"/>
      <c r="M390" s="32"/>
      <c r="N390" s="32"/>
      <c r="O390" s="32"/>
      <c r="P390" s="32"/>
      <c r="Q390" s="32"/>
      <c r="R390" s="32"/>
      <c r="S390" s="32"/>
      <c r="T390" s="32"/>
      <c r="U390" s="32"/>
      <c r="V390" s="32"/>
      <c r="W390" s="32"/>
      <c r="X390" s="32"/>
      <c r="Y390" s="32"/>
      <c r="Z390" s="32"/>
      <c r="AA390" s="32"/>
      <c r="AB390" s="32"/>
      <c r="AC390" s="32"/>
      <c r="AD390" s="32"/>
      <c r="AE390" s="32"/>
      <c r="AF390" s="32"/>
      <c r="AG390" s="32"/>
      <c r="AH390" s="32"/>
      <c r="AI390" s="32"/>
      <c r="AJ390" s="32"/>
    </row>
    <row r="391">
      <c r="A391" s="32"/>
      <c r="B391" s="32"/>
      <c r="C391" s="32"/>
      <c r="D391" s="32"/>
      <c r="E391" s="32"/>
      <c r="F391" s="32"/>
      <c r="G391" s="32"/>
      <c r="H391" s="32"/>
      <c r="I391" s="32"/>
      <c r="J391" s="32"/>
      <c r="K391" s="32"/>
      <c r="L391" s="32"/>
      <c r="M391" s="32"/>
      <c r="N391" s="32"/>
      <c r="O391" s="32"/>
      <c r="P391" s="32"/>
      <c r="Q391" s="32"/>
      <c r="R391" s="32"/>
      <c r="S391" s="32"/>
      <c r="T391" s="32"/>
      <c r="U391" s="32"/>
      <c r="V391" s="32"/>
      <c r="W391" s="32"/>
      <c r="X391" s="32"/>
      <c r="Y391" s="32"/>
      <c r="Z391" s="32"/>
      <c r="AA391" s="32"/>
      <c r="AB391" s="32"/>
      <c r="AC391" s="32"/>
      <c r="AD391" s="32"/>
      <c r="AE391" s="32"/>
      <c r="AF391" s="32"/>
      <c r="AG391" s="32"/>
      <c r="AH391" s="32"/>
      <c r="AI391" s="32"/>
      <c r="AJ391" s="32"/>
    </row>
    <row r="392">
      <c r="A392" s="32"/>
      <c r="B392" s="32"/>
      <c r="C392" s="32"/>
      <c r="D392" s="32"/>
      <c r="E392" s="32"/>
      <c r="F392" s="32"/>
      <c r="G392" s="32"/>
      <c r="H392" s="32"/>
      <c r="I392" s="32"/>
      <c r="J392" s="32"/>
      <c r="K392" s="32"/>
      <c r="L392" s="32"/>
      <c r="M392" s="32"/>
      <c r="N392" s="32"/>
      <c r="O392" s="32"/>
      <c r="P392" s="32"/>
      <c r="Q392" s="32"/>
      <c r="R392" s="32"/>
      <c r="S392" s="32"/>
      <c r="T392" s="32"/>
      <c r="U392" s="32"/>
      <c r="V392" s="32"/>
      <c r="W392" s="32"/>
      <c r="X392" s="32"/>
      <c r="Y392" s="32"/>
      <c r="Z392" s="32"/>
      <c r="AA392" s="32"/>
      <c r="AB392" s="32"/>
      <c r="AC392" s="32"/>
      <c r="AD392" s="32"/>
      <c r="AE392" s="32"/>
      <c r="AF392" s="32"/>
      <c r="AG392" s="32"/>
      <c r="AH392" s="32"/>
      <c r="AI392" s="32"/>
      <c r="AJ392" s="32"/>
    </row>
    <row r="393">
      <c r="A393" s="32"/>
      <c r="B393" s="32"/>
      <c r="C393" s="32"/>
      <c r="D393" s="32"/>
      <c r="E393" s="32"/>
      <c r="F393" s="32"/>
      <c r="G393" s="32"/>
      <c r="H393" s="32"/>
      <c r="I393" s="32"/>
      <c r="J393" s="32"/>
      <c r="K393" s="32"/>
      <c r="L393" s="32"/>
      <c r="M393" s="32"/>
      <c r="N393" s="32"/>
      <c r="O393" s="32"/>
      <c r="P393" s="32"/>
      <c r="Q393" s="32"/>
      <c r="R393" s="32"/>
      <c r="S393" s="32"/>
      <c r="T393" s="32"/>
      <c r="U393" s="32"/>
      <c r="V393" s="32"/>
      <c r="W393" s="32"/>
      <c r="X393" s="32"/>
      <c r="Y393" s="32"/>
      <c r="Z393" s="32"/>
      <c r="AA393" s="32"/>
      <c r="AB393" s="32"/>
      <c r="AC393" s="32"/>
      <c r="AD393" s="32"/>
      <c r="AE393" s="32"/>
      <c r="AF393" s="32"/>
      <c r="AG393" s="32"/>
      <c r="AH393" s="32"/>
      <c r="AI393" s="32"/>
      <c r="AJ393" s="32"/>
    </row>
    <row r="394">
      <c r="A394" s="32"/>
      <c r="B394" s="32"/>
      <c r="C394" s="32"/>
      <c r="D394" s="32"/>
      <c r="E394" s="32"/>
      <c r="F394" s="32"/>
      <c r="G394" s="32"/>
      <c r="H394" s="32"/>
      <c r="I394" s="32"/>
      <c r="J394" s="32"/>
      <c r="K394" s="32"/>
      <c r="L394" s="32"/>
      <c r="M394" s="32"/>
      <c r="N394" s="32"/>
      <c r="O394" s="32"/>
      <c r="P394" s="32"/>
      <c r="Q394" s="32"/>
      <c r="R394" s="32"/>
      <c r="S394" s="32"/>
      <c r="T394" s="32"/>
      <c r="U394" s="32"/>
      <c r="V394" s="32"/>
      <c r="W394" s="32"/>
      <c r="X394" s="32"/>
      <c r="Y394" s="32"/>
      <c r="Z394" s="32"/>
      <c r="AA394" s="32"/>
      <c r="AB394" s="32"/>
      <c r="AC394" s="32"/>
      <c r="AD394" s="32"/>
      <c r="AE394" s="32"/>
      <c r="AF394" s="32"/>
      <c r="AG394" s="32"/>
      <c r="AH394" s="32"/>
      <c r="AI394" s="32"/>
      <c r="AJ394" s="32"/>
    </row>
    <row r="395">
      <c r="A395" s="32"/>
      <c r="B395" s="32"/>
      <c r="C395" s="32"/>
      <c r="D395" s="32"/>
      <c r="E395" s="32"/>
      <c r="F395" s="32"/>
      <c r="G395" s="32"/>
      <c r="H395" s="32"/>
      <c r="I395" s="32"/>
      <c r="J395" s="32"/>
      <c r="K395" s="32"/>
      <c r="L395" s="32"/>
      <c r="M395" s="32"/>
      <c r="N395" s="32"/>
      <c r="O395" s="32"/>
      <c r="P395" s="32"/>
      <c r="Q395" s="32"/>
      <c r="R395" s="32"/>
      <c r="S395" s="32"/>
      <c r="T395" s="32"/>
      <c r="U395" s="32"/>
      <c r="V395" s="32"/>
      <c r="W395" s="32"/>
      <c r="X395" s="32"/>
      <c r="Y395" s="32"/>
      <c r="Z395" s="32"/>
      <c r="AA395" s="32"/>
      <c r="AB395" s="32"/>
      <c r="AC395" s="32"/>
      <c r="AD395" s="32"/>
      <c r="AE395" s="32"/>
      <c r="AF395" s="32"/>
      <c r="AG395" s="32"/>
      <c r="AH395" s="32"/>
      <c r="AI395" s="32"/>
      <c r="AJ395" s="32"/>
    </row>
    <row r="396">
      <c r="A396" s="32"/>
      <c r="B396" s="32"/>
      <c r="C396" s="32"/>
      <c r="D396" s="32"/>
      <c r="E396" s="32"/>
      <c r="F396" s="32"/>
      <c r="G396" s="32"/>
      <c r="H396" s="32"/>
      <c r="I396" s="32"/>
      <c r="J396" s="32"/>
      <c r="K396" s="32"/>
      <c r="L396" s="32"/>
      <c r="M396" s="32"/>
      <c r="N396" s="32"/>
      <c r="O396" s="32"/>
      <c r="P396" s="32"/>
      <c r="Q396" s="32"/>
      <c r="R396" s="32"/>
      <c r="S396" s="32"/>
      <c r="T396" s="32"/>
      <c r="U396" s="32"/>
      <c r="V396" s="32"/>
      <c r="W396" s="32"/>
      <c r="X396" s="32"/>
      <c r="Y396" s="32"/>
      <c r="Z396" s="32"/>
      <c r="AA396" s="32"/>
      <c r="AB396" s="32"/>
      <c r="AC396" s="32"/>
      <c r="AD396" s="32"/>
      <c r="AE396" s="32"/>
      <c r="AF396" s="32"/>
      <c r="AG396" s="32"/>
      <c r="AH396" s="32"/>
      <c r="AI396" s="32"/>
      <c r="AJ396" s="32"/>
    </row>
    <row r="397">
      <c r="A397" s="32"/>
      <c r="B397" s="32"/>
      <c r="C397" s="32"/>
      <c r="D397" s="32"/>
      <c r="E397" s="32"/>
      <c r="F397" s="32"/>
      <c r="G397" s="32"/>
      <c r="H397" s="32"/>
      <c r="I397" s="32"/>
      <c r="J397" s="32"/>
      <c r="K397" s="32"/>
      <c r="L397" s="32"/>
      <c r="M397" s="32"/>
      <c r="N397" s="32"/>
      <c r="O397" s="32"/>
      <c r="P397" s="32"/>
      <c r="Q397" s="32"/>
      <c r="R397" s="32"/>
      <c r="S397" s="32"/>
      <c r="T397" s="32"/>
      <c r="U397" s="32"/>
      <c r="V397" s="32"/>
      <c r="W397" s="32"/>
      <c r="X397" s="32"/>
      <c r="Y397" s="32"/>
      <c r="Z397" s="32"/>
      <c r="AA397" s="32"/>
      <c r="AB397" s="32"/>
      <c r="AC397" s="32"/>
      <c r="AD397" s="32"/>
      <c r="AE397" s="32"/>
      <c r="AF397" s="32"/>
      <c r="AG397" s="32"/>
      <c r="AH397" s="32"/>
      <c r="AI397" s="32"/>
      <c r="AJ397" s="32"/>
    </row>
    <row r="398">
      <c r="A398" s="32"/>
      <c r="B398" s="32"/>
      <c r="C398" s="32"/>
      <c r="D398" s="32"/>
      <c r="E398" s="32"/>
      <c r="F398" s="32"/>
      <c r="G398" s="32"/>
      <c r="H398" s="32"/>
      <c r="I398" s="32"/>
      <c r="J398" s="32"/>
      <c r="K398" s="32"/>
      <c r="L398" s="32"/>
      <c r="M398" s="32"/>
      <c r="N398" s="32"/>
      <c r="O398" s="32"/>
      <c r="P398" s="32"/>
      <c r="Q398" s="32"/>
      <c r="R398" s="32"/>
      <c r="S398" s="32"/>
      <c r="T398" s="32"/>
      <c r="U398" s="32"/>
      <c r="V398" s="32"/>
      <c r="W398" s="32"/>
      <c r="X398" s="32"/>
      <c r="Y398" s="32"/>
      <c r="Z398" s="32"/>
      <c r="AA398" s="32"/>
      <c r="AB398" s="32"/>
      <c r="AC398" s="32"/>
      <c r="AD398" s="32"/>
      <c r="AE398" s="32"/>
      <c r="AF398" s="32"/>
      <c r="AG398" s="32"/>
      <c r="AH398" s="32"/>
      <c r="AI398" s="32"/>
      <c r="AJ398" s="32"/>
    </row>
    <row r="399">
      <c r="A399" s="32"/>
      <c r="B399" s="32"/>
      <c r="C399" s="32"/>
      <c r="D399" s="32"/>
      <c r="E399" s="32"/>
      <c r="F399" s="32"/>
      <c r="G399" s="32"/>
      <c r="H399" s="32"/>
      <c r="I399" s="32"/>
      <c r="J399" s="32"/>
      <c r="K399" s="32"/>
      <c r="L399" s="32"/>
      <c r="M399" s="32"/>
      <c r="N399" s="32"/>
      <c r="O399" s="32"/>
      <c r="P399" s="32"/>
      <c r="Q399" s="32"/>
      <c r="R399" s="32"/>
      <c r="S399" s="32"/>
      <c r="T399" s="32"/>
      <c r="U399" s="32"/>
      <c r="V399" s="32"/>
      <c r="W399" s="32"/>
      <c r="X399" s="32"/>
      <c r="Y399" s="32"/>
      <c r="Z399" s="32"/>
      <c r="AA399" s="32"/>
      <c r="AB399" s="32"/>
      <c r="AC399" s="32"/>
      <c r="AD399" s="32"/>
      <c r="AE399" s="32"/>
      <c r="AF399" s="32"/>
      <c r="AG399" s="32"/>
      <c r="AH399" s="32"/>
      <c r="AI399" s="32"/>
      <c r="AJ399" s="32"/>
    </row>
    <row r="400">
      <c r="A400" s="32"/>
      <c r="B400" s="32"/>
      <c r="C400" s="32"/>
      <c r="D400" s="32"/>
      <c r="E400" s="32"/>
      <c r="F400" s="32"/>
      <c r="G400" s="32"/>
      <c r="H400" s="32"/>
      <c r="I400" s="32"/>
      <c r="J400" s="32"/>
      <c r="K400" s="32"/>
      <c r="L400" s="32"/>
      <c r="M400" s="32"/>
      <c r="N400" s="32"/>
      <c r="O400" s="32"/>
      <c r="P400" s="32"/>
      <c r="Q400" s="32"/>
      <c r="R400" s="32"/>
      <c r="S400" s="32"/>
      <c r="T400" s="32"/>
      <c r="U400" s="32"/>
      <c r="V400" s="32"/>
      <c r="W400" s="32"/>
      <c r="X400" s="32"/>
      <c r="Y400" s="32"/>
      <c r="Z400" s="32"/>
      <c r="AA400" s="32"/>
      <c r="AB400" s="32"/>
      <c r="AC400" s="32"/>
      <c r="AD400" s="32"/>
      <c r="AE400" s="32"/>
      <c r="AF400" s="32"/>
      <c r="AG400" s="32"/>
      <c r="AH400" s="32"/>
      <c r="AI400" s="32"/>
      <c r="AJ400" s="32"/>
    </row>
    <row r="401">
      <c r="A401" s="32"/>
      <c r="B401" s="32"/>
      <c r="C401" s="32"/>
      <c r="D401" s="32"/>
      <c r="E401" s="32"/>
      <c r="F401" s="32"/>
      <c r="G401" s="32"/>
      <c r="H401" s="32"/>
      <c r="I401" s="32"/>
      <c r="J401" s="32"/>
      <c r="K401" s="32"/>
      <c r="L401" s="32"/>
      <c r="M401" s="32"/>
      <c r="N401" s="32"/>
      <c r="O401" s="32"/>
      <c r="P401" s="32"/>
      <c r="Q401" s="32"/>
      <c r="R401" s="32"/>
      <c r="S401" s="32"/>
      <c r="T401" s="32"/>
      <c r="U401" s="32"/>
      <c r="V401" s="32"/>
      <c r="W401" s="32"/>
      <c r="X401" s="32"/>
      <c r="Y401" s="32"/>
      <c r="Z401" s="32"/>
      <c r="AA401" s="32"/>
      <c r="AB401" s="32"/>
      <c r="AC401" s="32"/>
      <c r="AD401" s="32"/>
      <c r="AE401" s="32"/>
      <c r="AF401" s="32"/>
      <c r="AG401" s="32"/>
      <c r="AH401" s="32"/>
      <c r="AI401" s="32"/>
      <c r="AJ401" s="32"/>
    </row>
    <row r="402">
      <c r="A402" s="32"/>
      <c r="B402" s="32"/>
      <c r="C402" s="32"/>
      <c r="D402" s="32"/>
      <c r="E402" s="32"/>
      <c r="F402" s="32"/>
      <c r="G402" s="32"/>
      <c r="H402" s="32"/>
      <c r="I402" s="32"/>
      <c r="J402" s="32"/>
      <c r="K402" s="32"/>
      <c r="L402" s="32"/>
      <c r="M402" s="32"/>
      <c r="N402" s="32"/>
      <c r="O402" s="32"/>
      <c r="P402" s="32"/>
      <c r="Q402" s="32"/>
      <c r="R402" s="32"/>
      <c r="S402" s="32"/>
      <c r="T402" s="32"/>
      <c r="U402" s="32"/>
      <c r="V402" s="32"/>
      <c r="W402" s="32"/>
      <c r="X402" s="32"/>
      <c r="Y402" s="32"/>
      <c r="Z402" s="32"/>
      <c r="AA402" s="32"/>
      <c r="AB402" s="32"/>
      <c r="AC402" s="32"/>
      <c r="AD402" s="32"/>
      <c r="AE402" s="32"/>
      <c r="AF402" s="32"/>
      <c r="AG402" s="32"/>
      <c r="AH402" s="32"/>
      <c r="AI402" s="32"/>
      <c r="AJ402" s="32"/>
    </row>
    <row r="403">
      <c r="A403" s="32"/>
      <c r="B403" s="32"/>
      <c r="C403" s="32"/>
      <c r="D403" s="32"/>
      <c r="E403" s="32"/>
      <c r="F403" s="32"/>
      <c r="G403" s="32"/>
      <c r="H403" s="32"/>
      <c r="I403" s="32"/>
      <c r="J403" s="32"/>
      <c r="K403" s="32"/>
      <c r="L403" s="32"/>
      <c r="M403" s="32"/>
      <c r="N403" s="32"/>
      <c r="O403" s="32"/>
      <c r="P403" s="32"/>
      <c r="Q403" s="32"/>
      <c r="R403" s="32"/>
      <c r="S403" s="32"/>
      <c r="T403" s="32"/>
      <c r="U403" s="32"/>
      <c r="V403" s="32"/>
      <c r="W403" s="32"/>
      <c r="X403" s="32"/>
      <c r="Y403" s="32"/>
      <c r="Z403" s="32"/>
      <c r="AA403" s="32"/>
      <c r="AB403" s="32"/>
      <c r="AC403" s="32"/>
      <c r="AD403" s="32"/>
      <c r="AE403" s="32"/>
      <c r="AF403" s="32"/>
      <c r="AG403" s="32"/>
      <c r="AH403" s="32"/>
      <c r="AI403" s="32"/>
      <c r="AJ403" s="32"/>
    </row>
    <row r="404">
      <c r="A404" s="32"/>
      <c r="B404" s="32"/>
      <c r="C404" s="32"/>
      <c r="D404" s="32"/>
      <c r="E404" s="32"/>
      <c r="F404" s="32"/>
      <c r="G404" s="32"/>
      <c r="H404" s="32"/>
      <c r="I404" s="32"/>
      <c r="J404" s="32"/>
      <c r="K404" s="32"/>
      <c r="L404" s="32"/>
      <c r="M404" s="32"/>
      <c r="N404" s="32"/>
      <c r="O404" s="32"/>
      <c r="P404" s="32"/>
      <c r="Q404" s="32"/>
      <c r="R404" s="32"/>
      <c r="S404" s="32"/>
      <c r="T404" s="32"/>
      <c r="U404" s="32"/>
      <c r="V404" s="32"/>
      <c r="W404" s="32"/>
      <c r="X404" s="32"/>
      <c r="Y404" s="32"/>
      <c r="Z404" s="32"/>
      <c r="AA404" s="32"/>
      <c r="AB404" s="32"/>
      <c r="AC404" s="32"/>
      <c r="AD404" s="32"/>
      <c r="AE404" s="32"/>
      <c r="AF404" s="32"/>
      <c r="AG404" s="32"/>
      <c r="AH404" s="32"/>
      <c r="AI404" s="32"/>
      <c r="AJ404" s="32"/>
    </row>
    <row r="405">
      <c r="A405" s="32"/>
      <c r="B405" s="32"/>
      <c r="C405" s="32"/>
      <c r="D405" s="32"/>
      <c r="E405" s="32"/>
      <c r="F405" s="32"/>
      <c r="G405" s="32"/>
      <c r="H405" s="32"/>
      <c r="I405" s="32"/>
      <c r="J405" s="32"/>
      <c r="K405" s="32"/>
      <c r="L405" s="32"/>
      <c r="M405" s="32"/>
      <c r="N405" s="32"/>
      <c r="O405" s="32"/>
      <c r="P405" s="32"/>
      <c r="Q405" s="32"/>
      <c r="R405" s="32"/>
      <c r="S405" s="32"/>
      <c r="T405" s="32"/>
      <c r="U405" s="32"/>
      <c r="V405" s="32"/>
      <c r="W405" s="32"/>
      <c r="X405" s="32"/>
      <c r="Y405" s="32"/>
      <c r="Z405" s="32"/>
      <c r="AA405" s="32"/>
      <c r="AB405" s="32"/>
      <c r="AC405" s="32"/>
      <c r="AD405" s="32"/>
      <c r="AE405" s="32"/>
      <c r="AF405" s="32"/>
      <c r="AG405" s="32"/>
      <c r="AH405" s="32"/>
      <c r="AI405" s="32"/>
      <c r="AJ405" s="32"/>
    </row>
    <row r="406">
      <c r="A406" s="32"/>
      <c r="B406" s="32"/>
      <c r="C406" s="32"/>
      <c r="D406" s="32"/>
      <c r="E406" s="32"/>
      <c r="F406" s="32"/>
      <c r="G406" s="32"/>
      <c r="H406" s="32"/>
      <c r="I406" s="32"/>
      <c r="J406" s="32"/>
      <c r="K406" s="32"/>
      <c r="L406" s="32"/>
      <c r="M406" s="32"/>
      <c r="N406" s="32"/>
      <c r="O406" s="32"/>
      <c r="P406" s="32"/>
      <c r="Q406" s="32"/>
      <c r="R406" s="32"/>
      <c r="S406" s="32"/>
      <c r="T406" s="32"/>
      <c r="U406" s="32"/>
      <c r="V406" s="32"/>
      <c r="W406" s="32"/>
      <c r="X406" s="32"/>
      <c r="Y406" s="32"/>
      <c r="Z406" s="32"/>
      <c r="AA406" s="32"/>
      <c r="AB406" s="32"/>
      <c r="AC406" s="32"/>
      <c r="AD406" s="32"/>
      <c r="AE406" s="32"/>
      <c r="AF406" s="32"/>
      <c r="AG406" s="32"/>
      <c r="AH406" s="32"/>
      <c r="AI406" s="32"/>
      <c r="AJ406" s="32"/>
    </row>
    <row r="407">
      <c r="A407" s="32"/>
      <c r="B407" s="32"/>
      <c r="C407" s="32"/>
      <c r="D407" s="32"/>
      <c r="E407" s="32"/>
      <c r="F407" s="32"/>
      <c r="G407" s="32"/>
      <c r="H407" s="32"/>
      <c r="I407" s="32"/>
      <c r="J407" s="32"/>
      <c r="K407" s="32"/>
      <c r="L407" s="32"/>
      <c r="M407" s="32"/>
      <c r="N407" s="32"/>
      <c r="O407" s="32"/>
      <c r="P407" s="32"/>
      <c r="Q407" s="32"/>
      <c r="R407" s="32"/>
      <c r="S407" s="32"/>
      <c r="T407" s="32"/>
      <c r="U407" s="32"/>
      <c r="V407" s="32"/>
      <c r="W407" s="32"/>
      <c r="X407" s="32"/>
      <c r="Y407" s="32"/>
      <c r="Z407" s="32"/>
      <c r="AA407" s="32"/>
      <c r="AB407" s="32"/>
      <c r="AC407" s="32"/>
      <c r="AD407" s="32"/>
      <c r="AE407" s="32"/>
      <c r="AF407" s="32"/>
      <c r="AG407" s="32"/>
      <c r="AH407" s="32"/>
      <c r="AI407" s="32"/>
      <c r="AJ407" s="32"/>
    </row>
    <row r="408">
      <c r="A408" s="32"/>
      <c r="B408" s="32"/>
      <c r="C408" s="32"/>
      <c r="D408" s="32"/>
      <c r="E408" s="32"/>
      <c r="F408" s="32"/>
      <c r="G408" s="32"/>
      <c r="H408" s="32"/>
      <c r="I408" s="32"/>
      <c r="J408" s="32"/>
      <c r="K408" s="32"/>
      <c r="L408" s="32"/>
      <c r="M408" s="32"/>
      <c r="N408" s="32"/>
      <c r="O408" s="32"/>
      <c r="P408" s="32"/>
      <c r="Q408" s="32"/>
      <c r="R408" s="32"/>
      <c r="S408" s="32"/>
      <c r="T408" s="32"/>
      <c r="U408" s="32"/>
      <c r="V408" s="32"/>
      <c r="W408" s="32"/>
      <c r="X408" s="32"/>
      <c r="Y408" s="32"/>
      <c r="Z408" s="32"/>
      <c r="AA408" s="32"/>
      <c r="AB408" s="32"/>
      <c r="AC408" s="32"/>
      <c r="AD408" s="32"/>
      <c r="AE408" s="32"/>
      <c r="AF408" s="32"/>
      <c r="AG408" s="32"/>
      <c r="AH408" s="32"/>
      <c r="AI408" s="32"/>
      <c r="AJ408" s="32"/>
    </row>
    <row r="409">
      <c r="A409" s="32"/>
      <c r="B409" s="32"/>
      <c r="C409" s="32"/>
      <c r="D409" s="32"/>
      <c r="E409" s="32"/>
      <c r="F409" s="32"/>
      <c r="G409" s="32"/>
      <c r="H409" s="32"/>
      <c r="I409" s="32"/>
      <c r="J409" s="32"/>
      <c r="K409" s="32"/>
      <c r="L409" s="32"/>
      <c r="M409" s="32"/>
      <c r="N409" s="32"/>
      <c r="O409" s="32"/>
      <c r="P409" s="32"/>
      <c r="Q409" s="32"/>
      <c r="R409" s="32"/>
      <c r="S409" s="32"/>
      <c r="T409" s="32"/>
      <c r="U409" s="32"/>
      <c r="V409" s="32"/>
      <c r="W409" s="32"/>
      <c r="X409" s="32"/>
      <c r="Y409" s="32"/>
      <c r="Z409" s="32"/>
      <c r="AA409" s="32"/>
      <c r="AB409" s="32"/>
      <c r="AC409" s="32"/>
      <c r="AD409" s="32"/>
      <c r="AE409" s="32"/>
      <c r="AF409" s="32"/>
      <c r="AG409" s="32"/>
      <c r="AH409" s="32"/>
      <c r="AI409" s="32"/>
      <c r="AJ409" s="32"/>
    </row>
    <row r="410">
      <c r="A410" s="32"/>
      <c r="B410" s="32"/>
      <c r="C410" s="32"/>
      <c r="D410" s="32"/>
      <c r="E410" s="32"/>
      <c r="F410" s="32"/>
      <c r="G410" s="32"/>
      <c r="H410" s="32"/>
      <c r="I410" s="32"/>
      <c r="J410" s="32"/>
      <c r="K410" s="32"/>
      <c r="L410" s="32"/>
      <c r="M410" s="32"/>
      <c r="N410" s="32"/>
      <c r="O410" s="32"/>
      <c r="P410" s="32"/>
      <c r="Q410" s="32"/>
      <c r="R410" s="32"/>
      <c r="S410" s="32"/>
      <c r="T410" s="32"/>
      <c r="U410" s="32"/>
      <c r="V410" s="32"/>
      <c r="W410" s="32"/>
      <c r="X410" s="32"/>
      <c r="Y410" s="32"/>
      <c r="Z410" s="32"/>
      <c r="AA410" s="32"/>
      <c r="AB410" s="32"/>
      <c r="AC410" s="32"/>
      <c r="AD410" s="32"/>
      <c r="AE410" s="32"/>
      <c r="AF410" s="32"/>
      <c r="AG410" s="32"/>
      <c r="AH410" s="32"/>
      <c r="AI410" s="32"/>
      <c r="AJ410" s="32"/>
    </row>
    <row r="411">
      <c r="A411" s="32"/>
      <c r="B411" s="32"/>
      <c r="C411" s="32"/>
      <c r="D411" s="32"/>
      <c r="E411" s="32"/>
      <c r="F411" s="32"/>
      <c r="G411" s="32"/>
      <c r="H411" s="32"/>
      <c r="I411" s="32"/>
      <c r="J411" s="32"/>
      <c r="K411" s="32"/>
      <c r="L411" s="32"/>
      <c r="M411" s="32"/>
      <c r="N411" s="32"/>
      <c r="O411" s="32"/>
      <c r="P411" s="32"/>
      <c r="Q411" s="32"/>
      <c r="R411" s="32"/>
      <c r="S411" s="32"/>
      <c r="T411" s="32"/>
      <c r="U411" s="32"/>
      <c r="V411" s="32"/>
      <c r="W411" s="32"/>
      <c r="X411" s="32"/>
      <c r="Y411" s="32"/>
      <c r="Z411" s="32"/>
      <c r="AA411" s="32"/>
      <c r="AB411" s="32"/>
      <c r="AC411" s="32"/>
      <c r="AD411" s="32"/>
      <c r="AE411" s="32"/>
      <c r="AF411" s="32"/>
      <c r="AG411" s="32"/>
      <c r="AH411" s="32"/>
      <c r="AI411" s="32"/>
      <c r="AJ411" s="32"/>
    </row>
    <row r="412">
      <c r="A412" s="32"/>
      <c r="B412" s="32"/>
      <c r="C412" s="32"/>
      <c r="D412" s="32"/>
      <c r="E412" s="32"/>
      <c r="F412" s="32"/>
      <c r="G412" s="32"/>
      <c r="H412" s="32"/>
      <c r="I412" s="32"/>
      <c r="J412" s="32"/>
      <c r="K412" s="32"/>
      <c r="L412" s="32"/>
      <c r="M412" s="32"/>
      <c r="N412" s="32"/>
      <c r="O412" s="32"/>
      <c r="P412" s="32"/>
      <c r="Q412" s="32"/>
      <c r="R412" s="32"/>
      <c r="S412" s="32"/>
      <c r="T412" s="32"/>
      <c r="U412" s="32"/>
      <c r="V412" s="32"/>
      <c r="W412" s="32"/>
      <c r="X412" s="32"/>
      <c r="Y412" s="32"/>
      <c r="Z412" s="32"/>
      <c r="AA412" s="32"/>
      <c r="AB412" s="32"/>
      <c r="AC412" s="32"/>
      <c r="AD412" s="32"/>
      <c r="AE412" s="32"/>
      <c r="AF412" s="32"/>
      <c r="AG412" s="32"/>
      <c r="AH412" s="32"/>
      <c r="AI412" s="32"/>
      <c r="AJ412" s="32"/>
    </row>
    <row r="413">
      <c r="A413" s="32"/>
      <c r="B413" s="32"/>
      <c r="C413" s="32"/>
      <c r="D413" s="32"/>
      <c r="E413" s="32"/>
      <c r="F413" s="32"/>
      <c r="G413" s="32"/>
      <c r="H413" s="32"/>
      <c r="I413" s="32"/>
      <c r="J413" s="32"/>
      <c r="K413" s="32"/>
      <c r="L413" s="32"/>
      <c r="M413" s="32"/>
      <c r="N413" s="32"/>
      <c r="O413" s="32"/>
      <c r="P413" s="32"/>
      <c r="Q413" s="32"/>
      <c r="R413" s="32"/>
      <c r="S413" s="32"/>
      <c r="T413" s="32"/>
      <c r="U413" s="32"/>
      <c r="V413" s="32"/>
      <c r="W413" s="32"/>
      <c r="X413" s="32"/>
      <c r="Y413" s="32"/>
      <c r="Z413" s="32"/>
      <c r="AA413" s="32"/>
      <c r="AB413" s="32"/>
      <c r="AC413" s="32"/>
      <c r="AD413" s="32"/>
      <c r="AE413" s="32"/>
      <c r="AF413" s="32"/>
      <c r="AG413" s="32"/>
      <c r="AH413" s="32"/>
      <c r="AI413" s="32"/>
      <c r="AJ413" s="32"/>
    </row>
    <row r="414">
      <c r="A414" s="32"/>
      <c r="B414" s="32"/>
      <c r="C414" s="32"/>
      <c r="D414" s="32"/>
      <c r="E414" s="32"/>
      <c r="F414" s="32"/>
      <c r="G414" s="32"/>
      <c r="H414" s="32"/>
      <c r="I414" s="32"/>
      <c r="J414" s="32"/>
      <c r="K414" s="32"/>
      <c r="L414" s="32"/>
      <c r="M414" s="32"/>
      <c r="N414" s="32"/>
      <c r="O414" s="32"/>
      <c r="P414" s="32"/>
      <c r="Q414" s="32"/>
      <c r="R414" s="32"/>
      <c r="S414" s="32"/>
      <c r="T414" s="32"/>
      <c r="U414" s="32"/>
      <c r="V414" s="32"/>
      <c r="W414" s="32"/>
      <c r="X414" s="32"/>
      <c r="Y414" s="32"/>
      <c r="Z414" s="32"/>
      <c r="AA414" s="32"/>
      <c r="AB414" s="32"/>
      <c r="AC414" s="32"/>
      <c r="AD414" s="32"/>
      <c r="AE414" s="32"/>
      <c r="AF414" s="32"/>
      <c r="AG414" s="32"/>
      <c r="AH414" s="32"/>
      <c r="AI414" s="32"/>
      <c r="AJ414" s="32"/>
    </row>
    <row r="415">
      <c r="A415" s="32"/>
      <c r="B415" s="32"/>
      <c r="C415" s="32"/>
      <c r="D415" s="32"/>
      <c r="E415" s="32"/>
      <c r="F415" s="32"/>
      <c r="G415" s="32"/>
      <c r="H415" s="32"/>
      <c r="I415" s="32"/>
      <c r="J415" s="32"/>
      <c r="K415" s="32"/>
      <c r="L415" s="32"/>
      <c r="M415" s="32"/>
      <c r="N415" s="32"/>
      <c r="O415" s="32"/>
      <c r="P415" s="32"/>
      <c r="Q415" s="32"/>
      <c r="R415" s="32"/>
      <c r="S415" s="32"/>
      <c r="T415" s="32"/>
      <c r="U415" s="32"/>
      <c r="V415" s="32"/>
      <c r="W415" s="32"/>
      <c r="X415" s="32"/>
      <c r="Y415" s="32"/>
      <c r="Z415" s="32"/>
      <c r="AA415" s="32"/>
      <c r="AB415" s="32"/>
      <c r="AC415" s="32"/>
      <c r="AD415" s="32"/>
      <c r="AE415" s="32"/>
      <c r="AF415" s="32"/>
      <c r="AG415" s="32"/>
      <c r="AH415" s="32"/>
      <c r="AI415" s="32"/>
      <c r="AJ415" s="32"/>
    </row>
    <row r="416">
      <c r="A416" s="32"/>
      <c r="B416" s="32"/>
      <c r="C416" s="32"/>
      <c r="D416" s="32"/>
      <c r="E416" s="32"/>
      <c r="F416" s="32"/>
      <c r="G416" s="32"/>
      <c r="H416" s="32"/>
      <c r="I416" s="32"/>
      <c r="J416" s="32"/>
      <c r="K416" s="32"/>
      <c r="L416" s="32"/>
      <c r="M416" s="32"/>
      <c r="N416" s="32"/>
      <c r="O416" s="32"/>
      <c r="P416" s="32"/>
      <c r="Q416" s="32"/>
      <c r="R416" s="32"/>
      <c r="S416" s="32"/>
      <c r="T416" s="32"/>
      <c r="U416" s="32"/>
      <c r="V416" s="32"/>
      <c r="W416" s="32"/>
      <c r="X416" s="32"/>
      <c r="Y416" s="32"/>
      <c r="Z416" s="32"/>
      <c r="AA416" s="32"/>
      <c r="AB416" s="32"/>
      <c r="AC416" s="32"/>
      <c r="AD416" s="32"/>
      <c r="AE416" s="32"/>
      <c r="AF416" s="32"/>
      <c r="AG416" s="32"/>
      <c r="AH416" s="32"/>
      <c r="AI416" s="32"/>
      <c r="AJ416" s="32"/>
    </row>
    <row r="417">
      <c r="A417" s="32"/>
      <c r="B417" s="32"/>
      <c r="C417" s="32"/>
      <c r="D417" s="32"/>
      <c r="E417" s="32"/>
      <c r="F417" s="32"/>
      <c r="G417" s="32"/>
      <c r="H417" s="32"/>
      <c r="I417" s="32"/>
      <c r="J417" s="32"/>
      <c r="K417" s="32"/>
      <c r="L417" s="32"/>
      <c r="M417" s="32"/>
      <c r="N417" s="32"/>
      <c r="O417" s="32"/>
      <c r="P417" s="32"/>
      <c r="Q417" s="32"/>
      <c r="R417" s="32"/>
      <c r="S417" s="32"/>
      <c r="T417" s="32"/>
      <c r="U417" s="32"/>
      <c r="V417" s="32"/>
      <c r="W417" s="32"/>
      <c r="X417" s="32"/>
      <c r="Y417" s="32"/>
      <c r="Z417" s="32"/>
      <c r="AA417" s="32"/>
      <c r="AB417" s="32"/>
      <c r="AC417" s="32"/>
      <c r="AD417" s="32"/>
      <c r="AE417" s="32"/>
      <c r="AF417" s="32"/>
      <c r="AG417" s="32"/>
      <c r="AH417" s="32"/>
      <c r="AI417" s="32"/>
      <c r="AJ417" s="32"/>
    </row>
    <row r="418">
      <c r="A418" s="32"/>
      <c r="B418" s="32"/>
      <c r="C418" s="32"/>
      <c r="D418" s="32"/>
      <c r="E418" s="32"/>
      <c r="F418" s="32"/>
      <c r="G418" s="32"/>
      <c r="H418" s="32"/>
      <c r="I418" s="32"/>
      <c r="J418" s="32"/>
      <c r="K418" s="32"/>
      <c r="L418" s="32"/>
      <c r="M418" s="32"/>
      <c r="N418" s="32"/>
      <c r="O418" s="32"/>
      <c r="P418" s="32"/>
      <c r="Q418" s="32"/>
      <c r="R418" s="32"/>
      <c r="S418" s="32"/>
      <c r="T418" s="32"/>
      <c r="U418" s="32"/>
      <c r="V418" s="32"/>
      <c r="W418" s="32"/>
      <c r="X418" s="32"/>
      <c r="Y418" s="32"/>
      <c r="Z418" s="32"/>
      <c r="AA418" s="32"/>
      <c r="AB418" s="32"/>
      <c r="AC418" s="32"/>
      <c r="AD418" s="32"/>
      <c r="AE418" s="32"/>
      <c r="AF418" s="32"/>
      <c r="AG418" s="32"/>
      <c r="AH418" s="32"/>
      <c r="AI418" s="32"/>
      <c r="AJ418" s="32"/>
    </row>
    <row r="419">
      <c r="A419" s="32"/>
      <c r="B419" s="32"/>
      <c r="C419" s="32"/>
      <c r="D419" s="32"/>
      <c r="E419" s="32"/>
      <c r="F419" s="32"/>
      <c r="G419" s="32"/>
      <c r="H419" s="32"/>
      <c r="I419" s="32"/>
      <c r="J419" s="32"/>
      <c r="K419" s="32"/>
      <c r="L419" s="32"/>
      <c r="M419" s="32"/>
      <c r="N419" s="32"/>
      <c r="O419" s="32"/>
      <c r="P419" s="32"/>
      <c r="Q419" s="32"/>
      <c r="R419" s="32"/>
      <c r="S419" s="32"/>
      <c r="T419" s="32"/>
      <c r="U419" s="32"/>
      <c r="V419" s="32"/>
      <c r="W419" s="32"/>
      <c r="X419" s="32"/>
      <c r="Y419" s="32"/>
      <c r="Z419" s="32"/>
      <c r="AA419" s="32"/>
      <c r="AB419" s="32"/>
      <c r="AC419" s="32"/>
      <c r="AD419" s="32"/>
      <c r="AE419" s="32"/>
      <c r="AF419" s="32"/>
      <c r="AG419" s="32"/>
      <c r="AH419" s="32"/>
      <c r="AI419" s="32"/>
      <c r="AJ419" s="32"/>
    </row>
    <row r="420">
      <c r="A420" s="32"/>
      <c r="B420" s="32"/>
      <c r="C420" s="32"/>
      <c r="D420" s="32"/>
      <c r="E420" s="32"/>
      <c r="F420" s="32"/>
      <c r="G420" s="32"/>
      <c r="H420" s="32"/>
      <c r="I420" s="32"/>
      <c r="J420" s="32"/>
      <c r="K420" s="32"/>
      <c r="L420" s="32"/>
      <c r="M420" s="32"/>
      <c r="N420" s="32"/>
      <c r="O420" s="32"/>
      <c r="P420" s="32"/>
      <c r="Q420" s="32"/>
      <c r="R420" s="32"/>
      <c r="S420" s="32"/>
      <c r="T420" s="32"/>
      <c r="U420" s="32"/>
      <c r="V420" s="32"/>
      <c r="W420" s="32"/>
      <c r="X420" s="32"/>
      <c r="Y420" s="32"/>
      <c r="Z420" s="32"/>
      <c r="AA420" s="32"/>
      <c r="AB420" s="32"/>
      <c r="AC420" s="32"/>
      <c r="AD420" s="32"/>
      <c r="AE420" s="32"/>
      <c r="AF420" s="32"/>
      <c r="AG420" s="32"/>
      <c r="AH420" s="32"/>
      <c r="AI420" s="32"/>
      <c r="AJ420" s="32"/>
    </row>
    <row r="421">
      <c r="A421" s="32"/>
      <c r="B421" s="32"/>
      <c r="C421" s="32"/>
      <c r="D421" s="32"/>
      <c r="E421" s="32"/>
      <c r="F421" s="32"/>
      <c r="G421" s="32"/>
      <c r="H421" s="32"/>
      <c r="I421" s="32"/>
      <c r="J421" s="32"/>
      <c r="K421" s="32"/>
      <c r="L421" s="32"/>
      <c r="M421" s="32"/>
      <c r="N421" s="32"/>
      <c r="O421" s="32"/>
      <c r="P421" s="32"/>
      <c r="Q421" s="32"/>
      <c r="R421" s="32"/>
      <c r="S421" s="32"/>
      <c r="T421" s="32"/>
      <c r="U421" s="32"/>
      <c r="V421" s="32"/>
      <c r="W421" s="32"/>
      <c r="X421" s="32"/>
      <c r="Y421" s="32"/>
      <c r="Z421" s="32"/>
      <c r="AA421" s="32"/>
      <c r="AB421" s="32"/>
      <c r="AC421" s="32"/>
      <c r="AD421" s="32"/>
      <c r="AE421" s="32"/>
      <c r="AF421" s="32"/>
      <c r="AG421" s="32"/>
      <c r="AH421" s="32"/>
      <c r="AI421" s="32"/>
      <c r="AJ421" s="32"/>
    </row>
    <row r="422">
      <c r="A422" s="32"/>
      <c r="B422" s="32"/>
      <c r="C422" s="32"/>
      <c r="D422" s="32"/>
      <c r="E422" s="32"/>
      <c r="F422" s="32"/>
      <c r="G422" s="32"/>
      <c r="H422" s="32"/>
      <c r="I422" s="32"/>
      <c r="J422" s="32"/>
      <c r="K422" s="32"/>
      <c r="L422" s="32"/>
      <c r="M422" s="32"/>
      <c r="N422" s="32"/>
      <c r="O422" s="32"/>
      <c r="P422" s="32"/>
      <c r="Q422" s="32"/>
      <c r="R422" s="32"/>
      <c r="S422" s="32"/>
      <c r="T422" s="32"/>
      <c r="U422" s="32"/>
      <c r="V422" s="32"/>
      <c r="W422" s="32"/>
      <c r="X422" s="32"/>
      <c r="Y422" s="32"/>
      <c r="Z422" s="32"/>
      <c r="AA422" s="32"/>
      <c r="AB422" s="32"/>
      <c r="AC422" s="32"/>
      <c r="AD422" s="32"/>
      <c r="AE422" s="32"/>
      <c r="AF422" s="32"/>
      <c r="AG422" s="32"/>
      <c r="AH422" s="32"/>
      <c r="AI422" s="32"/>
      <c r="AJ422" s="32"/>
    </row>
    <row r="423">
      <c r="A423" s="32"/>
      <c r="B423" s="32"/>
      <c r="C423" s="32"/>
      <c r="D423" s="32"/>
      <c r="E423" s="32"/>
      <c r="F423" s="32"/>
      <c r="G423" s="32"/>
      <c r="H423" s="32"/>
      <c r="I423" s="32"/>
      <c r="J423" s="32"/>
      <c r="K423" s="32"/>
      <c r="L423" s="32"/>
      <c r="M423" s="32"/>
      <c r="N423" s="32"/>
      <c r="O423" s="32"/>
      <c r="P423" s="32"/>
      <c r="Q423" s="32"/>
      <c r="R423" s="32"/>
      <c r="S423" s="32"/>
      <c r="T423" s="32"/>
      <c r="U423" s="32"/>
      <c r="V423" s="32"/>
      <c r="W423" s="32"/>
      <c r="X423" s="32"/>
      <c r="Y423" s="32"/>
      <c r="Z423" s="32"/>
      <c r="AA423" s="32"/>
      <c r="AB423" s="32"/>
      <c r="AC423" s="32"/>
      <c r="AD423" s="32"/>
      <c r="AE423" s="32"/>
      <c r="AF423" s="32"/>
      <c r="AG423" s="32"/>
      <c r="AH423" s="32"/>
      <c r="AI423" s="32"/>
      <c r="AJ423" s="32"/>
    </row>
    <row r="424">
      <c r="A424" s="32"/>
      <c r="B424" s="32"/>
      <c r="C424" s="32"/>
      <c r="D424" s="32"/>
      <c r="E424" s="32"/>
      <c r="F424" s="32"/>
      <c r="G424" s="32"/>
      <c r="H424" s="32"/>
      <c r="I424" s="32"/>
      <c r="J424" s="32"/>
      <c r="K424" s="32"/>
      <c r="L424" s="32"/>
      <c r="M424" s="32"/>
      <c r="N424" s="32"/>
      <c r="O424" s="32"/>
      <c r="P424" s="32"/>
      <c r="Q424" s="32"/>
      <c r="R424" s="32"/>
      <c r="S424" s="32"/>
      <c r="T424" s="32"/>
      <c r="U424" s="32"/>
      <c r="V424" s="32"/>
      <c r="W424" s="32"/>
      <c r="X424" s="32"/>
      <c r="Y424" s="32"/>
      <c r="Z424" s="32"/>
      <c r="AA424" s="32"/>
      <c r="AB424" s="32"/>
      <c r="AC424" s="32"/>
      <c r="AD424" s="32"/>
      <c r="AE424" s="32"/>
      <c r="AF424" s="32"/>
      <c r="AG424" s="32"/>
      <c r="AH424" s="32"/>
      <c r="AI424" s="32"/>
      <c r="AJ424" s="32"/>
    </row>
    <row r="425">
      <c r="A425" s="32"/>
      <c r="B425" s="32"/>
      <c r="C425" s="32"/>
      <c r="D425" s="32"/>
      <c r="E425" s="32"/>
      <c r="F425" s="32"/>
      <c r="G425" s="32"/>
      <c r="H425" s="32"/>
      <c r="I425" s="32"/>
      <c r="J425" s="32"/>
      <c r="K425" s="32"/>
      <c r="L425" s="32"/>
      <c r="M425" s="32"/>
      <c r="N425" s="32"/>
      <c r="O425" s="32"/>
      <c r="P425" s="32"/>
      <c r="Q425" s="32"/>
      <c r="R425" s="32"/>
      <c r="S425" s="32"/>
      <c r="T425" s="32"/>
      <c r="U425" s="32"/>
      <c r="V425" s="32"/>
      <c r="W425" s="32"/>
      <c r="X425" s="32"/>
      <c r="Y425" s="32"/>
      <c r="Z425" s="32"/>
      <c r="AA425" s="32"/>
      <c r="AB425" s="32"/>
      <c r="AC425" s="32"/>
      <c r="AD425" s="32"/>
      <c r="AE425" s="32"/>
      <c r="AF425" s="32"/>
      <c r="AG425" s="32"/>
      <c r="AH425" s="32"/>
      <c r="AI425" s="32"/>
      <c r="AJ425" s="32"/>
    </row>
    <row r="426">
      <c r="A426" s="32"/>
      <c r="B426" s="32"/>
      <c r="C426" s="32"/>
      <c r="D426" s="32"/>
      <c r="E426" s="32"/>
      <c r="F426" s="32"/>
      <c r="G426" s="32"/>
      <c r="H426" s="32"/>
      <c r="I426" s="32"/>
      <c r="J426" s="32"/>
      <c r="K426" s="32"/>
      <c r="L426" s="32"/>
      <c r="M426" s="32"/>
      <c r="N426" s="32"/>
      <c r="O426" s="32"/>
      <c r="P426" s="32"/>
      <c r="Q426" s="32"/>
      <c r="R426" s="32"/>
      <c r="S426" s="32"/>
      <c r="T426" s="32"/>
      <c r="U426" s="32"/>
      <c r="V426" s="32"/>
      <c r="W426" s="32"/>
      <c r="X426" s="32"/>
      <c r="Y426" s="32"/>
      <c r="Z426" s="32"/>
      <c r="AA426" s="32"/>
      <c r="AB426" s="32"/>
      <c r="AC426" s="32"/>
      <c r="AD426" s="32"/>
      <c r="AE426" s="32"/>
      <c r="AF426" s="32"/>
      <c r="AG426" s="32"/>
      <c r="AH426" s="32"/>
      <c r="AI426" s="32"/>
      <c r="AJ426" s="32"/>
    </row>
    <row r="427">
      <c r="A427" s="32"/>
      <c r="B427" s="32"/>
      <c r="C427" s="32"/>
      <c r="D427" s="32"/>
      <c r="E427" s="32"/>
      <c r="F427" s="32"/>
      <c r="G427" s="32"/>
      <c r="H427" s="32"/>
      <c r="I427" s="32"/>
      <c r="J427" s="32"/>
      <c r="K427" s="32"/>
      <c r="L427" s="32"/>
      <c r="M427" s="32"/>
      <c r="N427" s="32"/>
      <c r="O427" s="32"/>
      <c r="P427" s="32"/>
      <c r="Q427" s="32"/>
      <c r="R427" s="32"/>
      <c r="S427" s="32"/>
      <c r="T427" s="32"/>
      <c r="U427" s="32"/>
      <c r="V427" s="32"/>
      <c r="W427" s="32"/>
      <c r="X427" s="32"/>
      <c r="Y427" s="32"/>
      <c r="Z427" s="32"/>
      <c r="AA427" s="32"/>
      <c r="AB427" s="32"/>
      <c r="AC427" s="32"/>
      <c r="AD427" s="32"/>
      <c r="AE427" s="32"/>
      <c r="AF427" s="32"/>
      <c r="AG427" s="32"/>
      <c r="AH427" s="32"/>
      <c r="AI427" s="32"/>
      <c r="AJ427" s="32"/>
    </row>
    <row r="428">
      <c r="A428" s="32"/>
      <c r="B428" s="32"/>
      <c r="C428" s="32"/>
      <c r="D428" s="32"/>
      <c r="E428" s="32"/>
      <c r="F428" s="32"/>
      <c r="G428" s="32"/>
      <c r="H428" s="32"/>
      <c r="I428" s="32"/>
      <c r="J428" s="32"/>
      <c r="K428" s="32"/>
      <c r="L428" s="32"/>
      <c r="M428" s="32"/>
      <c r="N428" s="32"/>
      <c r="O428" s="32"/>
      <c r="P428" s="32"/>
      <c r="Q428" s="32"/>
      <c r="R428" s="32"/>
      <c r="S428" s="32"/>
      <c r="T428" s="32"/>
      <c r="U428" s="32"/>
      <c r="V428" s="32"/>
      <c r="W428" s="32"/>
      <c r="X428" s="32"/>
      <c r="Y428" s="32"/>
      <c r="Z428" s="32"/>
      <c r="AA428" s="32"/>
      <c r="AB428" s="32"/>
      <c r="AC428" s="32"/>
      <c r="AD428" s="32"/>
      <c r="AE428" s="32"/>
      <c r="AF428" s="32"/>
      <c r="AG428" s="32"/>
      <c r="AH428" s="32"/>
      <c r="AI428" s="32"/>
      <c r="AJ428" s="32"/>
    </row>
    <row r="429">
      <c r="A429" s="32"/>
      <c r="B429" s="32"/>
      <c r="C429" s="32"/>
      <c r="D429" s="32"/>
      <c r="E429" s="32"/>
      <c r="F429" s="32"/>
      <c r="G429" s="32"/>
      <c r="H429" s="32"/>
      <c r="I429" s="32"/>
      <c r="J429" s="32"/>
      <c r="K429" s="32"/>
      <c r="L429" s="32"/>
      <c r="M429" s="32"/>
      <c r="N429" s="32"/>
      <c r="O429" s="32"/>
      <c r="P429" s="32"/>
      <c r="Q429" s="32"/>
      <c r="R429" s="32"/>
      <c r="S429" s="32"/>
      <c r="T429" s="32"/>
      <c r="U429" s="32"/>
      <c r="V429" s="32"/>
      <c r="W429" s="32"/>
      <c r="X429" s="32"/>
      <c r="Y429" s="32"/>
      <c r="Z429" s="32"/>
      <c r="AA429" s="32"/>
      <c r="AB429" s="32"/>
      <c r="AC429" s="32"/>
      <c r="AD429" s="32"/>
      <c r="AE429" s="32"/>
      <c r="AF429" s="32"/>
      <c r="AG429" s="32"/>
      <c r="AH429" s="32"/>
      <c r="AI429" s="32"/>
      <c r="AJ429" s="32"/>
    </row>
    <row r="430">
      <c r="A430" s="32"/>
      <c r="B430" s="32"/>
      <c r="C430" s="32"/>
      <c r="D430" s="32"/>
      <c r="E430" s="32"/>
      <c r="F430" s="32"/>
      <c r="G430" s="32"/>
      <c r="H430" s="32"/>
      <c r="I430" s="32"/>
      <c r="J430" s="32"/>
      <c r="K430" s="32"/>
      <c r="L430" s="32"/>
      <c r="M430" s="32"/>
      <c r="N430" s="32"/>
      <c r="O430" s="32"/>
      <c r="P430" s="32"/>
      <c r="Q430" s="32"/>
      <c r="R430" s="32"/>
      <c r="S430" s="32"/>
      <c r="T430" s="32"/>
      <c r="U430" s="32"/>
      <c r="V430" s="32"/>
      <c r="W430" s="32"/>
      <c r="X430" s="32"/>
      <c r="Y430" s="32"/>
      <c r="Z430" s="32"/>
      <c r="AA430" s="32"/>
      <c r="AB430" s="32"/>
      <c r="AC430" s="32"/>
      <c r="AD430" s="32"/>
      <c r="AE430" s="32"/>
      <c r="AF430" s="32"/>
      <c r="AG430" s="32"/>
      <c r="AH430" s="32"/>
      <c r="AI430" s="32"/>
      <c r="AJ430" s="32"/>
    </row>
    <row r="431">
      <c r="A431" s="32"/>
      <c r="B431" s="32"/>
      <c r="C431" s="32"/>
      <c r="D431" s="32"/>
      <c r="E431" s="32"/>
      <c r="F431" s="32"/>
      <c r="G431" s="32"/>
      <c r="H431" s="32"/>
      <c r="I431" s="32"/>
      <c r="J431" s="32"/>
      <c r="K431" s="32"/>
      <c r="L431" s="32"/>
      <c r="M431" s="32"/>
      <c r="N431" s="32"/>
      <c r="O431" s="32"/>
      <c r="P431" s="32"/>
      <c r="Q431" s="32"/>
      <c r="R431" s="32"/>
      <c r="S431" s="32"/>
      <c r="T431" s="32"/>
      <c r="U431" s="32"/>
      <c r="V431" s="32"/>
      <c r="W431" s="32"/>
      <c r="X431" s="32"/>
      <c r="Y431" s="32"/>
      <c r="Z431" s="32"/>
      <c r="AA431" s="32"/>
      <c r="AB431" s="32"/>
      <c r="AC431" s="32"/>
      <c r="AD431" s="32"/>
      <c r="AE431" s="32"/>
      <c r="AF431" s="32"/>
      <c r="AG431" s="32"/>
      <c r="AH431" s="32"/>
      <c r="AI431" s="32"/>
      <c r="AJ431" s="32"/>
    </row>
    <row r="432">
      <c r="A432" s="32"/>
      <c r="B432" s="32"/>
      <c r="C432" s="32"/>
      <c r="D432" s="32"/>
      <c r="E432" s="32"/>
      <c r="F432" s="32"/>
      <c r="G432" s="32"/>
      <c r="H432" s="32"/>
      <c r="I432" s="32"/>
      <c r="J432" s="32"/>
      <c r="K432" s="32"/>
      <c r="L432" s="32"/>
      <c r="M432" s="32"/>
      <c r="N432" s="32"/>
      <c r="O432" s="32"/>
      <c r="P432" s="32"/>
      <c r="Q432" s="32"/>
      <c r="R432" s="32"/>
      <c r="S432" s="32"/>
      <c r="T432" s="32"/>
      <c r="U432" s="32"/>
      <c r="V432" s="32"/>
      <c r="W432" s="32"/>
      <c r="X432" s="32"/>
      <c r="Y432" s="32"/>
      <c r="Z432" s="32"/>
      <c r="AA432" s="32"/>
      <c r="AB432" s="32"/>
      <c r="AC432" s="32"/>
      <c r="AD432" s="32"/>
      <c r="AE432" s="32"/>
      <c r="AF432" s="32"/>
      <c r="AG432" s="32"/>
      <c r="AH432" s="32"/>
      <c r="AI432" s="32"/>
      <c r="AJ432" s="32"/>
    </row>
    <row r="433">
      <c r="A433" s="32"/>
      <c r="B433" s="32"/>
      <c r="C433" s="32"/>
      <c r="D433" s="32"/>
      <c r="E433" s="32"/>
      <c r="F433" s="32"/>
      <c r="G433" s="32"/>
      <c r="H433" s="32"/>
      <c r="I433" s="32"/>
      <c r="J433" s="32"/>
      <c r="K433" s="32"/>
      <c r="L433" s="32"/>
      <c r="M433" s="32"/>
      <c r="N433" s="32"/>
      <c r="O433" s="32"/>
      <c r="P433" s="32"/>
      <c r="Q433" s="32"/>
      <c r="R433" s="32"/>
      <c r="S433" s="32"/>
      <c r="T433" s="32"/>
      <c r="U433" s="32"/>
      <c r="V433" s="32"/>
      <c r="W433" s="32"/>
      <c r="X433" s="32"/>
      <c r="Y433" s="32"/>
      <c r="Z433" s="32"/>
      <c r="AA433" s="32"/>
      <c r="AB433" s="32"/>
      <c r="AC433" s="32"/>
      <c r="AD433" s="32"/>
      <c r="AE433" s="32"/>
      <c r="AF433" s="32"/>
      <c r="AG433" s="32"/>
      <c r="AH433" s="32"/>
      <c r="AI433" s="32"/>
      <c r="AJ433" s="32"/>
    </row>
    <row r="434">
      <c r="A434" s="32"/>
      <c r="B434" s="32"/>
      <c r="C434" s="32"/>
      <c r="D434" s="32"/>
      <c r="E434" s="32"/>
      <c r="F434" s="32"/>
      <c r="G434" s="32"/>
      <c r="H434" s="32"/>
      <c r="I434" s="32"/>
      <c r="J434" s="32"/>
      <c r="K434" s="32"/>
      <c r="L434" s="32"/>
      <c r="M434" s="32"/>
      <c r="N434" s="32"/>
      <c r="O434" s="32"/>
      <c r="P434" s="32"/>
      <c r="Q434" s="32"/>
      <c r="R434" s="32"/>
      <c r="S434" s="32"/>
      <c r="T434" s="32"/>
      <c r="U434" s="32"/>
      <c r="V434" s="32"/>
      <c r="W434" s="32"/>
      <c r="X434" s="32"/>
      <c r="Y434" s="32"/>
      <c r="Z434" s="32"/>
      <c r="AA434" s="32"/>
      <c r="AB434" s="32"/>
      <c r="AC434" s="32"/>
      <c r="AD434" s="32"/>
      <c r="AE434" s="32"/>
      <c r="AF434" s="32"/>
      <c r="AG434" s="32"/>
      <c r="AH434" s="32"/>
      <c r="AI434" s="32"/>
      <c r="AJ434" s="32"/>
    </row>
    <row r="435">
      <c r="A435" s="32"/>
      <c r="B435" s="32"/>
      <c r="C435" s="32"/>
      <c r="D435" s="32"/>
      <c r="E435" s="32"/>
      <c r="F435" s="32"/>
      <c r="G435" s="32"/>
      <c r="H435" s="32"/>
      <c r="I435" s="32"/>
      <c r="J435" s="32"/>
      <c r="K435" s="32"/>
      <c r="L435" s="32"/>
      <c r="M435" s="32"/>
      <c r="N435" s="32"/>
      <c r="O435" s="32"/>
      <c r="P435" s="32"/>
      <c r="Q435" s="32"/>
      <c r="R435" s="32"/>
      <c r="S435" s="32"/>
      <c r="T435" s="32"/>
      <c r="U435" s="32"/>
      <c r="V435" s="32"/>
      <c r="W435" s="32"/>
      <c r="X435" s="32"/>
      <c r="Y435" s="32"/>
      <c r="Z435" s="32"/>
      <c r="AA435" s="32"/>
      <c r="AB435" s="32"/>
      <c r="AC435" s="32"/>
      <c r="AD435" s="32"/>
      <c r="AE435" s="32"/>
      <c r="AF435" s="32"/>
      <c r="AG435" s="32"/>
      <c r="AH435" s="32"/>
      <c r="AI435" s="32"/>
      <c r="AJ435" s="32"/>
    </row>
    <row r="436">
      <c r="A436" s="32"/>
      <c r="B436" s="32"/>
      <c r="C436" s="32"/>
      <c r="D436" s="32"/>
      <c r="E436" s="32"/>
      <c r="F436" s="32"/>
      <c r="G436" s="32"/>
      <c r="H436" s="32"/>
      <c r="I436" s="32"/>
      <c r="J436" s="32"/>
      <c r="K436" s="32"/>
      <c r="L436" s="32"/>
      <c r="M436" s="32"/>
      <c r="N436" s="32"/>
      <c r="O436" s="32"/>
      <c r="P436" s="32"/>
      <c r="Q436" s="32"/>
      <c r="R436" s="32"/>
      <c r="S436" s="32"/>
      <c r="T436" s="32"/>
      <c r="U436" s="32"/>
      <c r="V436" s="32"/>
      <c r="W436" s="32"/>
      <c r="X436" s="32"/>
      <c r="Y436" s="32"/>
      <c r="Z436" s="32"/>
      <c r="AA436" s="32"/>
      <c r="AB436" s="32"/>
      <c r="AC436" s="32"/>
      <c r="AD436" s="32"/>
      <c r="AE436" s="32"/>
      <c r="AF436" s="32"/>
      <c r="AG436" s="32"/>
      <c r="AH436" s="32"/>
      <c r="AI436" s="32"/>
      <c r="AJ436" s="32"/>
    </row>
    <row r="437">
      <c r="A437" s="32"/>
      <c r="B437" s="32"/>
      <c r="C437" s="32"/>
      <c r="D437" s="32"/>
      <c r="E437" s="32"/>
      <c r="F437" s="32"/>
      <c r="G437" s="32"/>
      <c r="H437" s="32"/>
      <c r="I437" s="32"/>
      <c r="J437" s="32"/>
      <c r="K437" s="32"/>
      <c r="L437" s="32"/>
      <c r="M437" s="32"/>
      <c r="N437" s="32"/>
      <c r="O437" s="32"/>
      <c r="P437" s="32"/>
      <c r="Q437" s="32"/>
      <c r="R437" s="32"/>
      <c r="S437" s="32"/>
      <c r="T437" s="32"/>
      <c r="U437" s="32"/>
      <c r="V437" s="32"/>
      <c r="W437" s="32"/>
      <c r="X437" s="32"/>
      <c r="Y437" s="32"/>
      <c r="Z437" s="32"/>
      <c r="AA437" s="32"/>
      <c r="AB437" s="32"/>
      <c r="AC437" s="32"/>
      <c r="AD437" s="32"/>
      <c r="AE437" s="32"/>
      <c r="AF437" s="32"/>
      <c r="AG437" s="32"/>
      <c r="AH437" s="32"/>
      <c r="AI437" s="32"/>
      <c r="AJ437" s="32"/>
    </row>
    <row r="438">
      <c r="A438" s="32"/>
      <c r="B438" s="32"/>
      <c r="C438" s="32"/>
      <c r="D438" s="32"/>
      <c r="E438" s="32"/>
      <c r="F438" s="32"/>
      <c r="G438" s="32"/>
      <c r="H438" s="32"/>
      <c r="I438" s="32"/>
      <c r="J438" s="32"/>
      <c r="K438" s="32"/>
      <c r="L438" s="32"/>
      <c r="M438" s="32"/>
      <c r="N438" s="32"/>
      <c r="O438" s="32"/>
      <c r="P438" s="32"/>
      <c r="Q438" s="32"/>
      <c r="R438" s="32"/>
      <c r="S438" s="32"/>
      <c r="T438" s="32"/>
      <c r="U438" s="32"/>
      <c r="V438" s="32"/>
      <c r="W438" s="32"/>
      <c r="X438" s="32"/>
      <c r="Y438" s="32"/>
      <c r="Z438" s="32"/>
      <c r="AA438" s="32"/>
      <c r="AB438" s="32"/>
      <c r="AC438" s="32"/>
      <c r="AD438" s="32"/>
      <c r="AE438" s="32"/>
      <c r="AF438" s="32"/>
      <c r="AG438" s="32"/>
      <c r="AH438" s="32"/>
      <c r="AI438" s="32"/>
      <c r="AJ438" s="32"/>
    </row>
    <row r="439">
      <c r="A439" s="32"/>
      <c r="B439" s="32"/>
      <c r="C439" s="32"/>
      <c r="D439" s="32"/>
      <c r="E439" s="32"/>
      <c r="F439" s="32"/>
      <c r="G439" s="32"/>
      <c r="H439" s="32"/>
      <c r="I439" s="32"/>
      <c r="J439" s="32"/>
      <c r="K439" s="32"/>
      <c r="L439" s="32"/>
      <c r="M439" s="32"/>
      <c r="N439" s="32"/>
      <c r="O439" s="32"/>
      <c r="P439" s="32"/>
      <c r="Q439" s="32"/>
      <c r="R439" s="32"/>
      <c r="S439" s="32"/>
      <c r="T439" s="32"/>
      <c r="U439" s="32"/>
      <c r="V439" s="32"/>
      <c r="W439" s="32"/>
      <c r="X439" s="32"/>
      <c r="Y439" s="32"/>
      <c r="Z439" s="32"/>
      <c r="AA439" s="32"/>
      <c r="AB439" s="32"/>
      <c r="AC439" s="32"/>
      <c r="AD439" s="32"/>
      <c r="AE439" s="32"/>
      <c r="AF439" s="32"/>
      <c r="AG439" s="32"/>
      <c r="AH439" s="32"/>
      <c r="AI439" s="32"/>
      <c r="AJ439" s="32"/>
    </row>
    <row r="440">
      <c r="A440" s="32"/>
      <c r="B440" s="32"/>
      <c r="C440" s="32"/>
      <c r="D440" s="32"/>
      <c r="E440" s="32"/>
      <c r="F440" s="32"/>
      <c r="G440" s="32"/>
      <c r="H440" s="32"/>
      <c r="I440" s="32"/>
      <c r="J440" s="32"/>
      <c r="K440" s="32"/>
      <c r="L440" s="32"/>
      <c r="M440" s="32"/>
      <c r="N440" s="32"/>
      <c r="O440" s="32"/>
      <c r="P440" s="32"/>
      <c r="Q440" s="32"/>
      <c r="R440" s="32"/>
      <c r="S440" s="32"/>
      <c r="T440" s="32"/>
      <c r="U440" s="32"/>
      <c r="V440" s="32"/>
      <c r="W440" s="32"/>
      <c r="X440" s="32"/>
      <c r="Y440" s="32"/>
      <c r="Z440" s="32"/>
      <c r="AA440" s="32"/>
      <c r="AB440" s="32"/>
      <c r="AC440" s="32"/>
      <c r="AD440" s="32"/>
      <c r="AE440" s="32"/>
      <c r="AF440" s="32"/>
      <c r="AG440" s="32"/>
      <c r="AH440" s="32"/>
      <c r="AI440" s="32"/>
      <c r="AJ440" s="32"/>
    </row>
    <row r="441">
      <c r="A441" s="32"/>
      <c r="B441" s="32"/>
      <c r="C441" s="32"/>
      <c r="D441" s="32"/>
      <c r="E441" s="32"/>
      <c r="F441" s="32"/>
      <c r="G441" s="32"/>
      <c r="H441" s="32"/>
      <c r="I441" s="32"/>
      <c r="J441" s="32"/>
      <c r="K441" s="32"/>
      <c r="L441" s="32"/>
      <c r="M441" s="32"/>
      <c r="N441" s="32"/>
      <c r="O441" s="32"/>
      <c r="P441" s="32"/>
      <c r="Q441" s="32"/>
      <c r="R441" s="32"/>
      <c r="S441" s="32"/>
      <c r="T441" s="32"/>
      <c r="U441" s="32"/>
      <c r="V441" s="32"/>
      <c r="W441" s="32"/>
      <c r="X441" s="32"/>
      <c r="Y441" s="32"/>
      <c r="Z441" s="32"/>
      <c r="AA441" s="32"/>
      <c r="AB441" s="32"/>
      <c r="AC441" s="32"/>
      <c r="AD441" s="32"/>
      <c r="AE441" s="32"/>
      <c r="AF441" s="32"/>
      <c r="AG441" s="32"/>
      <c r="AH441" s="32"/>
      <c r="AI441" s="32"/>
      <c r="AJ441" s="32"/>
    </row>
    <row r="442">
      <c r="A442" s="32"/>
      <c r="B442" s="32"/>
      <c r="C442" s="32"/>
      <c r="D442" s="32"/>
      <c r="E442" s="32"/>
      <c r="F442" s="32"/>
      <c r="G442" s="32"/>
      <c r="H442" s="32"/>
      <c r="I442" s="32"/>
      <c r="J442" s="32"/>
      <c r="K442" s="32"/>
      <c r="L442" s="32"/>
      <c r="M442" s="32"/>
      <c r="N442" s="32"/>
      <c r="O442" s="32"/>
      <c r="P442" s="32"/>
      <c r="Q442" s="32"/>
      <c r="R442" s="32"/>
      <c r="S442" s="32"/>
      <c r="T442" s="32"/>
      <c r="U442" s="32"/>
      <c r="V442" s="32"/>
      <c r="W442" s="32"/>
      <c r="X442" s="32"/>
      <c r="Y442" s="32"/>
      <c r="Z442" s="32"/>
      <c r="AA442" s="32"/>
      <c r="AB442" s="32"/>
      <c r="AC442" s="32"/>
      <c r="AD442" s="32"/>
      <c r="AE442" s="32"/>
      <c r="AF442" s="32"/>
      <c r="AG442" s="32"/>
      <c r="AH442" s="32"/>
      <c r="AI442" s="32"/>
      <c r="AJ442" s="32"/>
    </row>
    <row r="443">
      <c r="A443" s="32"/>
      <c r="B443" s="32"/>
      <c r="C443" s="32"/>
      <c r="D443" s="32"/>
      <c r="E443" s="32"/>
      <c r="F443" s="32"/>
      <c r="G443" s="32"/>
      <c r="H443" s="32"/>
      <c r="I443" s="32"/>
      <c r="J443" s="32"/>
      <c r="K443" s="32"/>
      <c r="L443" s="32"/>
      <c r="M443" s="32"/>
      <c r="N443" s="32"/>
      <c r="O443" s="32"/>
      <c r="P443" s="32"/>
      <c r="Q443" s="32"/>
      <c r="R443" s="32"/>
      <c r="S443" s="32"/>
      <c r="T443" s="32"/>
      <c r="U443" s="32"/>
      <c r="V443" s="32"/>
      <c r="W443" s="32"/>
      <c r="X443" s="32"/>
      <c r="Y443" s="32"/>
      <c r="Z443" s="32"/>
      <c r="AA443" s="32"/>
      <c r="AB443" s="32"/>
      <c r="AC443" s="32"/>
      <c r="AD443" s="32"/>
      <c r="AE443" s="32"/>
      <c r="AF443" s="32"/>
      <c r="AG443" s="32"/>
      <c r="AH443" s="32"/>
      <c r="AI443" s="32"/>
      <c r="AJ443" s="32"/>
    </row>
    <row r="444">
      <c r="A444" s="32"/>
      <c r="B444" s="32"/>
      <c r="C444" s="32"/>
      <c r="D444" s="32"/>
      <c r="E444" s="32"/>
      <c r="F444" s="32"/>
      <c r="G444" s="32"/>
      <c r="H444" s="32"/>
      <c r="I444" s="32"/>
      <c r="J444" s="32"/>
      <c r="K444" s="32"/>
      <c r="L444" s="32"/>
      <c r="M444" s="32"/>
      <c r="N444" s="32"/>
      <c r="O444" s="32"/>
      <c r="P444" s="32"/>
      <c r="Q444" s="32"/>
      <c r="R444" s="32"/>
      <c r="S444" s="32"/>
      <c r="T444" s="32"/>
      <c r="U444" s="32"/>
      <c r="V444" s="32"/>
      <c r="W444" s="32"/>
      <c r="X444" s="32"/>
      <c r="Y444" s="32"/>
      <c r="Z444" s="32"/>
      <c r="AA444" s="32"/>
      <c r="AB444" s="32"/>
      <c r="AC444" s="32"/>
      <c r="AD444" s="32"/>
      <c r="AE444" s="32"/>
      <c r="AF444" s="32"/>
      <c r="AG444" s="32"/>
      <c r="AH444" s="32"/>
      <c r="AI444" s="32"/>
      <c r="AJ444" s="32"/>
    </row>
    <row r="445">
      <c r="A445" s="32"/>
      <c r="B445" s="32"/>
      <c r="C445" s="32"/>
      <c r="D445" s="32"/>
      <c r="E445" s="32"/>
      <c r="F445" s="32"/>
      <c r="G445" s="32"/>
      <c r="H445" s="32"/>
      <c r="I445" s="32"/>
      <c r="J445" s="32"/>
      <c r="K445" s="32"/>
      <c r="L445" s="32"/>
      <c r="M445" s="32"/>
      <c r="N445" s="32"/>
      <c r="O445" s="32"/>
      <c r="P445" s="32"/>
      <c r="Q445" s="32"/>
      <c r="R445" s="32"/>
      <c r="S445" s="32"/>
      <c r="T445" s="32"/>
      <c r="U445" s="32"/>
      <c r="V445" s="32"/>
      <c r="W445" s="32"/>
      <c r="X445" s="32"/>
      <c r="Y445" s="32"/>
      <c r="Z445" s="32"/>
      <c r="AA445" s="32"/>
      <c r="AB445" s="32"/>
      <c r="AC445" s="32"/>
      <c r="AD445" s="32"/>
      <c r="AE445" s="32"/>
      <c r="AF445" s="32"/>
      <c r="AG445" s="32"/>
      <c r="AH445" s="32"/>
      <c r="AI445" s="32"/>
      <c r="AJ445" s="32"/>
    </row>
    <row r="446">
      <c r="A446" s="32"/>
      <c r="B446" s="32"/>
      <c r="C446" s="32"/>
      <c r="D446" s="32"/>
      <c r="E446" s="32"/>
      <c r="F446" s="32"/>
      <c r="G446" s="32"/>
      <c r="H446" s="32"/>
      <c r="I446" s="32"/>
      <c r="J446" s="32"/>
      <c r="K446" s="32"/>
      <c r="L446" s="32"/>
      <c r="M446" s="32"/>
      <c r="N446" s="32"/>
      <c r="O446" s="32"/>
      <c r="P446" s="32"/>
      <c r="Q446" s="32"/>
      <c r="R446" s="32"/>
      <c r="S446" s="32"/>
      <c r="T446" s="32"/>
      <c r="U446" s="32"/>
      <c r="V446" s="32"/>
      <c r="W446" s="32"/>
      <c r="X446" s="32"/>
      <c r="Y446" s="32"/>
      <c r="Z446" s="32"/>
      <c r="AA446" s="32"/>
      <c r="AB446" s="32"/>
      <c r="AC446" s="32"/>
      <c r="AD446" s="32"/>
      <c r="AE446" s="32"/>
      <c r="AF446" s="32"/>
      <c r="AG446" s="32"/>
      <c r="AH446" s="32"/>
      <c r="AI446" s="32"/>
      <c r="AJ446" s="32"/>
    </row>
    <row r="447">
      <c r="A447" s="32"/>
      <c r="B447" s="32"/>
      <c r="C447" s="32"/>
      <c r="D447" s="32"/>
      <c r="E447" s="32"/>
      <c r="F447" s="32"/>
      <c r="G447" s="32"/>
      <c r="H447" s="32"/>
      <c r="I447" s="32"/>
      <c r="J447" s="32"/>
      <c r="K447" s="32"/>
      <c r="L447" s="32"/>
      <c r="M447" s="32"/>
      <c r="N447" s="32"/>
      <c r="O447" s="32"/>
      <c r="P447" s="32"/>
      <c r="Q447" s="32"/>
      <c r="R447" s="32"/>
      <c r="S447" s="32"/>
      <c r="T447" s="32"/>
      <c r="U447" s="32"/>
      <c r="V447" s="32"/>
      <c r="W447" s="32"/>
      <c r="X447" s="32"/>
      <c r="Y447" s="32"/>
      <c r="Z447" s="32"/>
      <c r="AA447" s="32"/>
      <c r="AB447" s="32"/>
      <c r="AC447" s="32"/>
      <c r="AD447" s="32"/>
      <c r="AE447" s="32"/>
      <c r="AF447" s="32"/>
      <c r="AG447" s="32"/>
      <c r="AH447" s="32"/>
      <c r="AI447" s="32"/>
      <c r="AJ447" s="32"/>
    </row>
    <row r="448">
      <c r="A448" s="32"/>
      <c r="B448" s="32"/>
      <c r="C448" s="32"/>
      <c r="D448" s="32"/>
      <c r="E448" s="32"/>
      <c r="F448" s="32"/>
      <c r="G448" s="32"/>
      <c r="H448" s="32"/>
      <c r="I448" s="32"/>
      <c r="J448" s="32"/>
      <c r="K448" s="32"/>
      <c r="L448" s="32"/>
      <c r="M448" s="32"/>
      <c r="N448" s="32"/>
      <c r="O448" s="32"/>
      <c r="P448" s="32"/>
      <c r="Q448" s="32"/>
      <c r="R448" s="32"/>
      <c r="S448" s="32"/>
      <c r="T448" s="32"/>
      <c r="U448" s="32"/>
      <c r="V448" s="32"/>
      <c r="W448" s="32"/>
      <c r="X448" s="32"/>
      <c r="Y448" s="32"/>
      <c r="Z448" s="32"/>
      <c r="AA448" s="32"/>
      <c r="AB448" s="32"/>
      <c r="AC448" s="32"/>
      <c r="AD448" s="32"/>
      <c r="AE448" s="32"/>
      <c r="AF448" s="32"/>
      <c r="AG448" s="32"/>
      <c r="AH448" s="32"/>
      <c r="AI448" s="32"/>
      <c r="AJ448" s="32"/>
    </row>
    <row r="449">
      <c r="A449" s="32"/>
      <c r="B449" s="32"/>
      <c r="C449" s="32"/>
      <c r="D449" s="32"/>
      <c r="E449" s="32"/>
      <c r="F449" s="32"/>
      <c r="G449" s="32"/>
      <c r="H449" s="32"/>
      <c r="I449" s="32"/>
      <c r="J449" s="32"/>
      <c r="K449" s="32"/>
      <c r="L449" s="32"/>
      <c r="M449" s="32"/>
      <c r="N449" s="32"/>
      <c r="O449" s="32"/>
      <c r="P449" s="32"/>
      <c r="Q449" s="32"/>
      <c r="R449" s="32"/>
      <c r="S449" s="32"/>
      <c r="T449" s="32"/>
      <c r="U449" s="32"/>
      <c r="V449" s="32"/>
      <c r="W449" s="32"/>
      <c r="X449" s="32"/>
      <c r="Y449" s="32"/>
      <c r="Z449" s="32"/>
      <c r="AA449" s="32"/>
      <c r="AB449" s="32"/>
      <c r="AC449" s="32"/>
      <c r="AD449" s="32"/>
      <c r="AE449" s="32"/>
      <c r="AF449" s="32"/>
      <c r="AG449" s="32"/>
      <c r="AH449" s="32"/>
      <c r="AI449" s="32"/>
      <c r="AJ449" s="32"/>
    </row>
    <row r="450">
      <c r="A450" s="32"/>
      <c r="B450" s="32"/>
      <c r="C450" s="32"/>
      <c r="D450" s="32"/>
      <c r="E450" s="32"/>
      <c r="F450" s="32"/>
      <c r="G450" s="32"/>
      <c r="H450" s="32"/>
      <c r="I450" s="32"/>
      <c r="J450" s="32"/>
      <c r="K450" s="32"/>
      <c r="L450" s="32"/>
      <c r="M450" s="32"/>
      <c r="N450" s="32"/>
      <c r="O450" s="32"/>
      <c r="P450" s="32"/>
      <c r="Q450" s="32"/>
      <c r="R450" s="32"/>
      <c r="S450" s="32"/>
      <c r="T450" s="32"/>
      <c r="U450" s="32"/>
      <c r="V450" s="32"/>
      <c r="W450" s="32"/>
      <c r="X450" s="32"/>
      <c r="Y450" s="32"/>
      <c r="Z450" s="32"/>
      <c r="AA450" s="32"/>
      <c r="AB450" s="32"/>
      <c r="AC450" s="32"/>
      <c r="AD450" s="32"/>
      <c r="AE450" s="32"/>
      <c r="AF450" s="32"/>
      <c r="AG450" s="32"/>
      <c r="AH450" s="32"/>
      <c r="AI450" s="32"/>
      <c r="AJ450" s="32"/>
    </row>
    <row r="451">
      <c r="A451" s="32"/>
      <c r="B451" s="32"/>
      <c r="C451" s="32"/>
      <c r="D451" s="32"/>
      <c r="E451" s="32"/>
      <c r="F451" s="32"/>
      <c r="G451" s="32"/>
      <c r="H451" s="32"/>
      <c r="I451" s="32"/>
      <c r="J451" s="32"/>
      <c r="K451" s="32"/>
      <c r="L451" s="32"/>
      <c r="M451" s="32"/>
      <c r="N451" s="32"/>
      <c r="O451" s="32"/>
      <c r="P451" s="32"/>
      <c r="Q451" s="32"/>
      <c r="R451" s="32"/>
      <c r="S451" s="32"/>
      <c r="T451" s="32"/>
      <c r="U451" s="32"/>
      <c r="V451" s="32"/>
      <c r="W451" s="32"/>
      <c r="X451" s="32"/>
      <c r="Y451" s="32"/>
      <c r="Z451" s="32"/>
      <c r="AA451" s="32"/>
      <c r="AB451" s="32"/>
      <c r="AC451" s="32"/>
      <c r="AD451" s="32"/>
      <c r="AE451" s="32"/>
      <c r="AF451" s="32"/>
      <c r="AG451" s="32"/>
      <c r="AH451" s="32"/>
      <c r="AI451" s="32"/>
      <c r="AJ451" s="32"/>
    </row>
    <row r="452">
      <c r="A452" s="32"/>
      <c r="B452" s="32"/>
      <c r="C452" s="32"/>
      <c r="D452" s="32"/>
      <c r="E452" s="32"/>
      <c r="F452" s="32"/>
      <c r="G452" s="32"/>
      <c r="H452" s="32"/>
      <c r="I452" s="32"/>
      <c r="J452" s="32"/>
      <c r="K452" s="32"/>
      <c r="L452" s="32"/>
      <c r="M452" s="32"/>
      <c r="N452" s="32"/>
      <c r="O452" s="32"/>
      <c r="P452" s="32"/>
      <c r="Q452" s="32"/>
      <c r="R452" s="32"/>
      <c r="S452" s="32"/>
      <c r="T452" s="32"/>
      <c r="U452" s="32"/>
      <c r="V452" s="32"/>
      <c r="W452" s="32"/>
      <c r="X452" s="32"/>
      <c r="Y452" s="32"/>
      <c r="Z452" s="32"/>
      <c r="AA452" s="32"/>
      <c r="AB452" s="32"/>
      <c r="AC452" s="32"/>
      <c r="AD452" s="32"/>
      <c r="AE452" s="32"/>
      <c r="AF452" s="32"/>
      <c r="AG452" s="32"/>
      <c r="AH452" s="32"/>
      <c r="AI452" s="32"/>
      <c r="AJ452" s="32"/>
    </row>
    <row r="453">
      <c r="A453" s="32"/>
      <c r="B453" s="32"/>
      <c r="C453" s="32"/>
      <c r="D453" s="32"/>
      <c r="E453" s="32"/>
      <c r="F453" s="32"/>
      <c r="G453" s="32"/>
      <c r="H453" s="32"/>
      <c r="I453" s="32"/>
      <c r="J453" s="32"/>
      <c r="K453" s="32"/>
      <c r="L453" s="32"/>
      <c r="M453" s="32"/>
      <c r="N453" s="32"/>
      <c r="O453" s="32"/>
      <c r="P453" s="32"/>
      <c r="Q453" s="32"/>
      <c r="R453" s="32"/>
      <c r="S453" s="32"/>
      <c r="T453" s="32"/>
      <c r="U453" s="32"/>
      <c r="V453" s="32"/>
      <c r="W453" s="32"/>
      <c r="X453" s="32"/>
      <c r="Y453" s="32"/>
      <c r="Z453" s="32"/>
      <c r="AA453" s="32"/>
      <c r="AB453" s="32"/>
      <c r="AC453" s="32"/>
      <c r="AD453" s="32"/>
      <c r="AE453" s="32"/>
      <c r="AF453" s="32"/>
      <c r="AG453" s="32"/>
      <c r="AH453" s="32"/>
      <c r="AI453" s="32"/>
      <c r="AJ453" s="32"/>
    </row>
    <row r="454">
      <c r="A454" s="32"/>
      <c r="B454" s="32"/>
      <c r="C454" s="32"/>
      <c r="D454" s="32"/>
      <c r="E454" s="32"/>
      <c r="F454" s="32"/>
      <c r="G454" s="32"/>
      <c r="H454" s="32"/>
      <c r="I454" s="32"/>
      <c r="J454" s="32"/>
      <c r="K454" s="32"/>
      <c r="L454" s="32"/>
      <c r="M454" s="32"/>
      <c r="N454" s="32"/>
      <c r="O454" s="32"/>
      <c r="P454" s="32"/>
      <c r="Q454" s="32"/>
      <c r="R454" s="32"/>
      <c r="S454" s="32"/>
      <c r="T454" s="32"/>
      <c r="U454" s="32"/>
      <c r="V454" s="32"/>
      <c r="W454" s="32"/>
      <c r="X454" s="32"/>
      <c r="Y454" s="32"/>
      <c r="Z454" s="32"/>
      <c r="AA454" s="32"/>
      <c r="AB454" s="32"/>
      <c r="AC454" s="32"/>
      <c r="AD454" s="32"/>
      <c r="AE454" s="32"/>
      <c r="AF454" s="32"/>
      <c r="AG454" s="32"/>
      <c r="AH454" s="32"/>
      <c r="AI454" s="32"/>
      <c r="AJ454" s="32"/>
    </row>
    <row r="455">
      <c r="A455" s="32"/>
      <c r="B455" s="32"/>
      <c r="C455" s="32"/>
      <c r="D455" s="32"/>
      <c r="E455" s="32"/>
      <c r="F455" s="32"/>
      <c r="G455" s="32"/>
      <c r="H455" s="32"/>
      <c r="I455" s="32"/>
      <c r="J455" s="32"/>
      <c r="K455" s="32"/>
      <c r="L455" s="32"/>
      <c r="M455" s="32"/>
      <c r="N455" s="32"/>
      <c r="O455" s="32"/>
      <c r="P455" s="32"/>
      <c r="Q455" s="32"/>
      <c r="R455" s="32"/>
      <c r="S455" s="32"/>
      <c r="T455" s="32"/>
      <c r="U455" s="32"/>
      <c r="V455" s="32"/>
      <c r="W455" s="32"/>
      <c r="X455" s="32"/>
      <c r="Y455" s="32"/>
      <c r="Z455" s="32"/>
      <c r="AA455" s="32"/>
      <c r="AB455" s="32"/>
      <c r="AC455" s="32"/>
      <c r="AD455" s="32"/>
      <c r="AE455" s="32"/>
      <c r="AF455" s="32"/>
      <c r="AG455" s="32"/>
      <c r="AH455" s="32"/>
      <c r="AI455" s="32"/>
      <c r="AJ455" s="32"/>
    </row>
    <row r="456">
      <c r="A456" s="32"/>
      <c r="B456" s="32"/>
      <c r="C456" s="32"/>
      <c r="D456" s="32"/>
      <c r="E456" s="32"/>
      <c r="F456" s="32"/>
      <c r="G456" s="32"/>
      <c r="H456" s="32"/>
      <c r="I456" s="32"/>
      <c r="J456" s="32"/>
      <c r="K456" s="32"/>
      <c r="L456" s="32"/>
      <c r="M456" s="32"/>
      <c r="N456" s="32"/>
      <c r="O456" s="32"/>
      <c r="P456" s="32"/>
      <c r="Q456" s="32"/>
      <c r="R456" s="32"/>
      <c r="S456" s="32"/>
      <c r="T456" s="32"/>
      <c r="U456" s="32"/>
      <c r="V456" s="32"/>
      <c r="W456" s="32"/>
      <c r="X456" s="32"/>
      <c r="Y456" s="32"/>
      <c r="Z456" s="32"/>
      <c r="AA456" s="32"/>
      <c r="AB456" s="32"/>
      <c r="AC456" s="32"/>
      <c r="AD456" s="32"/>
      <c r="AE456" s="32"/>
      <c r="AF456" s="32"/>
      <c r="AG456" s="32"/>
      <c r="AH456" s="32"/>
      <c r="AI456" s="32"/>
      <c r="AJ456" s="32"/>
    </row>
    <row r="457">
      <c r="A457" s="32"/>
      <c r="B457" s="32"/>
      <c r="C457" s="32"/>
      <c r="D457" s="32"/>
      <c r="E457" s="32"/>
      <c r="F457" s="32"/>
      <c r="G457" s="32"/>
      <c r="H457" s="32"/>
      <c r="I457" s="32"/>
      <c r="J457" s="32"/>
      <c r="K457" s="32"/>
      <c r="L457" s="32"/>
      <c r="M457" s="32"/>
      <c r="N457" s="32"/>
      <c r="O457" s="32"/>
      <c r="P457" s="32"/>
      <c r="Q457" s="32"/>
      <c r="R457" s="32"/>
      <c r="S457" s="32"/>
      <c r="T457" s="32"/>
      <c r="U457" s="32"/>
      <c r="V457" s="32"/>
      <c r="W457" s="32"/>
      <c r="X457" s="32"/>
      <c r="Y457" s="32"/>
      <c r="Z457" s="32"/>
      <c r="AA457" s="32"/>
      <c r="AB457" s="32"/>
      <c r="AC457" s="32"/>
      <c r="AD457" s="32"/>
      <c r="AE457" s="32"/>
      <c r="AF457" s="32"/>
      <c r="AG457" s="32"/>
      <c r="AH457" s="32"/>
      <c r="AI457" s="32"/>
      <c r="AJ457" s="32"/>
    </row>
    <row r="458">
      <c r="A458" s="32"/>
      <c r="B458" s="32"/>
      <c r="C458" s="32"/>
      <c r="D458" s="32"/>
      <c r="E458" s="32"/>
      <c r="F458" s="32"/>
      <c r="G458" s="32"/>
      <c r="H458" s="32"/>
      <c r="I458" s="32"/>
      <c r="J458" s="32"/>
      <c r="K458" s="32"/>
      <c r="L458" s="32"/>
      <c r="M458" s="32"/>
      <c r="N458" s="32"/>
      <c r="O458" s="32"/>
      <c r="P458" s="32"/>
      <c r="Q458" s="32"/>
      <c r="R458" s="32"/>
      <c r="S458" s="32"/>
      <c r="T458" s="32"/>
      <c r="U458" s="32"/>
      <c r="V458" s="32"/>
      <c r="W458" s="32"/>
      <c r="X458" s="32"/>
      <c r="Y458" s="32"/>
      <c r="Z458" s="32"/>
      <c r="AA458" s="32"/>
      <c r="AB458" s="32"/>
      <c r="AC458" s="32"/>
      <c r="AD458" s="32"/>
      <c r="AE458" s="32"/>
      <c r="AF458" s="32"/>
      <c r="AG458" s="32"/>
      <c r="AH458" s="32"/>
      <c r="AI458" s="32"/>
      <c r="AJ458" s="32"/>
    </row>
    <row r="459">
      <c r="A459" s="32"/>
      <c r="B459" s="32"/>
      <c r="C459" s="32"/>
      <c r="D459" s="32"/>
      <c r="E459" s="32"/>
      <c r="F459" s="32"/>
      <c r="G459" s="32"/>
      <c r="H459" s="32"/>
      <c r="I459" s="32"/>
      <c r="J459" s="32"/>
      <c r="K459" s="32"/>
      <c r="L459" s="32"/>
      <c r="M459" s="32"/>
      <c r="N459" s="32"/>
      <c r="O459" s="32"/>
      <c r="P459" s="32"/>
      <c r="Q459" s="32"/>
      <c r="R459" s="32"/>
      <c r="S459" s="32"/>
      <c r="T459" s="32"/>
      <c r="U459" s="32"/>
      <c r="V459" s="32"/>
      <c r="W459" s="32"/>
      <c r="X459" s="32"/>
      <c r="Y459" s="32"/>
      <c r="Z459" s="32"/>
      <c r="AA459" s="32"/>
      <c r="AB459" s="32"/>
      <c r="AC459" s="32"/>
      <c r="AD459" s="32"/>
      <c r="AE459" s="32"/>
      <c r="AF459" s="32"/>
      <c r="AG459" s="32"/>
      <c r="AH459" s="32"/>
      <c r="AI459" s="32"/>
      <c r="AJ459" s="32"/>
    </row>
    <row r="460">
      <c r="A460" s="32"/>
      <c r="B460" s="32"/>
      <c r="C460" s="32"/>
      <c r="D460" s="32"/>
      <c r="E460" s="32"/>
      <c r="F460" s="32"/>
      <c r="G460" s="32"/>
      <c r="H460" s="32"/>
      <c r="I460" s="32"/>
      <c r="J460" s="32"/>
      <c r="K460" s="32"/>
      <c r="L460" s="32"/>
      <c r="M460" s="32"/>
      <c r="N460" s="32"/>
      <c r="O460" s="32"/>
      <c r="P460" s="32"/>
      <c r="Q460" s="32"/>
      <c r="R460" s="32"/>
      <c r="S460" s="32"/>
      <c r="T460" s="32"/>
      <c r="U460" s="32"/>
      <c r="V460" s="32"/>
      <c r="W460" s="32"/>
      <c r="X460" s="32"/>
      <c r="Y460" s="32"/>
      <c r="Z460" s="32"/>
      <c r="AA460" s="32"/>
      <c r="AB460" s="32"/>
      <c r="AC460" s="32"/>
      <c r="AD460" s="32"/>
      <c r="AE460" s="32"/>
      <c r="AF460" s="32"/>
      <c r="AG460" s="32"/>
      <c r="AH460" s="32"/>
      <c r="AI460" s="32"/>
      <c r="AJ460" s="32"/>
    </row>
    <row r="461">
      <c r="A461" s="32"/>
      <c r="B461" s="32"/>
      <c r="C461" s="32"/>
      <c r="D461" s="32"/>
      <c r="E461" s="32"/>
      <c r="F461" s="32"/>
      <c r="G461" s="32"/>
      <c r="H461" s="32"/>
      <c r="I461" s="32"/>
      <c r="J461" s="32"/>
      <c r="K461" s="32"/>
      <c r="L461" s="32"/>
      <c r="M461" s="32"/>
      <c r="N461" s="32"/>
      <c r="O461" s="32"/>
      <c r="P461" s="32"/>
      <c r="Q461" s="32"/>
      <c r="R461" s="32"/>
      <c r="S461" s="32"/>
      <c r="T461" s="32"/>
      <c r="U461" s="32"/>
      <c r="V461" s="32"/>
      <c r="W461" s="32"/>
      <c r="X461" s="32"/>
      <c r="Y461" s="32"/>
      <c r="Z461" s="32"/>
      <c r="AA461" s="32"/>
      <c r="AB461" s="32"/>
      <c r="AC461" s="32"/>
      <c r="AD461" s="32"/>
      <c r="AE461" s="32"/>
      <c r="AF461" s="32"/>
      <c r="AG461" s="32"/>
      <c r="AH461" s="32"/>
      <c r="AI461" s="32"/>
      <c r="AJ461" s="32"/>
    </row>
    <row r="462">
      <c r="A462" s="32"/>
      <c r="B462" s="32"/>
      <c r="C462" s="32"/>
      <c r="D462" s="32"/>
      <c r="E462" s="32"/>
      <c r="F462" s="32"/>
      <c r="G462" s="32"/>
      <c r="H462" s="32"/>
      <c r="I462" s="32"/>
      <c r="J462" s="32"/>
      <c r="K462" s="32"/>
      <c r="L462" s="32"/>
      <c r="M462" s="32"/>
      <c r="N462" s="32"/>
      <c r="O462" s="32"/>
      <c r="P462" s="32"/>
      <c r="Q462" s="32"/>
      <c r="R462" s="32"/>
      <c r="S462" s="32"/>
      <c r="T462" s="32"/>
      <c r="U462" s="32"/>
      <c r="V462" s="32"/>
      <c r="W462" s="32"/>
      <c r="X462" s="32"/>
      <c r="Y462" s="32"/>
      <c r="Z462" s="32"/>
      <c r="AA462" s="32"/>
      <c r="AB462" s="32"/>
      <c r="AC462" s="32"/>
      <c r="AD462" s="32"/>
      <c r="AE462" s="32"/>
      <c r="AF462" s="32"/>
      <c r="AG462" s="32"/>
      <c r="AH462" s="32"/>
      <c r="AI462" s="32"/>
      <c r="AJ462" s="32"/>
    </row>
    <row r="463">
      <c r="A463" s="32"/>
      <c r="B463" s="32"/>
      <c r="C463" s="32"/>
      <c r="D463" s="32"/>
      <c r="E463" s="32"/>
      <c r="F463" s="32"/>
      <c r="G463" s="32"/>
      <c r="H463" s="32"/>
      <c r="I463" s="32"/>
      <c r="J463" s="32"/>
      <c r="K463" s="32"/>
      <c r="L463" s="32"/>
      <c r="M463" s="32"/>
      <c r="N463" s="32"/>
      <c r="O463" s="32"/>
      <c r="P463" s="32"/>
      <c r="Q463" s="32"/>
      <c r="R463" s="32"/>
      <c r="S463" s="32"/>
      <c r="T463" s="32"/>
      <c r="U463" s="32"/>
      <c r="V463" s="32"/>
      <c r="W463" s="32"/>
      <c r="X463" s="32"/>
      <c r="Y463" s="32"/>
      <c r="Z463" s="32"/>
      <c r="AA463" s="32"/>
      <c r="AB463" s="32"/>
      <c r="AC463" s="32"/>
      <c r="AD463" s="32"/>
      <c r="AE463" s="32"/>
      <c r="AF463" s="32"/>
      <c r="AG463" s="32"/>
      <c r="AH463" s="32"/>
      <c r="AI463" s="32"/>
      <c r="AJ463" s="32"/>
    </row>
    <row r="464">
      <c r="A464" s="32"/>
      <c r="B464" s="32"/>
      <c r="C464" s="32"/>
      <c r="D464" s="32"/>
      <c r="E464" s="32"/>
      <c r="F464" s="32"/>
      <c r="G464" s="32"/>
      <c r="H464" s="32"/>
      <c r="I464" s="32"/>
      <c r="J464" s="32"/>
      <c r="K464" s="32"/>
      <c r="L464" s="32"/>
      <c r="M464" s="32"/>
      <c r="N464" s="32"/>
      <c r="O464" s="32"/>
      <c r="P464" s="32"/>
      <c r="Q464" s="32"/>
      <c r="R464" s="32"/>
      <c r="S464" s="32"/>
      <c r="T464" s="32"/>
      <c r="U464" s="32"/>
      <c r="V464" s="32"/>
      <c r="W464" s="32"/>
      <c r="X464" s="32"/>
      <c r="Y464" s="32"/>
      <c r="Z464" s="32"/>
      <c r="AA464" s="32"/>
      <c r="AB464" s="32"/>
      <c r="AC464" s="32"/>
      <c r="AD464" s="32"/>
      <c r="AE464" s="32"/>
      <c r="AF464" s="32"/>
      <c r="AG464" s="32"/>
      <c r="AH464" s="32"/>
      <c r="AI464" s="32"/>
      <c r="AJ464" s="32"/>
    </row>
    <row r="465">
      <c r="A465" s="32"/>
      <c r="B465" s="32"/>
      <c r="C465" s="32"/>
      <c r="D465" s="32"/>
      <c r="E465" s="32"/>
      <c r="F465" s="32"/>
      <c r="G465" s="32"/>
      <c r="H465" s="32"/>
      <c r="I465" s="32"/>
      <c r="J465" s="32"/>
      <c r="K465" s="32"/>
      <c r="L465" s="32"/>
      <c r="M465" s="32"/>
      <c r="N465" s="32"/>
      <c r="O465" s="32"/>
      <c r="P465" s="32"/>
      <c r="Q465" s="32"/>
      <c r="R465" s="32"/>
      <c r="S465" s="32"/>
      <c r="T465" s="32"/>
      <c r="U465" s="32"/>
      <c r="V465" s="32"/>
      <c r="W465" s="32"/>
      <c r="X465" s="32"/>
      <c r="Y465" s="32"/>
      <c r="Z465" s="32"/>
      <c r="AA465" s="32"/>
      <c r="AB465" s="32"/>
      <c r="AC465" s="32"/>
      <c r="AD465" s="32"/>
      <c r="AE465" s="32"/>
      <c r="AF465" s="32"/>
      <c r="AG465" s="32"/>
      <c r="AH465" s="32"/>
      <c r="AI465" s="32"/>
      <c r="AJ465" s="32"/>
    </row>
    <row r="466">
      <c r="A466" s="32"/>
      <c r="B466" s="32"/>
      <c r="C466" s="32"/>
      <c r="D466" s="32"/>
      <c r="E466" s="32"/>
      <c r="F466" s="32"/>
      <c r="G466" s="32"/>
      <c r="H466" s="32"/>
      <c r="I466" s="32"/>
      <c r="J466" s="32"/>
      <c r="K466" s="32"/>
      <c r="L466" s="32"/>
      <c r="M466" s="32"/>
      <c r="N466" s="32"/>
      <c r="O466" s="32"/>
      <c r="P466" s="32"/>
      <c r="Q466" s="32"/>
      <c r="R466" s="32"/>
      <c r="S466" s="32"/>
      <c r="T466" s="32"/>
      <c r="U466" s="32"/>
      <c r="V466" s="32"/>
      <c r="W466" s="32"/>
      <c r="X466" s="32"/>
      <c r="Y466" s="32"/>
      <c r="Z466" s="32"/>
      <c r="AA466" s="32"/>
      <c r="AB466" s="32"/>
      <c r="AC466" s="32"/>
      <c r="AD466" s="32"/>
      <c r="AE466" s="32"/>
      <c r="AF466" s="32"/>
      <c r="AG466" s="32"/>
      <c r="AH466" s="32"/>
      <c r="AI466" s="32"/>
      <c r="AJ466" s="32"/>
    </row>
    <row r="467">
      <c r="A467" s="32"/>
      <c r="B467" s="32"/>
      <c r="C467" s="32"/>
      <c r="D467" s="32"/>
      <c r="E467" s="32"/>
      <c r="F467" s="32"/>
      <c r="G467" s="32"/>
      <c r="H467" s="32"/>
      <c r="I467" s="32"/>
      <c r="J467" s="32"/>
      <c r="K467" s="32"/>
      <c r="L467" s="32"/>
      <c r="M467" s="32"/>
      <c r="N467" s="32"/>
      <c r="O467" s="32"/>
      <c r="P467" s="32"/>
      <c r="Q467" s="32"/>
      <c r="R467" s="32"/>
      <c r="S467" s="32"/>
      <c r="T467" s="32"/>
      <c r="U467" s="32"/>
      <c r="V467" s="32"/>
      <c r="W467" s="32"/>
      <c r="X467" s="32"/>
      <c r="Y467" s="32"/>
      <c r="Z467" s="32"/>
      <c r="AA467" s="32"/>
      <c r="AB467" s="32"/>
      <c r="AC467" s="32"/>
      <c r="AD467" s="32"/>
      <c r="AE467" s="32"/>
      <c r="AF467" s="32"/>
      <c r="AG467" s="32"/>
      <c r="AH467" s="32"/>
      <c r="AI467" s="32"/>
      <c r="AJ467" s="32"/>
    </row>
    <row r="468">
      <c r="A468" s="32"/>
      <c r="B468" s="32"/>
      <c r="C468" s="32"/>
      <c r="D468" s="32"/>
      <c r="E468" s="32"/>
      <c r="F468" s="32"/>
      <c r="G468" s="32"/>
      <c r="H468" s="32"/>
      <c r="I468" s="32"/>
      <c r="J468" s="32"/>
      <c r="K468" s="32"/>
      <c r="L468" s="32"/>
      <c r="M468" s="32"/>
      <c r="N468" s="32"/>
      <c r="O468" s="32"/>
      <c r="P468" s="32"/>
      <c r="Q468" s="32"/>
      <c r="R468" s="32"/>
      <c r="S468" s="32"/>
      <c r="T468" s="32"/>
      <c r="U468" s="32"/>
      <c r="V468" s="32"/>
      <c r="W468" s="32"/>
      <c r="X468" s="32"/>
      <c r="Y468" s="32"/>
      <c r="Z468" s="32"/>
      <c r="AA468" s="32"/>
      <c r="AB468" s="32"/>
      <c r="AC468" s="32"/>
      <c r="AD468" s="32"/>
      <c r="AE468" s="32"/>
      <c r="AF468" s="32"/>
      <c r="AG468" s="32"/>
      <c r="AH468" s="32"/>
      <c r="AI468" s="32"/>
      <c r="AJ468" s="32"/>
    </row>
    <row r="469">
      <c r="A469" s="32"/>
      <c r="B469" s="32"/>
      <c r="C469" s="32"/>
      <c r="D469" s="32"/>
      <c r="E469" s="32"/>
      <c r="F469" s="32"/>
      <c r="G469" s="32"/>
      <c r="H469" s="32"/>
      <c r="I469" s="32"/>
      <c r="J469" s="32"/>
      <c r="K469" s="32"/>
      <c r="L469" s="32"/>
      <c r="M469" s="32"/>
      <c r="N469" s="32"/>
      <c r="O469" s="32"/>
      <c r="P469" s="32"/>
      <c r="Q469" s="32"/>
      <c r="R469" s="32"/>
      <c r="S469" s="32"/>
      <c r="T469" s="32"/>
      <c r="U469" s="32"/>
      <c r="V469" s="32"/>
      <c r="W469" s="32"/>
      <c r="X469" s="32"/>
      <c r="Y469" s="32"/>
      <c r="Z469" s="32"/>
      <c r="AA469" s="32"/>
      <c r="AB469" s="32"/>
      <c r="AC469" s="32"/>
      <c r="AD469" s="32"/>
      <c r="AE469" s="32"/>
      <c r="AF469" s="32"/>
      <c r="AG469" s="32"/>
      <c r="AH469" s="32"/>
      <c r="AI469" s="32"/>
      <c r="AJ469" s="32"/>
    </row>
    <row r="470">
      <c r="A470" s="32"/>
      <c r="B470" s="32"/>
      <c r="C470" s="32"/>
      <c r="D470" s="32"/>
      <c r="E470" s="32"/>
      <c r="F470" s="32"/>
      <c r="G470" s="32"/>
      <c r="H470" s="32"/>
      <c r="I470" s="32"/>
      <c r="J470" s="32"/>
      <c r="K470" s="32"/>
      <c r="L470" s="32"/>
      <c r="M470" s="32"/>
      <c r="N470" s="32"/>
      <c r="O470" s="32"/>
      <c r="P470" s="32"/>
      <c r="Q470" s="32"/>
      <c r="R470" s="32"/>
      <c r="S470" s="32"/>
      <c r="T470" s="32"/>
      <c r="U470" s="32"/>
      <c r="V470" s="32"/>
      <c r="W470" s="32"/>
      <c r="X470" s="32"/>
      <c r="Y470" s="32"/>
      <c r="Z470" s="32"/>
      <c r="AA470" s="32"/>
      <c r="AB470" s="32"/>
      <c r="AC470" s="32"/>
      <c r="AD470" s="32"/>
      <c r="AE470" s="32"/>
      <c r="AF470" s="32"/>
      <c r="AG470" s="32"/>
      <c r="AH470" s="32"/>
      <c r="AI470" s="32"/>
      <c r="AJ470" s="32"/>
    </row>
    <row r="471">
      <c r="A471" s="32"/>
      <c r="B471" s="32"/>
      <c r="C471" s="32"/>
      <c r="D471" s="32"/>
      <c r="E471" s="32"/>
      <c r="F471" s="32"/>
      <c r="G471" s="32"/>
      <c r="H471" s="32"/>
      <c r="I471" s="32"/>
      <c r="J471" s="32"/>
      <c r="K471" s="32"/>
      <c r="L471" s="32"/>
      <c r="M471" s="32"/>
      <c r="N471" s="32"/>
      <c r="O471" s="32"/>
      <c r="P471" s="32"/>
      <c r="Q471" s="32"/>
      <c r="R471" s="32"/>
      <c r="S471" s="32"/>
      <c r="T471" s="32"/>
      <c r="U471" s="32"/>
      <c r="V471" s="32"/>
      <c r="W471" s="32"/>
      <c r="X471" s="32"/>
      <c r="Y471" s="32"/>
      <c r="Z471" s="32"/>
      <c r="AA471" s="32"/>
      <c r="AB471" s="32"/>
      <c r="AC471" s="32"/>
      <c r="AD471" s="32"/>
      <c r="AE471" s="32"/>
      <c r="AF471" s="32"/>
      <c r="AG471" s="32"/>
      <c r="AH471" s="32"/>
      <c r="AI471" s="32"/>
      <c r="AJ471" s="32"/>
    </row>
    <row r="472">
      <c r="A472" s="32"/>
      <c r="B472" s="32"/>
      <c r="C472" s="32"/>
      <c r="D472" s="32"/>
      <c r="E472" s="32"/>
      <c r="F472" s="32"/>
      <c r="G472" s="32"/>
      <c r="H472" s="32"/>
      <c r="I472" s="32"/>
      <c r="J472" s="32"/>
      <c r="K472" s="32"/>
      <c r="L472" s="32"/>
      <c r="M472" s="32"/>
      <c r="N472" s="32"/>
      <c r="O472" s="32"/>
      <c r="P472" s="32"/>
      <c r="Q472" s="32"/>
      <c r="R472" s="32"/>
      <c r="S472" s="32"/>
      <c r="T472" s="32"/>
      <c r="U472" s="32"/>
      <c r="V472" s="32"/>
      <c r="W472" s="32"/>
      <c r="X472" s="32"/>
      <c r="Y472" s="32"/>
      <c r="Z472" s="32"/>
      <c r="AA472" s="32"/>
      <c r="AB472" s="32"/>
      <c r="AC472" s="32"/>
      <c r="AD472" s="32"/>
      <c r="AE472" s="32"/>
      <c r="AF472" s="32"/>
      <c r="AG472" s="32"/>
      <c r="AH472" s="32"/>
      <c r="AI472" s="32"/>
      <c r="AJ472" s="32"/>
    </row>
    <row r="473">
      <c r="A473" s="32"/>
      <c r="B473" s="32"/>
      <c r="C473" s="32"/>
      <c r="D473" s="32"/>
      <c r="E473" s="32"/>
      <c r="F473" s="32"/>
      <c r="G473" s="32"/>
      <c r="H473" s="32"/>
      <c r="I473" s="32"/>
      <c r="J473" s="32"/>
      <c r="K473" s="32"/>
      <c r="L473" s="32"/>
      <c r="M473" s="32"/>
      <c r="N473" s="32"/>
      <c r="O473" s="32"/>
      <c r="P473" s="32"/>
      <c r="Q473" s="32"/>
      <c r="R473" s="32"/>
      <c r="S473" s="32"/>
      <c r="T473" s="32"/>
      <c r="U473" s="32"/>
      <c r="V473" s="32"/>
      <c r="W473" s="32"/>
      <c r="X473" s="32"/>
      <c r="Y473" s="32"/>
      <c r="Z473" s="32"/>
      <c r="AA473" s="32"/>
      <c r="AB473" s="32"/>
      <c r="AC473" s="32"/>
      <c r="AD473" s="32"/>
      <c r="AE473" s="32"/>
      <c r="AF473" s="32"/>
      <c r="AG473" s="32"/>
      <c r="AH473" s="32"/>
      <c r="AI473" s="32"/>
      <c r="AJ473" s="32"/>
    </row>
    <row r="474">
      <c r="A474" s="32"/>
      <c r="B474" s="32"/>
      <c r="C474" s="32"/>
      <c r="D474" s="32"/>
      <c r="E474" s="32"/>
      <c r="F474" s="32"/>
      <c r="G474" s="32"/>
      <c r="H474" s="32"/>
      <c r="I474" s="32"/>
      <c r="J474" s="32"/>
      <c r="K474" s="32"/>
      <c r="L474" s="32"/>
      <c r="M474" s="32"/>
      <c r="N474" s="32"/>
      <c r="O474" s="32"/>
      <c r="P474" s="32"/>
      <c r="Q474" s="32"/>
      <c r="R474" s="32"/>
      <c r="S474" s="32"/>
      <c r="T474" s="32"/>
      <c r="U474" s="32"/>
      <c r="V474" s="32"/>
      <c r="W474" s="32"/>
      <c r="X474" s="32"/>
      <c r="Y474" s="32"/>
      <c r="Z474" s="32"/>
      <c r="AA474" s="32"/>
      <c r="AB474" s="32"/>
      <c r="AC474" s="32"/>
      <c r="AD474" s="32"/>
      <c r="AE474" s="32"/>
      <c r="AF474" s="32"/>
      <c r="AG474" s="32"/>
      <c r="AH474" s="32"/>
      <c r="AI474" s="32"/>
      <c r="AJ474" s="32"/>
    </row>
    <row r="475">
      <c r="A475" s="32"/>
      <c r="B475" s="32"/>
      <c r="C475" s="32"/>
      <c r="D475" s="32"/>
      <c r="E475" s="32"/>
      <c r="F475" s="32"/>
      <c r="G475" s="32"/>
      <c r="H475" s="32"/>
      <c r="I475" s="32"/>
      <c r="J475" s="32"/>
      <c r="K475" s="32"/>
      <c r="L475" s="32"/>
      <c r="M475" s="32"/>
      <c r="N475" s="32"/>
      <c r="O475" s="32"/>
      <c r="P475" s="32"/>
      <c r="Q475" s="32"/>
      <c r="R475" s="32"/>
      <c r="S475" s="32"/>
      <c r="T475" s="32"/>
      <c r="U475" s="32"/>
      <c r="V475" s="32"/>
      <c r="W475" s="32"/>
      <c r="X475" s="32"/>
      <c r="Y475" s="32"/>
      <c r="Z475" s="32"/>
      <c r="AA475" s="32"/>
      <c r="AB475" s="32"/>
      <c r="AC475" s="32"/>
      <c r="AD475" s="32"/>
      <c r="AE475" s="32"/>
      <c r="AF475" s="32"/>
      <c r="AG475" s="32"/>
      <c r="AH475" s="32"/>
      <c r="AI475" s="32"/>
      <c r="AJ475" s="32"/>
    </row>
    <row r="476">
      <c r="A476" s="32"/>
      <c r="B476" s="32"/>
      <c r="C476" s="32"/>
      <c r="D476" s="32"/>
      <c r="E476" s="32"/>
      <c r="F476" s="32"/>
      <c r="G476" s="32"/>
      <c r="H476" s="32"/>
      <c r="I476" s="32"/>
      <c r="J476" s="32"/>
      <c r="K476" s="32"/>
      <c r="L476" s="32"/>
      <c r="M476" s="32"/>
      <c r="N476" s="32"/>
      <c r="O476" s="32"/>
      <c r="P476" s="32"/>
      <c r="Q476" s="32"/>
      <c r="R476" s="32"/>
      <c r="S476" s="32"/>
      <c r="T476" s="32"/>
      <c r="U476" s="32"/>
      <c r="V476" s="32"/>
      <c r="W476" s="32"/>
      <c r="X476" s="32"/>
      <c r="Y476" s="32"/>
      <c r="Z476" s="32"/>
      <c r="AA476" s="32"/>
      <c r="AB476" s="32"/>
      <c r="AC476" s="32"/>
      <c r="AD476" s="32"/>
      <c r="AE476" s="32"/>
      <c r="AF476" s="32"/>
      <c r="AG476" s="32"/>
      <c r="AH476" s="32"/>
      <c r="AI476" s="32"/>
      <c r="AJ476" s="32"/>
    </row>
    <row r="477">
      <c r="A477" s="32"/>
      <c r="B477" s="32"/>
      <c r="C477" s="32"/>
      <c r="D477" s="32"/>
      <c r="E477" s="32"/>
      <c r="F477" s="32"/>
      <c r="G477" s="32"/>
      <c r="H477" s="32"/>
      <c r="I477" s="32"/>
      <c r="J477" s="32"/>
      <c r="K477" s="32"/>
      <c r="L477" s="32"/>
      <c r="M477" s="32"/>
      <c r="N477" s="32"/>
      <c r="O477" s="32"/>
      <c r="P477" s="32"/>
      <c r="Q477" s="32"/>
      <c r="R477" s="32"/>
      <c r="S477" s="32"/>
      <c r="T477" s="32"/>
      <c r="U477" s="32"/>
      <c r="V477" s="32"/>
      <c r="W477" s="32"/>
      <c r="X477" s="32"/>
      <c r="Y477" s="32"/>
      <c r="Z477" s="32"/>
      <c r="AA477" s="32"/>
      <c r="AB477" s="32"/>
      <c r="AC477" s="32"/>
      <c r="AD477" s="32"/>
      <c r="AE477" s="32"/>
      <c r="AF477" s="32"/>
      <c r="AG477" s="32"/>
      <c r="AH477" s="32"/>
      <c r="AI477" s="32"/>
      <c r="AJ477" s="32"/>
    </row>
    <row r="478">
      <c r="A478" s="32"/>
      <c r="B478" s="32"/>
      <c r="C478" s="32"/>
      <c r="D478" s="32"/>
      <c r="E478" s="32"/>
      <c r="F478" s="32"/>
      <c r="G478" s="32"/>
      <c r="H478" s="32"/>
      <c r="I478" s="32"/>
      <c r="J478" s="32"/>
      <c r="K478" s="32"/>
      <c r="L478" s="32"/>
      <c r="M478" s="32"/>
      <c r="N478" s="32"/>
      <c r="O478" s="32"/>
      <c r="P478" s="32"/>
      <c r="Q478" s="32"/>
      <c r="R478" s="32"/>
      <c r="S478" s="32"/>
      <c r="T478" s="32"/>
      <c r="U478" s="32"/>
      <c r="V478" s="32"/>
      <c r="W478" s="32"/>
      <c r="X478" s="32"/>
      <c r="Y478" s="32"/>
      <c r="Z478" s="32"/>
      <c r="AA478" s="32"/>
      <c r="AB478" s="32"/>
      <c r="AC478" s="32"/>
      <c r="AD478" s="32"/>
      <c r="AE478" s="32"/>
      <c r="AF478" s="32"/>
      <c r="AG478" s="32"/>
      <c r="AH478" s="32"/>
      <c r="AI478" s="32"/>
      <c r="AJ478" s="32"/>
    </row>
    <row r="479">
      <c r="A479" s="32"/>
      <c r="B479" s="32"/>
      <c r="C479" s="32"/>
      <c r="D479" s="32"/>
      <c r="E479" s="32"/>
      <c r="F479" s="32"/>
      <c r="G479" s="32"/>
      <c r="H479" s="32"/>
      <c r="I479" s="32"/>
      <c r="J479" s="32"/>
      <c r="K479" s="32"/>
      <c r="L479" s="32"/>
      <c r="M479" s="32"/>
      <c r="N479" s="32"/>
      <c r="O479" s="32"/>
      <c r="P479" s="32"/>
      <c r="Q479" s="32"/>
      <c r="R479" s="32"/>
      <c r="S479" s="32"/>
      <c r="T479" s="32"/>
      <c r="U479" s="32"/>
      <c r="V479" s="32"/>
      <c r="W479" s="32"/>
      <c r="X479" s="32"/>
      <c r="Y479" s="32"/>
      <c r="Z479" s="32"/>
      <c r="AA479" s="32"/>
      <c r="AB479" s="32"/>
      <c r="AC479" s="32"/>
      <c r="AD479" s="32"/>
      <c r="AE479" s="32"/>
      <c r="AF479" s="32"/>
      <c r="AG479" s="32"/>
      <c r="AH479" s="32"/>
      <c r="AI479" s="32"/>
      <c r="AJ479" s="32"/>
    </row>
    <row r="480">
      <c r="A480" s="32"/>
      <c r="B480" s="32"/>
      <c r="C480" s="32"/>
      <c r="D480" s="32"/>
      <c r="E480" s="32"/>
      <c r="F480" s="32"/>
      <c r="G480" s="32"/>
      <c r="H480" s="32"/>
      <c r="I480" s="32"/>
      <c r="J480" s="32"/>
      <c r="K480" s="32"/>
      <c r="L480" s="32"/>
      <c r="M480" s="32"/>
      <c r="N480" s="32"/>
      <c r="O480" s="32"/>
      <c r="P480" s="32"/>
      <c r="Q480" s="32"/>
      <c r="R480" s="32"/>
      <c r="S480" s="32"/>
      <c r="T480" s="32"/>
      <c r="U480" s="32"/>
      <c r="V480" s="32"/>
      <c r="W480" s="32"/>
      <c r="X480" s="32"/>
      <c r="Y480" s="32"/>
      <c r="Z480" s="32"/>
      <c r="AA480" s="32"/>
      <c r="AB480" s="32"/>
      <c r="AC480" s="32"/>
      <c r="AD480" s="32"/>
      <c r="AE480" s="32"/>
      <c r="AF480" s="32"/>
      <c r="AG480" s="32"/>
      <c r="AH480" s="32"/>
      <c r="AI480" s="32"/>
      <c r="AJ480" s="32"/>
    </row>
    <row r="481">
      <c r="A481" s="32"/>
      <c r="B481" s="32"/>
      <c r="C481" s="32"/>
      <c r="D481" s="32"/>
      <c r="E481" s="32"/>
      <c r="F481" s="32"/>
      <c r="G481" s="32"/>
      <c r="H481" s="32"/>
      <c r="I481" s="32"/>
      <c r="J481" s="32"/>
      <c r="K481" s="32"/>
      <c r="L481" s="32"/>
      <c r="M481" s="32"/>
      <c r="N481" s="32"/>
      <c r="O481" s="32"/>
      <c r="P481" s="32"/>
      <c r="Q481" s="32"/>
      <c r="R481" s="32"/>
      <c r="S481" s="32"/>
      <c r="T481" s="32"/>
      <c r="U481" s="32"/>
      <c r="V481" s="32"/>
      <c r="W481" s="32"/>
      <c r="X481" s="32"/>
      <c r="Y481" s="32"/>
      <c r="Z481" s="32"/>
      <c r="AA481" s="32"/>
      <c r="AB481" s="32"/>
      <c r="AC481" s="32"/>
      <c r="AD481" s="32"/>
      <c r="AE481" s="32"/>
      <c r="AF481" s="32"/>
      <c r="AG481" s="32"/>
      <c r="AH481" s="32"/>
      <c r="AI481" s="32"/>
      <c r="AJ481" s="32"/>
    </row>
    <row r="482">
      <c r="A482" s="32"/>
      <c r="B482" s="32"/>
      <c r="C482" s="32"/>
      <c r="D482" s="32"/>
      <c r="E482" s="32"/>
      <c r="F482" s="32"/>
      <c r="G482" s="32"/>
      <c r="H482" s="32"/>
      <c r="I482" s="32"/>
      <c r="J482" s="32"/>
      <c r="K482" s="32"/>
      <c r="L482" s="32"/>
      <c r="M482" s="32"/>
      <c r="N482" s="32"/>
      <c r="O482" s="32"/>
      <c r="P482" s="32"/>
      <c r="Q482" s="32"/>
      <c r="R482" s="32"/>
      <c r="S482" s="32"/>
      <c r="T482" s="32"/>
      <c r="U482" s="32"/>
      <c r="V482" s="32"/>
      <c r="W482" s="32"/>
      <c r="X482" s="32"/>
      <c r="Y482" s="32"/>
      <c r="Z482" s="32"/>
      <c r="AA482" s="32"/>
      <c r="AB482" s="32"/>
      <c r="AC482" s="32"/>
      <c r="AD482" s="32"/>
      <c r="AE482" s="32"/>
      <c r="AF482" s="32"/>
      <c r="AG482" s="32"/>
      <c r="AH482" s="32"/>
      <c r="AI482" s="32"/>
      <c r="AJ482" s="32"/>
    </row>
    <row r="483">
      <c r="A483" s="32"/>
      <c r="B483" s="32"/>
      <c r="C483" s="32"/>
      <c r="D483" s="32"/>
      <c r="E483" s="32"/>
      <c r="F483" s="32"/>
      <c r="G483" s="32"/>
      <c r="H483" s="32"/>
      <c r="I483" s="32"/>
      <c r="J483" s="32"/>
      <c r="K483" s="32"/>
      <c r="L483" s="32"/>
      <c r="M483" s="32"/>
      <c r="N483" s="32"/>
      <c r="O483" s="32"/>
      <c r="P483" s="32"/>
      <c r="Q483" s="32"/>
      <c r="R483" s="32"/>
      <c r="S483" s="32"/>
      <c r="T483" s="32"/>
      <c r="U483" s="32"/>
      <c r="V483" s="32"/>
      <c r="W483" s="32"/>
      <c r="X483" s="32"/>
      <c r="Y483" s="32"/>
      <c r="Z483" s="32"/>
      <c r="AA483" s="32"/>
      <c r="AB483" s="32"/>
      <c r="AC483" s="32"/>
      <c r="AD483" s="32"/>
      <c r="AE483" s="32"/>
      <c r="AF483" s="32"/>
      <c r="AG483" s="32"/>
      <c r="AH483" s="32"/>
      <c r="AI483" s="32"/>
      <c r="AJ483" s="32"/>
    </row>
    <row r="484">
      <c r="A484" s="32"/>
      <c r="B484" s="32"/>
      <c r="C484" s="32"/>
      <c r="D484" s="32"/>
      <c r="E484" s="32"/>
      <c r="F484" s="32"/>
      <c r="G484" s="32"/>
      <c r="H484" s="32"/>
      <c r="I484" s="32"/>
      <c r="J484" s="32"/>
      <c r="K484" s="32"/>
      <c r="L484" s="32"/>
      <c r="M484" s="32"/>
      <c r="N484" s="32"/>
      <c r="O484" s="32"/>
      <c r="P484" s="32"/>
      <c r="Q484" s="32"/>
      <c r="R484" s="32"/>
      <c r="S484" s="32"/>
      <c r="T484" s="32"/>
      <c r="U484" s="32"/>
      <c r="V484" s="32"/>
      <c r="W484" s="32"/>
      <c r="X484" s="32"/>
      <c r="Y484" s="32"/>
      <c r="Z484" s="32"/>
      <c r="AA484" s="32"/>
      <c r="AB484" s="32"/>
      <c r="AC484" s="32"/>
      <c r="AD484" s="32"/>
      <c r="AE484" s="32"/>
      <c r="AF484" s="32"/>
      <c r="AG484" s="32"/>
      <c r="AH484" s="32"/>
      <c r="AI484" s="32"/>
      <c r="AJ484" s="32"/>
    </row>
    <row r="485">
      <c r="A485" s="32"/>
      <c r="B485" s="32"/>
      <c r="C485" s="32"/>
      <c r="D485" s="32"/>
      <c r="E485" s="32"/>
      <c r="F485" s="32"/>
      <c r="G485" s="32"/>
      <c r="H485" s="32"/>
      <c r="I485" s="32"/>
      <c r="J485" s="32"/>
      <c r="K485" s="32"/>
      <c r="L485" s="32"/>
      <c r="M485" s="32"/>
      <c r="N485" s="32"/>
      <c r="O485" s="32"/>
      <c r="P485" s="32"/>
      <c r="Q485" s="32"/>
      <c r="R485" s="32"/>
      <c r="S485" s="32"/>
      <c r="T485" s="32"/>
      <c r="U485" s="32"/>
      <c r="V485" s="32"/>
      <c r="W485" s="32"/>
      <c r="X485" s="32"/>
      <c r="Y485" s="32"/>
      <c r="Z485" s="32"/>
      <c r="AA485" s="32"/>
      <c r="AB485" s="32"/>
      <c r="AC485" s="32"/>
      <c r="AD485" s="32"/>
      <c r="AE485" s="32"/>
      <c r="AF485" s="32"/>
      <c r="AG485" s="32"/>
      <c r="AH485" s="32"/>
      <c r="AI485" s="32"/>
      <c r="AJ485" s="32"/>
    </row>
    <row r="486">
      <c r="A486" s="32"/>
      <c r="B486" s="32"/>
      <c r="C486" s="32"/>
      <c r="D486" s="32"/>
      <c r="E486" s="32"/>
      <c r="F486" s="32"/>
      <c r="G486" s="32"/>
      <c r="H486" s="32"/>
      <c r="I486" s="32"/>
      <c r="J486" s="32"/>
      <c r="K486" s="32"/>
      <c r="L486" s="32"/>
      <c r="M486" s="32"/>
      <c r="N486" s="32"/>
      <c r="O486" s="32"/>
      <c r="P486" s="32"/>
      <c r="Q486" s="32"/>
      <c r="R486" s="32"/>
      <c r="S486" s="32"/>
      <c r="T486" s="32"/>
      <c r="U486" s="32"/>
      <c r="V486" s="32"/>
      <c r="W486" s="32"/>
      <c r="X486" s="32"/>
      <c r="Y486" s="32"/>
      <c r="Z486" s="32"/>
      <c r="AA486" s="32"/>
      <c r="AB486" s="32"/>
      <c r="AC486" s="32"/>
      <c r="AD486" s="32"/>
      <c r="AE486" s="32"/>
      <c r="AF486" s="32"/>
      <c r="AG486" s="32"/>
      <c r="AH486" s="32"/>
      <c r="AI486" s="32"/>
      <c r="AJ486" s="32"/>
    </row>
    <row r="487">
      <c r="A487" s="32"/>
      <c r="B487" s="32"/>
      <c r="C487" s="32"/>
      <c r="D487" s="32"/>
      <c r="E487" s="32"/>
      <c r="F487" s="32"/>
      <c r="G487" s="32"/>
      <c r="H487" s="32"/>
      <c r="I487" s="32"/>
      <c r="J487" s="32"/>
      <c r="K487" s="32"/>
      <c r="L487" s="32"/>
      <c r="M487" s="32"/>
      <c r="N487" s="32"/>
      <c r="O487" s="32"/>
      <c r="P487" s="32"/>
      <c r="Q487" s="32"/>
      <c r="R487" s="32"/>
      <c r="S487" s="32"/>
      <c r="T487" s="32"/>
      <c r="U487" s="32"/>
      <c r="V487" s="32"/>
      <c r="W487" s="32"/>
      <c r="X487" s="32"/>
      <c r="Y487" s="32"/>
      <c r="Z487" s="32"/>
      <c r="AA487" s="32"/>
      <c r="AB487" s="32"/>
      <c r="AC487" s="32"/>
      <c r="AD487" s="32"/>
      <c r="AE487" s="32"/>
      <c r="AF487" s="32"/>
      <c r="AG487" s="32"/>
      <c r="AH487" s="32"/>
      <c r="AI487" s="32"/>
      <c r="AJ487" s="32"/>
    </row>
    <row r="488">
      <c r="A488" s="32"/>
      <c r="B488" s="32"/>
      <c r="C488" s="32"/>
      <c r="D488" s="32"/>
      <c r="E488" s="32"/>
      <c r="F488" s="32"/>
      <c r="G488" s="32"/>
      <c r="H488" s="32"/>
      <c r="I488" s="32"/>
      <c r="J488" s="32"/>
      <c r="K488" s="32"/>
      <c r="L488" s="32"/>
      <c r="M488" s="32"/>
      <c r="N488" s="32"/>
      <c r="O488" s="32"/>
      <c r="P488" s="32"/>
      <c r="Q488" s="32"/>
      <c r="R488" s="32"/>
      <c r="S488" s="32"/>
      <c r="T488" s="32"/>
      <c r="U488" s="32"/>
      <c r="V488" s="32"/>
      <c r="W488" s="32"/>
      <c r="X488" s="32"/>
      <c r="Y488" s="32"/>
      <c r="Z488" s="32"/>
      <c r="AA488" s="32"/>
      <c r="AB488" s="32"/>
      <c r="AC488" s="32"/>
      <c r="AD488" s="32"/>
      <c r="AE488" s="32"/>
      <c r="AF488" s="32"/>
      <c r="AG488" s="32"/>
      <c r="AH488" s="32"/>
      <c r="AI488" s="32"/>
      <c r="AJ488" s="32"/>
    </row>
    <row r="489">
      <c r="A489" s="32"/>
      <c r="B489" s="32"/>
      <c r="C489" s="32"/>
      <c r="D489" s="32"/>
      <c r="E489" s="32"/>
      <c r="F489" s="32"/>
      <c r="G489" s="32"/>
      <c r="H489" s="32"/>
      <c r="I489" s="32"/>
      <c r="J489" s="32"/>
      <c r="K489" s="32"/>
      <c r="L489" s="32"/>
      <c r="M489" s="32"/>
      <c r="N489" s="32"/>
      <c r="O489" s="32"/>
      <c r="P489" s="32"/>
      <c r="Q489" s="32"/>
      <c r="R489" s="32"/>
      <c r="S489" s="32"/>
      <c r="T489" s="32"/>
      <c r="U489" s="32"/>
      <c r="V489" s="32"/>
      <c r="W489" s="32"/>
      <c r="X489" s="32"/>
      <c r="Y489" s="32"/>
      <c r="Z489" s="32"/>
      <c r="AA489" s="32"/>
      <c r="AB489" s="32"/>
      <c r="AC489" s="32"/>
      <c r="AD489" s="32"/>
      <c r="AE489" s="32"/>
      <c r="AF489" s="32"/>
      <c r="AG489" s="32"/>
      <c r="AH489" s="32"/>
      <c r="AI489" s="32"/>
      <c r="AJ489" s="32"/>
    </row>
    <row r="490">
      <c r="A490" s="32"/>
      <c r="B490" s="32"/>
      <c r="C490" s="32"/>
      <c r="D490" s="32"/>
      <c r="E490" s="32"/>
      <c r="F490" s="32"/>
      <c r="G490" s="32"/>
      <c r="H490" s="32"/>
      <c r="I490" s="32"/>
      <c r="J490" s="32"/>
      <c r="K490" s="32"/>
      <c r="L490" s="32"/>
      <c r="M490" s="32"/>
      <c r="N490" s="32"/>
      <c r="O490" s="32"/>
      <c r="P490" s="32"/>
      <c r="Q490" s="32"/>
      <c r="R490" s="32"/>
      <c r="S490" s="32"/>
      <c r="T490" s="32"/>
      <c r="U490" s="32"/>
      <c r="V490" s="32"/>
      <c r="W490" s="32"/>
      <c r="X490" s="32"/>
      <c r="Y490" s="32"/>
      <c r="Z490" s="32"/>
      <c r="AA490" s="32"/>
      <c r="AB490" s="32"/>
      <c r="AC490" s="32"/>
      <c r="AD490" s="32"/>
      <c r="AE490" s="32"/>
      <c r="AF490" s="32"/>
      <c r="AG490" s="32"/>
      <c r="AH490" s="32"/>
      <c r="AI490" s="32"/>
      <c r="AJ490" s="32"/>
    </row>
    <row r="491">
      <c r="A491" s="32"/>
      <c r="B491" s="32"/>
      <c r="C491" s="32"/>
      <c r="D491" s="32"/>
      <c r="E491" s="32"/>
      <c r="F491" s="32"/>
      <c r="G491" s="32"/>
      <c r="H491" s="32"/>
      <c r="I491" s="32"/>
      <c r="J491" s="32"/>
      <c r="K491" s="32"/>
      <c r="L491" s="32"/>
      <c r="M491" s="32"/>
      <c r="N491" s="32"/>
      <c r="O491" s="32"/>
      <c r="P491" s="32"/>
      <c r="Q491" s="32"/>
      <c r="R491" s="32"/>
      <c r="S491" s="32"/>
      <c r="T491" s="32"/>
      <c r="U491" s="32"/>
      <c r="V491" s="32"/>
      <c r="W491" s="32"/>
      <c r="X491" s="32"/>
      <c r="Y491" s="32"/>
      <c r="Z491" s="32"/>
      <c r="AA491" s="32"/>
      <c r="AB491" s="32"/>
      <c r="AC491" s="32"/>
      <c r="AD491" s="32"/>
      <c r="AE491" s="32"/>
      <c r="AF491" s="32"/>
      <c r="AG491" s="32"/>
      <c r="AH491" s="32"/>
      <c r="AI491" s="32"/>
      <c r="AJ491" s="32"/>
    </row>
    <row r="492">
      <c r="A492" s="32"/>
      <c r="B492" s="32"/>
      <c r="C492" s="32"/>
      <c r="D492" s="32"/>
      <c r="E492" s="32"/>
      <c r="F492" s="32"/>
      <c r="G492" s="32"/>
      <c r="H492" s="32"/>
      <c r="I492" s="32"/>
      <c r="J492" s="32"/>
      <c r="K492" s="32"/>
      <c r="L492" s="32"/>
      <c r="M492" s="32"/>
      <c r="N492" s="32"/>
      <c r="O492" s="32"/>
      <c r="P492" s="32"/>
      <c r="Q492" s="32"/>
      <c r="R492" s="32"/>
      <c r="S492" s="32"/>
      <c r="T492" s="32"/>
      <c r="U492" s="32"/>
      <c r="V492" s="32"/>
      <c r="W492" s="32"/>
      <c r="X492" s="32"/>
      <c r="Y492" s="32"/>
      <c r="Z492" s="32"/>
      <c r="AA492" s="32"/>
      <c r="AB492" s="32"/>
      <c r="AC492" s="32"/>
      <c r="AD492" s="32"/>
      <c r="AE492" s="32"/>
      <c r="AF492" s="32"/>
      <c r="AG492" s="32"/>
      <c r="AH492" s="32"/>
      <c r="AI492" s="32"/>
      <c r="AJ492" s="32"/>
    </row>
    <row r="493">
      <c r="A493" s="32"/>
      <c r="B493" s="32"/>
      <c r="C493" s="32"/>
      <c r="D493" s="32"/>
      <c r="E493" s="32"/>
      <c r="F493" s="32"/>
      <c r="G493" s="32"/>
      <c r="H493" s="32"/>
      <c r="I493" s="32"/>
      <c r="J493" s="32"/>
      <c r="K493" s="32"/>
      <c r="L493" s="32"/>
      <c r="M493" s="32"/>
      <c r="N493" s="32"/>
      <c r="O493" s="32"/>
      <c r="P493" s="32"/>
      <c r="Q493" s="32"/>
      <c r="R493" s="32"/>
      <c r="S493" s="32"/>
      <c r="T493" s="32"/>
      <c r="U493" s="32"/>
      <c r="V493" s="32"/>
      <c r="W493" s="32"/>
      <c r="X493" s="32"/>
      <c r="Y493" s="32"/>
      <c r="Z493" s="32"/>
      <c r="AA493" s="32"/>
      <c r="AB493" s="32"/>
      <c r="AC493" s="32"/>
      <c r="AD493" s="32"/>
      <c r="AE493" s="32"/>
      <c r="AF493" s="32"/>
      <c r="AG493" s="32"/>
      <c r="AH493" s="32"/>
      <c r="AI493" s="32"/>
      <c r="AJ493" s="32"/>
    </row>
    <row r="494">
      <c r="A494" s="32"/>
      <c r="B494" s="32"/>
      <c r="C494" s="32"/>
      <c r="D494" s="32"/>
      <c r="E494" s="32"/>
      <c r="F494" s="32"/>
      <c r="G494" s="32"/>
      <c r="H494" s="32"/>
      <c r="I494" s="32"/>
      <c r="J494" s="32"/>
      <c r="K494" s="32"/>
      <c r="L494" s="32"/>
      <c r="M494" s="32"/>
      <c r="N494" s="32"/>
      <c r="O494" s="32"/>
      <c r="P494" s="32"/>
      <c r="Q494" s="32"/>
      <c r="R494" s="32"/>
      <c r="S494" s="32"/>
      <c r="T494" s="32"/>
      <c r="U494" s="32"/>
      <c r="V494" s="32"/>
      <c r="W494" s="32"/>
      <c r="X494" s="32"/>
      <c r="Y494" s="32"/>
      <c r="Z494" s="32"/>
      <c r="AA494" s="32"/>
      <c r="AB494" s="32"/>
      <c r="AC494" s="32"/>
      <c r="AD494" s="32"/>
      <c r="AE494" s="32"/>
      <c r="AF494" s="32"/>
      <c r="AG494" s="32"/>
      <c r="AH494" s="32"/>
      <c r="AI494" s="32"/>
      <c r="AJ494" s="32"/>
    </row>
    <row r="495">
      <c r="A495" s="32"/>
      <c r="B495" s="32"/>
      <c r="C495" s="32"/>
      <c r="D495" s="32"/>
      <c r="E495" s="32"/>
      <c r="F495" s="32"/>
      <c r="G495" s="32"/>
      <c r="H495" s="32"/>
      <c r="I495" s="32"/>
      <c r="J495" s="32"/>
      <c r="K495" s="32"/>
      <c r="L495" s="32"/>
      <c r="M495" s="32"/>
      <c r="N495" s="32"/>
      <c r="O495" s="32"/>
      <c r="P495" s="32"/>
      <c r="Q495" s="32"/>
      <c r="R495" s="32"/>
      <c r="S495" s="32"/>
      <c r="T495" s="32"/>
      <c r="U495" s="32"/>
      <c r="V495" s="32"/>
      <c r="W495" s="32"/>
      <c r="X495" s="32"/>
      <c r="Y495" s="32"/>
      <c r="Z495" s="32"/>
      <c r="AA495" s="32"/>
      <c r="AB495" s="32"/>
      <c r="AC495" s="32"/>
      <c r="AD495" s="32"/>
      <c r="AE495" s="32"/>
      <c r="AF495" s="32"/>
      <c r="AG495" s="32"/>
      <c r="AH495" s="32"/>
      <c r="AI495" s="32"/>
      <c r="AJ495" s="32"/>
    </row>
    <row r="496">
      <c r="A496" s="32"/>
      <c r="B496" s="32"/>
      <c r="C496" s="32"/>
      <c r="D496" s="32"/>
      <c r="E496" s="32"/>
      <c r="F496" s="32"/>
      <c r="G496" s="32"/>
      <c r="H496" s="32"/>
      <c r="I496" s="32"/>
      <c r="J496" s="32"/>
      <c r="K496" s="32"/>
      <c r="L496" s="32"/>
      <c r="M496" s="32"/>
      <c r="N496" s="32"/>
      <c r="O496" s="32"/>
      <c r="P496" s="32"/>
      <c r="Q496" s="32"/>
      <c r="R496" s="32"/>
      <c r="S496" s="32"/>
      <c r="T496" s="32"/>
      <c r="U496" s="32"/>
      <c r="V496" s="32"/>
      <c r="W496" s="32"/>
      <c r="X496" s="32"/>
      <c r="Y496" s="32"/>
      <c r="Z496" s="32"/>
      <c r="AA496" s="32"/>
      <c r="AB496" s="32"/>
      <c r="AC496" s="32"/>
      <c r="AD496" s="32"/>
      <c r="AE496" s="32"/>
      <c r="AF496" s="32"/>
      <c r="AG496" s="32"/>
      <c r="AH496" s="32"/>
      <c r="AI496" s="32"/>
      <c r="AJ496" s="32"/>
    </row>
    <row r="497">
      <c r="A497" s="32"/>
      <c r="B497" s="32"/>
      <c r="C497" s="32"/>
      <c r="D497" s="32"/>
      <c r="E497" s="32"/>
      <c r="F497" s="32"/>
      <c r="G497" s="32"/>
      <c r="H497" s="32"/>
      <c r="I497" s="32"/>
      <c r="J497" s="32"/>
      <c r="K497" s="32"/>
      <c r="L497" s="32"/>
      <c r="M497" s="32"/>
      <c r="N497" s="32"/>
      <c r="O497" s="32"/>
      <c r="P497" s="32"/>
      <c r="Q497" s="32"/>
      <c r="R497" s="32"/>
      <c r="S497" s="32"/>
      <c r="T497" s="32"/>
      <c r="U497" s="32"/>
      <c r="V497" s="32"/>
      <c r="W497" s="32"/>
      <c r="X497" s="32"/>
      <c r="Y497" s="32"/>
      <c r="Z497" s="32"/>
      <c r="AA497" s="32"/>
      <c r="AB497" s="32"/>
      <c r="AC497" s="32"/>
      <c r="AD497" s="32"/>
      <c r="AE497" s="32"/>
      <c r="AF497" s="32"/>
      <c r="AG497" s="32"/>
      <c r="AH497" s="32"/>
      <c r="AI497" s="32"/>
      <c r="AJ497" s="32"/>
    </row>
    <row r="498">
      <c r="A498" s="32"/>
      <c r="B498" s="32"/>
      <c r="C498" s="32"/>
      <c r="D498" s="32"/>
      <c r="E498" s="32"/>
      <c r="F498" s="32"/>
      <c r="G498" s="32"/>
      <c r="H498" s="32"/>
      <c r="I498" s="32"/>
      <c r="J498" s="32"/>
      <c r="K498" s="32"/>
      <c r="L498" s="32"/>
      <c r="M498" s="32"/>
      <c r="N498" s="32"/>
      <c r="O498" s="32"/>
      <c r="P498" s="32"/>
      <c r="Q498" s="32"/>
      <c r="R498" s="32"/>
      <c r="S498" s="32"/>
      <c r="T498" s="32"/>
      <c r="U498" s="32"/>
      <c r="V498" s="32"/>
      <c r="W498" s="32"/>
      <c r="X498" s="32"/>
      <c r="Y498" s="32"/>
      <c r="Z498" s="32"/>
      <c r="AA498" s="32"/>
      <c r="AB498" s="32"/>
      <c r="AC498" s="32"/>
      <c r="AD498" s="32"/>
      <c r="AE498" s="32"/>
      <c r="AF498" s="32"/>
      <c r="AG498" s="32"/>
      <c r="AH498" s="32"/>
      <c r="AI498" s="32"/>
      <c r="AJ498" s="32"/>
    </row>
    <row r="499">
      <c r="A499" s="32"/>
      <c r="B499" s="32"/>
      <c r="C499" s="32"/>
      <c r="D499" s="32"/>
      <c r="E499" s="32"/>
      <c r="F499" s="32"/>
      <c r="G499" s="32"/>
      <c r="H499" s="32"/>
      <c r="I499" s="32"/>
      <c r="J499" s="32"/>
      <c r="K499" s="32"/>
      <c r="L499" s="32"/>
      <c r="M499" s="32"/>
      <c r="N499" s="32"/>
      <c r="O499" s="32"/>
      <c r="P499" s="32"/>
      <c r="Q499" s="32"/>
      <c r="R499" s="32"/>
      <c r="S499" s="32"/>
      <c r="T499" s="32"/>
      <c r="U499" s="32"/>
      <c r="V499" s="32"/>
      <c r="W499" s="32"/>
      <c r="X499" s="32"/>
      <c r="Y499" s="32"/>
      <c r="Z499" s="32"/>
      <c r="AA499" s="32"/>
      <c r="AB499" s="32"/>
      <c r="AC499" s="32"/>
      <c r="AD499" s="32"/>
      <c r="AE499" s="32"/>
      <c r="AF499" s="32"/>
      <c r="AG499" s="32"/>
      <c r="AH499" s="32"/>
      <c r="AI499" s="32"/>
      <c r="AJ499" s="32"/>
    </row>
    <row r="500">
      <c r="A500" s="32"/>
      <c r="B500" s="32"/>
      <c r="C500" s="32"/>
      <c r="D500" s="32"/>
      <c r="E500" s="32"/>
      <c r="F500" s="32"/>
      <c r="G500" s="32"/>
      <c r="H500" s="32"/>
      <c r="I500" s="32"/>
      <c r="J500" s="32"/>
      <c r="K500" s="32"/>
      <c r="L500" s="32"/>
      <c r="M500" s="32"/>
      <c r="N500" s="32"/>
      <c r="O500" s="32"/>
      <c r="P500" s="32"/>
      <c r="Q500" s="32"/>
      <c r="R500" s="32"/>
      <c r="S500" s="32"/>
      <c r="T500" s="32"/>
      <c r="U500" s="32"/>
      <c r="V500" s="32"/>
      <c r="W500" s="32"/>
      <c r="X500" s="32"/>
      <c r="Y500" s="32"/>
      <c r="Z500" s="32"/>
      <c r="AA500" s="32"/>
      <c r="AB500" s="32"/>
      <c r="AC500" s="32"/>
      <c r="AD500" s="32"/>
      <c r="AE500" s="32"/>
      <c r="AF500" s="32"/>
      <c r="AG500" s="32"/>
      <c r="AH500" s="32"/>
      <c r="AI500" s="32"/>
      <c r="AJ500" s="32"/>
    </row>
    <row r="501">
      <c r="A501" s="32"/>
      <c r="B501" s="32"/>
      <c r="C501" s="32"/>
      <c r="D501" s="32"/>
      <c r="E501" s="32"/>
      <c r="F501" s="32"/>
      <c r="G501" s="32"/>
      <c r="H501" s="32"/>
      <c r="I501" s="32"/>
      <c r="J501" s="32"/>
      <c r="K501" s="32"/>
      <c r="L501" s="32"/>
      <c r="M501" s="32"/>
      <c r="N501" s="32"/>
      <c r="O501" s="32"/>
      <c r="P501" s="32"/>
      <c r="Q501" s="32"/>
      <c r="R501" s="32"/>
      <c r="S501" s="32"/>
      <c r="T501" s="32"/>
      <c r="U501" s="32"/>
      <c r="V501" s="32"/>
      <c r="W501" s="32"/>
      <c r="X501" s="32"/>
      <c r="Y501" s="32"/>
      <c r="Z501" s="32"/>
      <c r="AA501" s="32"/>
      <c r="AB501" s="32"/>
      <c r="AC501" s="32"/>
      <c r="AD501" s="32"/>
      <c r="AE501" s="32"/>
      <c r="AF501" s="32"/>
      <c r="AG501" s="32"/>
      <c r="AH501" s="32"/>
      <c r="AI501" s="32"/>
      <c r="AJ501" s="32"/>
    </row>
    <row r="502">
      <c r="A502" s="32"/>
      <c r="B502" s="32"/>
      <c r="C502" s="32"/>
      <c r="D502" s="32"/>
      <c r="E502" s="32"/>
      <c r="F502" s="32"/>
      <c r="G502" s="32"/>
      <c r="H502" s="32"/>
      <c r="I502" s="32"/>
      <c r="J502" s="32"/>
      <c r="K502" s="32"/>
      <c r="L502" s="32"/>
      <c r="M502" s="32"/>
      <c r="N502" s="32"/>
      <c r="O502" s="32"/>
      <c r="P502" s="32"/>
      <c r="Q502" s="32"/>
      <c r="R502" s="32"/>
      <c r="S502" s="32"/>
      <c r="T502" s="32"/>
      <c r="U502" s="32"/>
      <c r="V502" s="32"/>
      <c r="W502" s="32"/>
      <c r="X502" s="32"/>
      <c r="Y502" s="32"/>
      <c r="Z502" s="32"/>
      <c r="AA502" s="32"/>
      <c r="AB502" s="32"/>
      <c r="AC502" s="32"/>
      <c r="AD502" s="32"/>
      <c r="AE502" s="32"/>
      <c r="AF502" s="32"/>
      <c r="AG502" s="32"/>
      <c r="AH502" s="32"/>
      <c r="AI502" s="32"/>
      <c r="AJ502" s="32"/>
    </row>
    <row r="503">
      <c r="A503" s="32"/>
      <c r="B503" s="32"/>
      <c r="C503" s="32"/>
      <c r="D503" s="32"/>
      <c r="E503" s="32"/>
      <c r="F503" s="32"/>
      <c r="G503" s="32"/>
      <c r="H503" s="32"/>
      <c r="I503" s="32"/>
      <c r="J503" s="32"/>
      <c r="K503" s="32"/>
      <c r="L503" s="32"/>
      <c r="M503" s="32"/>
      <c r="N503" s="32"/>
      <c r="O503" s="32"/>
      <c r="P503" s="32"/>
      <c r="Q503" s="32"/>
      <c r="R503" s="32"/>
      <c r="S503" s="32"/>
      <c r="T503" s="32"/>
      <c r="U503" s="32"/>
      <c r="V503" s="32"/>
      <c r="W503" s="32"/>
      <c r="X503" s="32"/>
      <c r="Y503" s="32"/>
      <c r="Z503" s="32"/>
      <c r="AA503" s="32"/>
      <c r="AB503" s="32"/>
      <c r="AC503" s="32"/>
      <c r="AD503" s="32"/>
      <c r="AE503" s="32"/>
      <c r="AF503" s="32"/>
      <c r="AG503" s="32"/>
      <c r="AH503" s="32"/>
      <c r="AI503" s="32"/>
      <c r="AJ503" s="32"/>
    </row>
    <row r="504">
      <c r="A504" s="32"/>
      <c r="B504" s="32"/>
      <c r="C504" s="32"/>
      <c r="D504" s="32"/>
      <c r="E504" s="32"/>
      <c r="F504" s="32"/>
      <c r="G504" s="32"/>
      <c r="H504" s="32"/>
      <c r="I504" s="32"/>
      <c r="J504" s="32"/>
      <c r="K504" s="32"/>
      <c r="L504" s="32"/>
      <c r="M504" s="32"/>
      <c r="N504" s="32"/>
      <c r="O504" s="32"/>
      <c r="P504" s="32"/>
      <c r="Q504" s="32"/>
      <c r="R504" s="32"/>
      <c r="S504" s="32"/>
      <c r="T504" s="32"/>
      <c r="U504" s="32"/>
      <c r="V504" s="32"/>
      <c r="W504" s="32"/>
      <c r="X504" s="32"/>
      <c r="Y504" s="32"/>
      <c r="Z504" s="32"/>
      <c r="AA504" s="32"/>
      <c r="AB504" s="32"/>
      <c r="AC504" s="32"/>
      <c r="AD504" s="32"/>
      <c r="AE504" s="32"/>
      <c r="AF504" s="32"/>
      <c r="AG504" s="32"/>
      <c r="AH504" s="32"/>
      <c r="AI504" s="32"/>
      <c r="AJ504" s="32"/>
    </row>
    <row r="505">
      <c r="A505" s="32"/>
      <c r="B505" s="32"/>
      <c r="C505" s="32"/>
      <c r="D505" s="32"/>
      <c r="E505" s="32"/>
      <c r="F505" s="32"/>
      <c r="G505" s="32"/>
      <c r="H505" s="32"/>
      <c r="I505" s="32"/>
      <c r="J505" s="32"/>
      <c r="K505" s="32"/>
      <c r="L505" s="32"/>
      <c r="M505" s="32"/>
      <c r="N505" s="32"/>
      <c r="O505" s="32"/>
      <c r="P505" s="32"/>
      <c r="Q505" s="32"/>
      <c r="R505" s="32"/>
      <c r="S505" s="32"/>
      <c r="T505" s="32"/>
      <c r="U505" s="32"/>
      <c r="V505" s="32"/>
      <c r="W505" s="32"/>
      <c r="X505" s="32"/>
      <c r="Y505" s="32"/>
      <c r="Z505" s="32"/>
      <c r="AA505" s="32"/>
      <c r="AB505" s="32"/>
      <c r="AC505" s="32"/>
      <c r="AD505" s="32"/>
      <c r="AE505" s="32"/>
      <c r="AF505" s="32"/>
      <c r="AG505" s="32"/>
      <c r="AH505" s="32"/>
      <c r="AI505" s="32"/>
      <c r="AJ505" s="32"/>
    </row>
    <row r="506">
      <c r="A506" s="32"/>
      <c r="B506" s="32"/>
      <c r="C506" s="32"/>
      <c r="D506" s="32"/>
      <c r="E506" s="32"/>
      <c r="F506" s="32"/>
      <c r="G506" s="32"/>
      <c r="H506" s="32"/>
      <c r="I506" s="32"/>
      <c r="J506" s="32"/>
      <c r="K506" s="32"/>
      <c r="L506" s="32"/>
      <c r="M506" s="32"/>
      <c r="N506" s="32"/>
      <c r="O506" s="32"/>
      <c r="P506" s="32"/>
      <c r="Q506" s="32"/>
      <c r="R506" s="32"/>
      <c r="S506" s="32"/>
      <c r="T506" s="32"/>
      <c r="U506" s="32"/>
      <c r="V506" s="32"/>
      <c r="W506" s="32"/>
      <c r="X506" s="32"/>
      <c r="Y506" s="32"/>
      <c r="Z506" s="32"/>
      <c r="AA506" s="32"/>
      <c r="AB506" s="32"/>
      <c r="AC506" s="32"/>
      <c r="AD506" s="32"/>
      <c r="AE506" s="32"/>
      <c r="AF506" s="32"/>
      <c r="AG506" s="32"/>
      <c r="AH506" s="32"/>
      <c r="AI506" s="32"/>
      <c r="AJ506" s="32"/>
    </row>
    <row r="507">
      <c r="A507" s="32"/>
      <c r="B507" s="32"/>
      <c r="C507" s="32"/>
      <c r="D507" s="32"/>
      <c r="E507" s="32"/>
      <c r="F507" s="32"/>
      <c r="G507" s="32"/>
      <c r="H507" s="32"/>
      <c r="I507" s="32"/>
      <c r="J507" s="32"/>
      <c r="K507" s="32"/>
      <c r="L507" s="32"/>
      <c r="M507" s="32"/>
      <c r="N507" s="32"/>
      <c r="O507" s="32"/>
      <c r="P507" s="32"/>
      <c r="Q507" s="32"/>
      <c r="R507" s="32"/>
      <c r="S507" s="32"/>
      <c r="T507" s="32"/>
      <c r="U507" s="32"/>
      <c r="V507" s="32"/>
      <c r="W507" s="32"/>
      <c r="X507" s="32"/>
      <c r="Y507" s="32"/>
      <c r="Z507" s="32"/>
      <c r="AA507" s="32"/>
      <c r="AB507" s="32"/>
      <c r="AC507" s="32"/>
      <c r="AD507" s="32"/>
      <c r="AE507" s="32"/>
      <c r="AF507" s="32"/>
      <c r="AG507" s="32"/>
      <c r="AH507" s="32"/>
      <c r="AI507" s="32"/>
      <c r="AJ507" s="32"/>
    </row>
    <row r="508">
      <c r="A508" s="32"/>
      <c r="B508" s="32"/>
      <c r="C508" s="32"/>
      <c r="D508" s="32"/>
      <c r="E508" s="32"/>
      <c r="F508" s="32"/>
      <c r="G508" s="32"/>
      <c r="H508" s="32"/>
      <c r="I508" s="32"/>
      <c r="J508" s="32"/>
      <c r="K508" s="32"/>
      <c r="L508" s="32"/>
      <c r="M508" s="32"/>
      <c r="N508" s="32"/>
      <c r="O508" s="32"/>
      <c r="P508" s="32"/>
      <c r="Q508" s="32"/>
      <c r="R508" s="32"/>
      <c r="S508" s="32"/>
      <c r="T508" s="32"/>
      <c r="U508" s="32"/>
      <c r="V508" s="32"/>
      <c r="W508" s="32"/>
      <c r="X508" s="32"/>
      <c r="Y508" s="32"/>
      <c r="Z508" s="32"/>
      <c r="AA508" s="32"/>
      <c r="AB508" s="32"/>
      <c r="AC508" s="32"/>
      <c r="AD508" s="32"/>
      <c r="AE508" s="32"/>
      <c r="AF508" s="32"/>
      <c r="AG508" s="32"/>
      <c r="AH508" s="32"/>
      <c r="AI508" s="32"/>
      <c r="AJ508" s="32"/>
    </row>
    <row r="509">
      <c r="A509" s="32"/>
      <c r="B509" s="32"/>
      <c r="C509" s="32"/>
      <c r="D509" s="32"/>
      <c r="E509" s="32"/>
      <c r="F509" s="32"/>
      <c r="G509" s="32"/>
      <c r="H509" s="32"/>
      <c r="I509" s="32"/>
      <c r="J509" s="32"/>
      <c r="K509" s="32"/>
      <c r="L509" s="32"/>
      <c r="M509" s="32"/>
      <c r="N509" s="32"/>
      <c r="O509" s="32"/>
      <c r="P509" s="32"/>
      <c r="Q509" s="32"/>
      <c r="R509" s="32"/>
      <c r="S509" s="32"/>
      <c r="T509" s="32"/>
      <c r="U509" s="32"/>
      <c r="V509" s="32"/>
      <c r="W509" s="32"/>
      <c r="X509" s="32"/>
      <c r="Y509" s="32"/>
      <c r="Z509" s="32"/>
      <c r="AA509" s="32"/>
      <c r="AB509" s="32"/>
      <c r="AC509" s="32"/>
      <c r="AD509" s="32"/>
      <c r="AE509" s="32"/>
      <c r="AF509" s="32"/>
      <c r="AG509" s="32"/>
      <c r="AH509" s="32"/>
      <c r="AI509" s="32"/>
      <c r="AJ509" s="32"/>
    </row>
    <row r="510">
      <c r="A510" s="32"/>
      <c r="B510" s="32"/>
      <c r="C510" s="32"/>
      <c r="D510" s="32"/>
      <c r="E510" s="32"/>
      <c r="F510" s="32"/>
      <c r="G510" s="32"/>
      <c r="H510" s="32"/>
      <c r="I510" s="32"/>
      <c r="J510" s="32"/>
      <c r="K510" s="32"/>
      <c r="L510" s="32"/>
      <c r="M510" s="32"/>
      <c r="N510" s="32"/>
      <c r="O510" s="32"/>
      <c r="P510" s="32"/>
      <c r="Q510" s="32"/>
      <c r="R510" s="32"/>
      <c r="S510" s="32"/>
      <c r="T510" s="32"/>
      <c r="U510" s="32"/>
      <c r="V510" s="32"/>
      <c r="W510" s="32"/>
      <c r="X510" s="32"/>
      <c r="Y510" s="32"/>
      <c r="Z510" s="32"/>
      <c r="AA510" s="32"/>
      <c r="AB510" s="32"/>
      <c r="AC510" s="32"/>
      <c r="AD510" s="32"/>
      <c r="AE510" s="32"/>
      <c r="AF510" s="32"/>
      <c r="AG510" s="32"/>
      <c r="AH510" s="32"/>
      <c r="AI510" s="32"/>
      <c r="AJ510" s="32"/>
    </row>
    <row r="511">
      <c r="A511" s="32"/>
      <c r="B511" s="32"/>
      <c r="C511" s="32"/>
      <c r="D511" s="32"/>
      <c r="E511" s="32"/>
      <c r="F511" s="32"/>
      <c r="G511" s="32"/>
      <c r="H511" s="32"/>
      <c r="I511" s="32"/>
      <c r="J511" s="32"/>
      <c r="K511" s="32"/>
      <c r="L511" s="32"/>
      <c r="M511" s="32"/>
      <c r="N511" s="32"/>
      <c r="O511" s="32"/>
      <c r="P511" s="32"/>
      <c r="Q511" s="32"/>
      <c r="R511" s="32"/>
      <c r="S511" s="32"/>
      <c r="T511" s="32"/>
      <c r="U511" s="32"/>
      <c r="V511" s="32"/>
      <c r="W511" s="32"/>
      <c r="X511" s="32"/>
      <c r="Y511" s="32"/>
      <c r="Z511" s="32"/>
      <c r="AA511" s="32"/>
      <c r="AB511" s="32"/>
      <c r="AC511" s="32"/>
      <c r="AD511" s="32"/>
      <c r="AE511" s="32"/>
      <c r="AF511" s="32"/>
      <c r="AG511" s="32"/>
      <c r="AH511" s="32"/>
      <c r="AI511" s="32"/>
      <c r="AJ511" s="32"/>
    </row>
    <row r="512">
      <c r="A512" s="32"/>
      <c r="B512" s="32"/>
      <c r="C512" s="32"/>
      <c r="D512" s="32"/>
      <c r="E512" s="32"/>
      <c r="F512" s="32"/>
      <c r="G512" s="32"/>
      <c r="H512" s="32"/>
      <c r="I512" s="32"/>
      <c r="J512" s="32"/>
      <c r="K512" s="32"/>
      <c r="L512" s="32"/>
      <c r="M512" s="32"/>
      <c r="N512" s="32"/>
      <c r="O512" s="32"/>
      <c r="P512" s="32"/>
      <c r="Q512" s="32"/>
      <c r="R512" s="32"/>
      <c r="S512" s="32"/>
      <c r="T512" s="32"/>
      <c r="U512" s="32"/>
      <c r="V512" s="32"/>
      <c r="W512" s="32"/>
      <c r="X512" s="32"/>
      <c r="Y512" s="32"/>
      <c r="Z512" s="32"/>
      <c r="AA512" s="32"/>
      <c r="AB512" s="32"/>
      <c r="AC512" s="32"/>
      <c r="AD512" s="32"/>
      <c r="AE512" s="32"/>
      <c r="AF512" s="32"/>
      <c r="AG512" s="32"/>
      <c r="AH512" s="32"/>
      <c r="AI512" s="32"/>
      <c r="AJ512" s="32"/>
    </row>
    <row r="513">
      <c r="A513" s="32"/>
      <c r="B513" s="32"/>
      <c r="C513" s="32"/>
      <c r="D513" s="32"/>
      <c r="E513" s="32"/>
      <c r="F513" s="32"/>
      <c r="G513" s="32"/>
      <c r="H513" s="32"/>
      <c r="I513" s="32"/>
      <c r="J513" s="32"/>
      <c r="K513" s="32"/>
      <c r="L513" s="32"/>
      <c r="M513" s="32"/>
      <c r="N513" s="32"/>
      <c r="O513" s="32"/>
      <c r="P513" s="32"/>
      <c r="Q513" s="32"/>
      <c r="R513" s="32"/>
      <c r="S513" s="32"/>
      <c r="T513" s="32"/>
      <c r="U513" s="32"/>
      <c r="V513" s="32"/>
      <c r="W513" s="32"/>
      <c r="X513" s="32"/>
      <c r="Y513" s="32"/>
      <c r="Z513" s="32"/>
      <c r="AA513" s="32"/>
      <c r="AB513" s="32"/>
      <c r="AC513" s="32"/>
      <c r="AD513" s="32"/>
      <c r="AE513" s="32"/>
      <c r="AF513" s="32"/>
      <c r="AG513" s="32"/>
      <c r="AH513" s="32"/>
      <c r="AI513" s="32"/>
      <c r="AJ513" s="32"/>
    </row>
    <row r="514">
      <c r="A514" s="32"/>
      <c r="B514" s="32"/>
      <c r="C514" s="32"/>
      <c r="D514" s="32"/>
      <c r="E514" s="32"/>
      <c r="F514" s="32"/>
      <c r="G514" s="32"/>
      <c r="H514" s="32"/>
      <c r="I514" s="32"/>
      <c r="J514" s="32"/>
      <c r="K514" s="32"/>
      <c r="L514" s="32"/>
      <c r="M514" s="32"/>
      <c r="N514" s="32"/>
      <c r="O514" s="32"/>
      <c r="P514" s="32"/>
      <c r="Q514" s="32"/>
      <c r="R514" s="32"/>
      <c r="S514" s="32"/>
      <c r="T514" s="32"/>
      <c r="U514" s="32"/>
      <c r="V514" s="32"/>
      <c r="W514" s="32"/>
      <c r="X514" s="32"/>
      <c r="Y514" s="32"/>
      <c r="Z514" s="32"/>
      <c r="AA514" s="32"/>
      <c r="AB514" s="32"/>
      <c r="AC514" s="32"/>
      <c r="AD514" s="32"/>
      <c r="AE514" s="32"/>
      <c r="AF514" s="32"/>
      <c r="AG514" s="32"/>
      <c r="AH514" s="32"/>
      <c r="AI514" s="32"/>
      <c r="AJ514" s="32"/>
    </row>
    <row r="515">
      <c r="A515" s="32"/>
      <c r="B515" s="32"/>
      <c r="C515" s="32"/>
      <c r="D515" s="32"/>
      <c r="E515" s="32"/>
      <c r="F515" s="32"/>
      <c r="G515" s="32"/>
      <c r="H515" s="32"/>
      <c r="I515" s="32"/>
      <c r="J515" s="32"/>
      <c r="K515" s="32"/>
      <c r="L515" s="32"/>
      <c r="M515" s="32"/>
      <c r="N515" s="32"/>
      <c r="O515" s="32"/>
      <c r="P515" s="32"/>
      <c r="Q515" s="32"/>
      <c r="R515" s="32"/>
      <c r="S515" s="32"/>
      <c r="T515" s="32"/>
      <c r="U515" s="32"/>
      <c r="V515" s="32"/>
      <c r="W515" s="32"/>
      <c r="X515" s="32"/>
      <c r="Y515" s="32"/>
      <c r="Z515" s="32"/>
      <c r="AA515" s="32"/>
      <c r="AB515" s="32"/>
      <c r="AC515" s="32"/>
      <c r="AD515" s="32"/>
      <c r="AE515" s="32"/>
      <c r="AF515" s="32"/>
      <c r="AG515" s="32"/>
      <c r="AH515" s="32"/>
      <c r="AI515" s="32"/>
      <c r="AJ515" s="32"/>
    </row>
    <row r="516">
      <c r="A516" s="32"/>
      <c r="B516" s="32"/>
      <c r="C516" s="32"/>
      <c r="D516" s="32"/>
      <c r="E516" s="32"/>
      <c r="F516" s="32"/>
      <c r="G516" s="32"/>
      <c r="H516" s="32"/>
      <c r="I516" s="32"/>
      <c r="J516" s="32"/>
      <c r="K516" s="32"/>
      <c r="L516" s="32"/>
      <c r="M516" s="32"/>
      <c r="N516" s="32"/>
      <c r="O516" s="32"/>
      <c r="P516" s="32"/>
      <c r="Q516" s="32"/>
      <c r="R516" s="32"/>
      <c r="S516" s="32"/>
      <c r="T516" s="32"/>
      <c r="U516" s="32"/>
      <c r="V516" s="32"/>
      <c r="W516" s="32"/>
      <c r="X516" s="32"/>
      <c r="Y516" s="32"/>
      <c r="Z516" s="32"/>
      <c r="AA516" s="32"/>
      <c r="AB516" s="32"/>
      <c r="AC516" s="32"/>
      <c r="AD516" s="32"/>
      <c r="AE516" s="32"/>
      <c r="AF516" s="32"/>
      <c r="AG516" s="32"/>
      <c r="AH516" s="32"/>
      <c r="AI516" s="32"/>
      <c r="AJ516" s="32"/>
    </row>
    <row r="517">
      <c r="A517" s="32"/>
      <c r="B517" s="32"/>
      <c r="C517" s="32"/>
      <c r="D517" s="32"/>
      <c r="E517" s="32"/>
      <c r="F517" s="32"/>
      <c r="G517" s="32"/>
      <c r="H517" s="32"/>
      <c r="I517" s="32"/>
      <c r="J517" s="32"/>
      <c r="K517" s="32"/>
      <c r="L517" s="32"/>
      <c r="M517" s="32"/>
      <c r="N517" s="32"/>
      <c r="O517" s="32"/>
      <c r="P517" s="32"/>
      <c r="Q517" s="32"/>
      <c r="R517" s="32"/>
      <c r="S517" s="32"/>
      <c r="T517" s="32"/>
      <c r="U517" s="32"/>
      <c r="V517" s="32"/>
      <c r="W517" s="32"/>
      <c r="X517" s="32"/>
      <c r="Y517" s="32"/>
      <c r="Z517" s="32"/>
      <c r="AA517" s="32"/>
      <c r="AB517" s="32"/>
      <c r="AC517" s="32"/>
      <c r="AD517" s="32"/>
      <c r="AE517" s="32"/>
      <c r="AF517" s="32"/>
      <c r="AG517" s="32"/>
      <c r="AH517" s="32"/>
      <c r="AI517" s="32"/>
      <c r="AJ517" s="32"/>
    </row>
    <row r="518">
      <c r="A518" s="32"/>
      <c r="B518" s="32"/>
      <c r="C518" s="32"/>
      <c r="D518" s="32"/>
      <c r="E518" s="32"/>
      <c r="F518" s="32"/>
      <c r="G518" s="32"/>
      <c r="H518" s="32"/>
      <c r="I518" s="32"/>
      <c r="J518" s="32"/>
      <c r="K518" s="32"/>
      <c r="L518" s="32"/>
      <c r="M518" s="32"/>
      <c r="N518" s="32"/>
      <c r="O518" s="32"/>
      <c r="P518" s="32"/>
      <c r="Q518" s="32"/>
      <c r="R518" s="32"/>
      <c r="S518" s="32"/>
      <c r="T518" s="32"/>
      <c r="U518" s="32"/>
      <c r="V518" s="32"/>
      <c r="W518" s="32"/>
      <c r="X518" s="32"/>
      <c r="Y518" s="32"/>
      <c r="Z518" s="32"/>
      <c r="AA518" s="32"/>
      <c r="AB518" s="32"/>
      <c r="AC518" s="32"/>
      <c r="AD518" s="32"/>
      <c r="AE518" s="32"/>
      <c r="AF518" s="32"/>
      <c r="AG518" s="32"/>
      <c r="AH518" s="32"/>
      <c r="AI518" s="32"/>
      <c r="AJ518" s="32"/>
    </row>
    <row r="519">
      <c r="A519" s="32"/>
      <c r="B519" s="32"/>
      <c r="C519" s="32"/>
      <c r="D519" s="32"/>
      <c r="E519" s="32"/>
      <c r="F519" s="32"/>
      <c r="G519" s="32"/>
      <c r="H519" s="32"/>
      <c r="I519" s="32"/>
      <c r="J519" s="32"/>
      <c r="K519" s="32"/>
      <c r="L519" s="32"/>
      <c r="M519" s="32"/>
      <c r="N519" s="32"/>
      <c r="O519" s="32"/>
      <c r="P519" s="32"/>
      <c r="Q519" s="32"/>
      <c r="R519" s="32"/>
      <c r="S519" s="32"/>
      <c r="T519" s="32"/>
      <c r="U519" s="32"/>
      <c r="V519" s="32"/>
      <c r="W519" s="32"/>
      <c r="X519" s="32"/>
      <c r="Y519" s="32"/>
      <c r="Z519" s="32"/>
      <c r="AA519" s="32"/>
      <c r="AB519" s="32"/>
      <c r="AC519" s="32"/>
      <c r="AD519" s="32"/>
      <c r="AE519" s="32"/>
      <c r="AF519" s="32"/>
      <c r="AG519" s="32"/>
      <c r="AH519" s="32"/>
      <c r="AI519" s="32"/>
      <c r="AJ519" s="32"/>
    </row>
    <row r="520">
      <c r="A520" s="32"/>
      <c r="B520" s="32"/>
      <c r="C520" s="32"/>
      <c r="D520" s="32"/>
      <c r="E520" s="32"/>
      <c r="F520" s="32"/>
      <c r="G520" s="32"/>
      <c r="H520" s="32"/>
      <c r="I520" s="32"/>
      <c r="J520" s="32"/>
      <c r="K520" s="32"/>
      <c r="L520" s="32"/>
      <c r="M520" s="32"/>
      <c r="N520" s="32"/>
      <c r="O520" s="32"/>
      <c r="P520" s="32"/>
      <c r="Q520" s="32"/>
      <c r="R520" s="32"/>
      <c r="S520" s="32"/>
      <c r="T520" s="32"/>
      <c r="U520" s="32"/>
      <c r="V520" s="32"/>
      <c r="W520" s="32"/>
      <c r="X520" s="32"/>
      <c r="Y520" s="32"/>
      <c r="Z520" s="32"/>
      <c r="AA520" s="32"/>
      <c r="AB520" s="32"/>
      <c r="AC520" s="32"/>
      <c r="AD520" s="32"/>
      <c r="AE520" s="32"/>
      <c r="AF520" s="32"/>
      <c r="AG520" s="32"/>
      <c r="AH520" s="32"/>
      <c r="AI520" s="32"/>
      <c r="AJ520" s="32"/>
    </row>
    <row r="521">
      <c r="A521" s="32"/>
      <c r="B521" s="32"/>
      <c r="C521" s="32"/>
      <c r="D521" s="32"/>
      <c r="E521" s="32"/>
      <c r="F521" s="32"/>
      <c r="G521" s="32"/>
      <c r="H521" s="32"/>
      <c r="I521" s="32"/>
      <c r="J521" s="32"/>
      <c r="K521" s="32"/>
      <c r="L521" s="32"/>
      <c r="M521" s="32"/>
      <c r="N521" s="32"/>
      <c r="O521" s="32"/>
      <c r="P521" s="32"/>
      <c r="Q521" s="32"/>
      <c r="R521" s="32"/>
      <c r="S521" s="32"/>
      <c r="T521" s="32"/>
      <c r="U521" s="32"/>
      <c r="V521" s="32"/>
      <c r="W521" s="32"/>
      <c r="X521" s="32"/>
      <c r="Y521" s="32"/>
      <c r="Z521" s="32"/>
      <c r="AA521" s="32"/>
      <c r="AB521" s="32"/>
      <c r="AC521" s="32"/>
      <c r="AD521" s="32"/>
      <c r="AE521" s="32"/>
      <c r="AF521" s="32"/>
      <c r="AG521" s="32"/>
      <c r="AH521" s="32"/>
      <c r="AI521" s="32"/>
      <c r="AJ521" s="32"/>
    </row>
    <row r="522">
      <c r="A522" s="32"/>
      <c r="B522" s="32"/>
      <c r="C522" s="32"/>
      <c r="D522" s="32"/>
      <c r="E522" s="32"/>
      <c r="F522" s="32"/>
      <c r="G522" s="32"/>
      <c r="H522" s="32"/>
      <c r="I522" s="32"/>
      <c r="J522" s="32"/>
      <c r="K522" s="32"/>
      <c r="L522" s="32"/>
      <c r="M522" s="32"/>
      <c r="N522" s="32"/>
      <c r="O522" s="32"/>
      <c r="P522" s="32"/>
      <c r="Q522" s="32"/>
      <c r="R522" s="32"/>
      <c r="S522" s="32"/>
      <c r="T522" s="32"/>
      <c r="U522" s="32"/>
      <c r="V522" s="32"/>
      <c r="W522" s="32"/>
      <c r="X522" s="32"/>
      <c r="Y522" s="32"/>
      <c r="Z522" s="32"/>
      <c r="AA522" s="32"/>
      <c r="AB522" s="32"/>
      <c r="AC522" s="32"/>
      <c r="AD522" s="32"/>
      <c r="AE522" s="32"/>
      <c r="AF522" s="32"/>
      <c r="AG522" s="32"/>
      <c r="AH522" s="32"/>
      <c r="AI522" s="32"/>
      <c r="AJ522" s="32"/>
    </row>
    <row r="523">
      <c r="A523" s="32"/>
      <c r="B523" s="32"/>
      <c r="C523" s="32"/>
      <c r="D523" s="32"/>
      <c r="E523" s="32"/>
      <c r="F523" s="32"/>
      <c r="G523" s="32"/>
      <c r="H523" s="32"/>
      <c r="I523" s="32"/>
      <c r="J523" s="32"/>
      <c r="K523" s="32"/>
      <c r="L523" s="32"/>
      <c r="M523" s="32"/>
      <c r="N523" s="32"/>
      <c r="O523" s="32"/>
      <c r="P523" s="32"/>
      <c r="Q523" s="32"/>
      <c r="R523" s="32"/>
      <c r="S523" s="32"/>
      <c r="T523" s="32"/>
      <c r="U523" s="32"/>
      <c r="V523" s="32"/>
      <c r="W523" s="32"/>
      <c r="X523" s="32"/>
      <c r="Y523" s="32"/>
      <c r="Z523" s="32"/>
      <c r="AA523" s="32"/>
      <c r="AB523" s="32"/>
      <c r="AC523" s="32"/>
      <c r="AD523" s="32"/>
      <c r="AE523" s="32"/>
      <c r="AF523" s="32"/>
      <c r="AG523" s="32"/>
      <c r="AH523" s="32"/>
      <c r="AI523" s="32"/>
      <c r="AJ523" s="32"/>
    </row>
    <row r="524">
      <c r="A524" s="32"/>
      <c r="B524" s="32"/>
      <c r="C524" s="32"/>
      <c r="D524" s="32"/>
      <c r="E524" s="32"/>
      <c r="F524" s="32"/>
      <c r="G524" s="32"/>
      <c r="H524" s="32"/>
      <c r="I524" s="32"/>
      <c r="J524" s="32"/>
      <c r="K524" s="32"/>
      <c r="L524" s="32"/>
      <c r="M524" s="32"/>
      <c r="N524" s="32"/>
      <c r="O524" s="32"/>
      <c r="P524" s="32"/>
      <c r="Q524" s="32"/>
      <c r="R524" s="32"/>
      <c r="S524" s="32"/>
      <c r="T524" s="32"/>
      <c r="U524" s="32"/>
      <c r="V524" s="32"/>
      <c r="W524" s="32"/>
      <c r="X524" s="32"/>
      <c r="Y524" s="32"/>
      <c r="Z524" s="32"/>
      <c r="AA524" s="32"/>
      <c r="AB524" s="32"/>
      <c r="AC524" s="32"/>
      <c r="AD524" s="32"/>
      <c r="AE524" s="32"/>
      <c r="AF524" s="32"/>
      <c r="AG524" s="32"/>
      <c r="AH524" s="32"/>
      <c r="AI524" s="32"/>
      <c r="AJ524" s="32"/>
    </row>
    <row r="525">
      <c r="A525" s="32"/>
      <c r="B525" s="32"/>
      <c r="C525" s="32"/>
      <c r="D525" s="32"/>
      <c r="E525" s="32"/>
      <c r="F525" s="32"/>
      <c r="G525" s="32"/>
      <c r="H525" s="32"/>
      <c r="I525" s="32"/>
      <c r="J525" s="32"/>
      <c r="K525" s="32"/>
      <c r="L525" s="32"/>
      <c r="M525" s="32"/>
      <c r="N525" s="32"/>
      <c r="O525" s="32"/>
      <c r="P525" s="32"/>
      <c r="Q525" s="32"/>
      <c r="R525" s="32"/>
      <c r="S525" s="32"/>
      <c r="T525" s="32"/>
      <c r="U525" s="32"/>
      <c r="V525" s="32"/>
      <c r="W525" s="32"/>
      <c r="X525" s="32"/>
      <c r="Y525" s="32"/>
      <c r="Z525" s="32"/>
      <c r="AA525" s="32"/>
      <c r="AB525" s="32"/>
      <c r="AC525" s="32"/>
      <c r="AD525" s="32"/>
      <c r="AE525" s="32"/>
      <c r="AF525" s="32"/>
      <c r="AG525" s="32"/>
      <c r="AH525" s="32"/>
      <c r="AI525" s="32"/>
      <c r="AJ525" s="32"/>
    </row>
    <row r="526">
      <c r="A526" s="32"/>
      <c r="B526" s="32"/>
      <c r="C526" s="32"/>
      <c r="D526" s="32"/>
      <c r="E526" s="32"/>
      <c r="F526" s="32"/>
      <c r="G526" s="32"/>
      <c r="H526" s="32"/>
      <c r="I526" s="32"/>
      <c r="J526" s="32"/>
      <c r="K526" s="32"/>
      <c r="L526" s="32"/>
      <c r="M526" s="32"/>
      <c r="N526" s="32"/>
      <c r="O526" s="32"/>
      <c r="P526" s="32"/>
      <c r="Q526" s="32"/>
      <c r="R526" s="32"/>
      <c r="S526" s="32"/>
      <c r="T526" s="32"/>
      <c r="U526" s="32"/>
      <c r="V526" s="32"/>
      <c r="W526" s="32"/>
      <c r="X526" s="32"/>
      <c r="Y526" s="32"/>
      <c r="Z526" s="32"/>
      <c r="AA526" s="32"/>
      <c r="AB526" s="32"/>
      <c r="AC526" s="32"/>
      <c r="AD526" s="32"/>
      <c r="AE526" s="32"/>
      <c r="AF526" s="32"/>
      <c r="AG526" s="32"/>
      <c r="AH526" s="32"/>
      <c r="AI526" s="32"/>
      <c r="AJ526" s="32"/>
    </row>
    <row r="527">
      <c r="A527" s="32"/>
      <c r="B527" s="32"/>
      <c r="C527" s="32"/>
      <c r="D527" s="32"/>
      <c r="E527" s="32"/>
      <c r="F527" s="32"/>
      <c r="G527" s="32"/>
      <c r="H527" s="32"/>
      <c r="I527" s="32"/>
      <c r="J527" s="32"/>
      <c r="K527" s="32"/>
      <c r="L527" s="32"/>
      <c r="M527" s="32"/>
      <c r="N527" s="32"/>
      <c r="O527" s="32"/>
      <c r="P527" s="32"/>
      <c r="Q527" s="32"/>
      <c r="R527" s="32"/>
      <c r="S527" s="32"/>
      <c r="T527" s="32"/>
      <c r="U527" s="32"/>
      <c r="V527" s="32"/>
      <c r="W527" s="32"/>
      <c r="X527" s="32"/>
      <c r="Y527" s="32"/>
      <c r="Z527" s="32"/>
      <c r="AA527" s="32"/>
      <c r="AB527" s="32"/>
      <c r="AC527" s="32"/>
      <c r="AD527" s="32"/>
      <c r="AE527" s="32"/>
      <c r="AF527" s="32"/>
      <c r="AG527" s="32"/>
      <c r="AH527" s="32"/>
      <c r="AI527" s="32"/>
      <c r="AJ527" s="32"/>
    </row>
    <row r="528">
      <c r="A528" s="32"/>
      <c r="B528" s="32"/>
      <c r="C528" s="32"/>
      <c r="D528" s="32"/>
      <c r="E528" s="32"/>
      <c r="F528" s="32"/>
      <c r="G528" s="32"/>
      <c r="H528" s="32"/>
      <c r="I528" s="32"/>
      <c r="J528" s="32"/>
      <c r="K528" s="32"/>
      <c r="L528" s="32"/>
      <c r="M528" s="32"/>
      <c r="N528" s="32"/>
      <c r="O528" s="32"/>
      <c r="P528" s="32"/>
      <c r="Q528" s="32"/>
      <c r="R528" s="32"/>
      <c r="S528" s="32"/>
      <c r="T528" s="32"/>
      <c r="U528" s="32"/>
      <c r="V528" s="32"/>
      <c r="W528" s="32"/>
      <c r="X528" s="32"/>
      <c r="Y528" s="32"/>
      <c r="Z528" s="32"/>
      <c r="AA528" s="32"/>
      <c r="AB528" s="32"/>
      <c r="AC528" s="32"/>
      <c r="AD528" s="32"/>
      <c r="AE528" s="32"/>
      <c r="AF528" s="32"/>
      <c r="AG528" s="32"/>
      <c r="AH528" s="32"/>
      <c r="AI528" s="32"/>
      <c r="AJ528" s="32"/>
    </row>
    <row r="529">
      <c r="A529" s="32"/>
      <c r="B529" s="32"/>
      <c r="C529" s="32"/>
      <c r="D529" s="32"/>
      <c r="E529" s="32"/>
      <c r="F529" s="32"/>
      <c r="G529" s="32"/>
      <c r="H529" s="32"/>
      <c r="I529" s="32"/>
      <c r="J529" s="32"/>
      <c r="K529" s="32"/>
      <c r="L529" s="32"/>
      <c r="M529" s="32"/>
      <c r="N529" s="32"/>
      <c r="O529" s="32"/>
      <c r="P529" s="32"/>
      <c r="Q529" s="32"/>
      <c r="R529" s="32"/>
      <c r="S529" s="32"/>
      <c r="T529" s="32"/>
      <c r="U529" s="32"/>
      <c r="V529" s="32"/>
      <c r="W529" s="32"/>
      <c r="X529" s="32"/>
      <c r="Y529" s="32"/>
      <c r="Z529" s="32"/>
      <c r="AA529" s="32"/>
      <c r="AB529" s="32"/>
      <c r="AC529" s="32"/>
      <c r="AD529" s="32"/>
      <c r="AE529" s="32"/>
      <c r="AF529" s="32"/>
      <c r="AG529" s="32"/>
      <c r="AH529" s="32"/>
      <c r="AI529" s="32"/>
      <c r="AJ529" s="32"/>
    </row>
    <row r="530">
      <c r="A530" s="32"/>
      <c r="B530" s="32"/>
      <c r="C530" s="32"/>
      <c r="D530" s="32"/>
      <c r="E530" s="32"/>
      <c r="F530" s="32"/>
      <c r="G530" s="32"/>
      <c r="H530" s="32"/>
      <c r="I530" s="32"/>
      <c r="J530" s="32"/>
      <c r="K530" s="32"/>
      <c r="L530" s="32"/>
      <c r="M530" s="32"/>
      <c r="N530" s="32"/>
      <c r="O530" s="32"/>
      <c r="P530" s="32"/>
      <c r="Q530" s="32"/>
      <c r="R530" s="32"/>
      <c r="S530" s="32"/>
      <c r="T530" s="32"/>
      <c r="U530" s="32"/>
      <c r="V530" s="32"/>
      <c r="W530" s="32"/>
      <c r="X530" s="32"/>
      <c r="Y530" s="32"/>
      <c r="Z530" s="32"/>
      <c r="AA530" s="32"/>
      <c r="AB530" s="32"/>
      <c r="AC530" s="32"/>
      <c r="AD530" s="32"/>
      <c r="AE530" s="32"/>
      <c r="AF530" s="32"/>
      <c r="AG530" s="32"/>
      <c r="AH530" s="32"/>
      <c r="AI530" s="32"/>
      <c r="AJ530" s="32"/>
    </row>
    <row r="531">
      <c r="A531" s="32"/>
      <c r="B531" s="32"/>
      <c r="C531" s="32"/>
      <c r="D531" s="32"/>
      <c r="E531" s="32"/>
      <c r="F531" s="32"/>
      <c r="G531" s="32"/>
      <c r="H531" s="32"/>
      <c r="I531" s="32"/>
      <c r="J531" s="32"/>
      <c r="K531" s="32"/>
      <c r="L531" s="32"/>
      <c r="M531" s="32"/>
      <c r="N531" s="32"/>
      <c r="O531" s="32"/>
      <c r="P531" s="32"/>
      <c r="Q531" s="32"/>
      <c r="R531" s="32"/>
      <c r="S531" s="32"/>
      <c r="T531" s="32"/>
      <c r="U531" s="32"/>
      <c r="V531" s="32"/>
      <c r="W531" s="32"/>
      <c r="X531" s="32"/>
      <c r="Y531" s="32"/>
      <c r="Z531" s="32"/>
      <c r="AA531" s="32"/>
      <c r="AB531" s="32"/>
      <c r="AC531" s="32"/>
      <c r="AD531" s="32"/>
      <c r="AE531" s="32"/>
      <c r="AF531" s="32"/>
      <c r="AG531" s="32"/>
      <c r="AH531" s="32"/>
      <c r="AI531" s="32"/>
      <c r="AJ531" s="32"/>
    </row>
    <row r="532">
      <c r="A532" s="32"/>
      <c r="B532" s="32"/>
      <c r="C532" s="32"/>
      <c r="D532" s="32"/>
      <c r="E532" s="32"/>
      <c r="F532" s="32"/>
      <c r="G532" s="32"/>
      <c r="H532" s="32"/>
      <c r="I532" s="32"/>
      <c r="J532" s="32"/>
      <c r="K532" s="32"/>
      <c r="L532" s="32"/>
      <c r="M532" s="32"/>
      <c r="N532" s="32"/>
      <c r="O532" s="32"/>
      <c r="P532" s="32"/>
      <c r="Q532" s="32"/>
      <c r="R532" s="32"/>
      <c r="S532" s="32"/>
      <c r="T532" s="32"/>
      <c r="U532" s="32"/>
      <c r="V532" s="32"/>
      <c r="W532" s="32"/>
      <c r="X532" s="32"/>
      <c r="Y532" s="32"/>
      <c r="Z532" s="32"/>
      <c r="AA532" s="32"/>
      <c r="AB532" s="32"/>
      <c r="AC532" s="32"/>
      <c r="AD532" s="32"/>
      <c r="AE532" s="32"/>
      <c r="AF532" s="32"/>
      <c r="AG532" s="32"/>
      <c r="AH532" s="32"/>
      <c r="AI532" s="32"/>
      <c r="AJ532" s="32"/>
    </row>
    <row r="533">
      <c r="A533" s="32"/>
      <c r="B533" s="32"/>
      <c r="C533" s="32"/>
      <c r="D533" s="32"/>
      <c r="E533" s="32"/>
      <c r="F533" s="32"/>
      <c r="G533" s="32"/>
      <c r="H533" s="32"/>
      <c r="I533" s="32"/>
      <c r="J533" s="32"/>
      <c r="K533" s="32"/>
      <c r="L533" s="32"/>
      <c r="M533" s="32"/>
      <c r="N533" s="32"/>
      <c r="O533" s="32"/>
      <c r="P533" s="32"/>
      <c r="Q533" s="32"/>
      <c r="R533" s="32"/>
      <c r="S533" s="32"/>
      <c r="T533" s="32"/>
      <c r="U533" s="32"/>
      <c r="V533" s="32"/>
      <c r="W533" s="32"/>
      <c r="X533" s="32"/>
      <c r="Y533" s="32"/>
      <c r="Z533" s="32"/>
      <c r="AA533" s="32"/>
      <c r="AB533" s="32"/>
      <c r="AC533" s="32"/>
      <c r="AD533" s="32"/>
      <c r="AE533" s="32"/>
      <c r="AF533" s="32"/>
      <c r="AG533" s="32"/>
      <c r="AH533" s="32"/>
      <c r="AI533" s="32"/>
      <c r="AJ533" s="32"/>
    </row>
    <row r="534">
      <c r="A534" s="32"/>
      <c r="B534" s="32"/>
      <c r="C534" s="32"/>
      <c r="D534" s="32"/>
      <c r="E534" s="32"/>
      <c r="F534" s="32"/>
      <c r="G534" s="32"/>
      <c r="H534" s="32"/>
      <c r="I534" s="32"/>
      <c r="J534" s="32"/>
      <c r="K534" s="32"/>
      <c r="L534" s="32"/>
      <c r="M534" s="32"/>
      <c r="N534" s="32"/>
      <c r="O534" s="32"/>
      <c r="P534" s="32"/>
      <c r="Q534" s="32"/>
      <c r="R534" s="32"/>
      <c r="S534" s="32"/>
      <c r="T534" s="32"/>
      <c r="U534" s="32"/>
      <c r="V534" s="32"/>
      <c r="W534" s="32"/>
      <c r="X534" s="32"/>
      <c r="Y534" s="32"/>
      <c r="Z534" s="32"/>
      <c r="AA534" s="32"/>
      <c r="AB534" s="32"/>
      <c r="AC534" s="32"/>
      <c r="AD534" s="32"/>
      <c r="AE534" s="32"/>
      <c r="AF534" s="32"/>
      <c r="AG534" s="32"/>
      <c r="AH534" s="32"/>
      <c r="AI534" s="32"/>
      <c r="AJ534" s="32"/>
    </row>
    <row r="535">
      <c r="A535" s="32"/>
      <c r="B535" s="32"/>
      <c r="C535" s="32"/>
      <c r="D535" s="32"/>
      <c r="E535" s="32"/>
      <c r="F535" s="32"/>
      <c r="G535" s="32"/>
      <c r="H535" s="32"/>
      <c r="I535" s="32"/>
      <c r="J535" s="32"/>
      <c r="K535" s="32"/>
      <c r="L535" s="32"/>
      <c r="M535" s="32"/>
      <c r="N535" s="32"/>
      <c r="O535" s="32"/>
      <c r="P535" s="32"/>
      <c r="Q535" s="32"/>
      <c r="R535" s="32"/>
      <c r="S535" s="32"/>
      <c r="T535" s="32"/>
      <c r="U535" s="32"/>
      <c r="V535" s="32"/>
      <c r="W535" s="32"/>
      <c r="X535" s="32"/>
      <c r="Y535" s="32"/>
      <c r="Z535" s="32"/>
      <c r="AA535" s="32"/>
      <c r="AB535" s="32"/>
      <c r="AC535" s="32"/>
      <c r="AD535" s="32"/>
      <c r="AE535" s="32"/>
      <c r="AF535" s="32"/>
      <c r="AG535" s="32"/>
      <c r="AH535" s="32"/>
      <c r="AI535" s="32"/>
      <c r="AJ535" s="32"/>
    </row>
    <row r="536">
      <c r="A536" s="32"/>
      <c r="B536" s="32"/>
      <c r="C536" s="32"/>
      <c r="D536" s="32"/>
      <c r="E536" s="32"/>
      <c r="F536" s="32"/>
      <c r="G536" s="32"/>
      <c r="H536" s="32"/>
      <c r="I536" s="32"/>
      <c r="J536" s="32"/>
      <c r="K536" s="32"/>
      <c r="L536" s="32"/>
      <c r="M536" s="32"/>
      <c r="N536" s="32"/>
      <c r="O536" s="32"/>
      <c r="P536" s="32"/>
      <c r="Q536" s="32"/>
      <c r="R536" s="32"/>
      <c r="S536" s="32"/>
      <c r="T536" s="32"/>
      <c r="U536" s="32"/>
      <c r="V536" s="32"/>
      <c r="W536" s="32"/>
      <c r="X536" s="32"/>
      <c r="Y536" s="32"/>
      <c r="Z536" s="32"/>
      <c r="AA536" s="32"/>
      <c r="AB536" s="32"/>
      <c r="AC536" s="32"/>
      <c r="AD536" s="32"/>
      <c r="AE536" s="32"/>
      <c r="AF536" s="32"/>
      <c r="AG536" s="32"/>
      <c r="AH536" s="32"/>
      <c r="AI536" s="32"/>
      <c r="AJ536" s="32"/>
    </row>
    <row r="537">
      <c r="A537" s="32"/>
      <c r="B537" s="32"/>
      <c r="C537" s="32"/>
      <c r="D537" s="32"/>
      <c r="E537" s="32"/>
      <c r="F537" s="32"/>
      <c r="G537" s="32"/>
      <c r="H537" s="32"/>
      <c r="I537" s="32"/>
      <c r="J537" s="32"/>
      <c r="K537" s="32"/>
      <c r="L537" s="32"/>
      <c r="M537" s="32"/>
      <c r="N537" s="32"/>
      <c r="O537" s="32"/>
      <c r="P537" s="32"/>
      <c r="Q537" s="32"/>
      <c r="R537" s="32"/>
      <c r="S537" s="32"/>
      <c r="T537" s="32"/>
      <c r="U537" s="32"/>
      <c r="V537" s="32"/>
      <c r="W537" s="32"/>
      <c r="X537" s="32"/>
      <c r="Y537" s="32"/>
      <c r="Z537" s="32"/>
      <c r="AA537" s="32"/>
      <c r="AB537" s="32"/>
      <c r="AC537" s="32"/>
      <c r="AD537" s="32"/>
      <c r="AE537" s="32"/>
      <c r="AF537" s="32"/>
      <c r="AG537" s="32"/>
      <c r="AH537" s="32"/>
      <c r="AI537" s="32"/>
      <c r="AJ537" s="32"/>
    </row>
    <row r="538">
      <c r="A538" s="32"/>
      <c r="B538" s="32"/>
      <c r="C538" s="32"/>
      <c r="D538" s="32"/>
      <c r="E538" s="32"/>
      <c r="F538" s="32"/>
      <c r="G538" s="32"/>
      <c r="H538" s="32"/>
      <c r="I538" s="32"/>
      <c r="J538" s="32"/>
      <c r="K538" s="32"/>
      <c r="L538" s="32"/>
      <c r="M538" s="32"/>
      <c r="N538" s="32"/>
      <c r="O538" s="32"/>
      <c r="P538" s="32"/>
      <c r="Q538" s="32"/>
      <c r="R538" s="32"/>
      <c r="S538" s="32"/>
      <c r="T538" s="32"/>
      <c r="U538" s="32"/>
      <c r="V538" s="32"/>
      <c r="W538" s="32"/>
      <c r="X538" s="32"/>
      <c r="Y538" s="32"/>
      <c r="Z538" s="32"/>
      <c r="AA538" s="32"/>
      <c r="AB538" s="32"/>
      <c r="AC538" s="32"/>
      <c r="AD538" s="32"/>
      <c r="AE538" s="32"/>
      <c r="AF538" s="32"/>
      <c r="AG538" s="32"/>
      <c r="AH538" s="32"/>
      <c r="AI538" s="32"/>
      <c r="AJ538" s="32"/>
    </row>
    <row r="539">
      <c r="A539" s="32"/>
      <c r="B539" s="32"/>
      <c r="C539" s="32"/>
      <c r="D539" s="32"/>
      <c r="E539" s="32"/>
      <c r="F539" s="32"/>
      <c r="G539" s="32"/>
      <c r="H539" s="32"/>
      <c r="I539" s="32"/>
      <c r="J539" s="32"/>
      <c r="K539" s="32"/>
      <c r="L539" s="32"/>
      <c r="M539" s="32"/>
      <c r="N539" s="32"/>
      <c r="O539" s="32"/>
      <c r="P539" s="32"/>
      <c r="Q539" s="32"/>
      <c r="R539" s="32"/>
      <c r="S539" s="32"/>
      <c r="T539" s="32"/>
      <c r="U539" s="32"/>
      <c r="V539" s="32"/>
      <c r="W539" s="32"/>
      <c r="X539" s="32"/>
      <c r="Y539" s="32"/>
      <c r="Z539" s="32"/>
      <c r="AA539" s="32"/>
      <c r="AB539" s="32"/>
      <c r="AC539" s="32"/>
      <c r="AD539" s="32"/>
      <c r="AE539" s="32"/>
      <c r="AF539" s="32"/>
      <c r="AG539" s="32"/>
      <c r="AH539" s="32"/>
      <c r="AI539" s="32"/>
      <c r="AJ539" s="32"/>
    </row>
    <row r="540">
      <c r="A540" s="32"/>
      <c r="B540" s="32"/>
      <c r="C540" s="32"/>
      <c r="D540" s="32"/>
      <c r="E540" s="32"/>
      <c r="F540" s="32"/>
      <c r="G540" s="32"/>
      <c r="H540" s="32"/>
      <c r="I540" s="32"/>
      <c r="J540" s="32"/>
      <c r="K540" s="32"/>
      <c r="L540" s="32"/>
      <c r="M540" s="32"/>
      <c r="N540" s="32"/>
      <c r="O540" s="32"/>
      <c r="P540" s="32"/>
      <c r="Q540" s="32"/>
      <c r="R540" s="32"/>
      <c r="S540" s="32"/>
      <c r="T540" s="32"/>
      <c r="U540" s="32"/>
      <c r="V540" s="32"/>
      <c r="W540" s="32"/>
      <c r="X540" s="32"/>
      <c r="Y540" s="32"/>
      <c r="Z540" s="32"/>
      <c r="AA540" s="32"/>
      <c r="AB540" s="32"/>
      <c r="AC540" s="32"/>
      <c r="AD540" s="32"/>
      <c r="AE540" s="32"/>
      <c r="AF540" s="32"/>
      <c r="AG540" s="32"/>
      <c r="AH540" s="32"/>
      <c r="AI540" s="32"/>
      <c r="AJ540" s="32"/>
    </row>
    <row r="541">
      <c r="A541" s="32"/>
      <c r="B541" s="32"/>
      <c r="C541" s="32"/>
      <c r="D541" s="32"/>
      <c r="E541" s="32"/>
      <c r="F541" s="32"/>
      <c r="G541" s="32"/>
      <c r="H541" s="32"/>
      <c r="I541" s="32"/>
      <c r="J541" s="32"/>
      <c r="K541" s="32"/>
      <c r="L541" s="32"/>
      <c r="M541" s="32"/>
      <c r="N541" s="32"/>
      <c r="O541" s="32"/>
      <c r="P541" s="32"/>
      <c r="Q541" s="32"/>
      <c r="R541" s="32"/>
      <c r="S541" s="32"/>
      <c r="T541" s="32"/>
      <c r="U541" s="32"/>
      <c r="V541" s="32"/>
      <c r="W541" s="32"/>
      <c r="X541" s="32"/>
      <c r="Y541" s="32"/>
      <c r="Z541" s="32"/>
      <c r="AA541" s="32"/>
      <c r="AB541" s="32"/>
      <c r="AC541" s="32"/>
      <c r="AD541" s="32"/>
      <c r="AE541" s="32"/>
      <c r="AF541" s="32"/>
      <c r="AG541" s="32"/>
      <c r="AH541" s="32"/>
      <c r="AI541" s="32"/>
      <c r="AJ541" s="32"/>
    </row>
    <row r="542">
      <c r="A542" s="32"/>
      <c r="B542" s="32"/>
      <c r="C542" s="32"/>
      <c r="D542" s="32"/>
      <c r="E542" s="32"/>
      <c r="F542" s="32"/>
      <c r="G542" s="32"/>
      <c r="H542" s="32"/>
      <c r="I542" s="32"/>
      <c r="J542" s="32"/>
      <c r="K542" s="32"/>
      <c r="L542" s="32"/>
      <c r="M542" s="32"/>
      <c r="N542" s="32"/>
      <c r="O542" s="32"/>
      <c r="P542" s="32"/>
      <c r="Q542" s="32"/>
      <c r="R542" s="32"/>
      <c r="S542" s="32"/>
      <c r="T542" s="32"/>
      <c r="U542" s="32"/>
      <c r="V542" s="32"/>
      <c r="W542" s="32"/>
      <c r="X542" s="32"/>
      <c r="Y542" s="32"/>
      <c r="Z542" s="32"/>
      <c r="AA542" s="32"/>
      <c r="AB542" s="32"/>
      <c r="AC542" s="32"/>
      <c r="AD542" s="32"/>
      <c r="AE542" s="32"/>
      <c r="AF542" s="32"/>
      <c r="AG542" s="32"/>
      <c r="AH542" s="32"/>
      <c r="AI542" s="32"/>
      <c r="AJ542" s="32"/>
    </row>
    <row r="543">
      <c r="A543" s="32"/>
      <c r="B543" s="32"/>
      <c r="C543" s="32"/>
      <c r="D543" s="32"/>
      <c r="E543" s="32"/>
      <c r="F543" s="32"/>
      <c r="G543" s="32"/>
      <c r="H543" s="32"/>
      <c r="I543" s="32"/>
      <c r="J543" s="32"/>
      <c r="K543" s="32"/>
      <c r="L543" s="32"/>
      <c r="M543" s="32"/>
      <c r="N543" s="32"/>
      <c r="O543" s="32"/>
      <c r="P543" s="32"/>
      <c r="Q543" s="32"/>
      <c r="R543" s="32"/>
      <c r="S543" s="32"/>
      <c r="T543" s="32"/>
      <c r="U543" s="32"/>
      <c r="V543" s="32"/>
      <c r="W543" s="32"/>
      <c r="X543" s="32"/>
      <c r="Y543" s="32"/>
      <c r="Z543" s="32"/>
      <c r="AA543" s="32"/>
      <c r="AB543" s="32"/>
      <c r="AC543" s="32"/>
      <c r="AD543" s="32"/>
      <c r="AE543" s="32"/>
      <c r="AF543" s="32"/>
      <c r="AG543" s="32"/>
      <c r="AH543" s="32"/>
      <c r="AI543" s="32"/>
      <c r="AJ543" s="32"/>
    </row>
    <row r="544">
      <c r="A544" s="32"/>
      <c r="B544" s="32"/>
      <c r="C544" s="32"/>
      <c r="D544" s="32"/>
      <c r="E544" s="32"/>
      <c r="F544" s="32"/>
      <c r="G544" s="32"/>
      <c r="H544" s="32"/>
      <c r="I544" s="32"/>
      <c r="J544" s="32"/>
      <c r="K544" s="32"/>
      <c r="L544" s="32"/>
      <c r="M544" s="32"/>
      <c r="N544" s="32"/>
      <c r="O544" s="32"/>
      <c r="P544" s="32"/>
      <c r="Q544" s="32"/>
      <c r="R544" s="32"/>
      <c r="S544" s="32"/>
      <c r="T544" s="32"/>
      <c r="U544" s="32"/>
      <c r="V544" s="32"/>
      <c r="W544" s="32"/>
      <c r="X544" s="32"/>
      <c r="Y544" s="32"/>
      <c r="Z544" s="32"/>
      <c r="AA544" s="32"/>
      <c r="AB544" s="32"/>
      <c r="AC544" s="32"/>
      <c r="AD544" s="32"/>
      <c r="AE544" s="32"/>
      <c r="AF544" s="32"/>
      <c r="AG544" s="32"/>
      <c r="AH544" s="32"/>
      <c r="AI544" s="32"/>
      <c r="AJ544" s="32"/>
    </row>
    <row r="545">
      <c r="A545" s="32"/>
      <c r="B545" s="32"/>
      <c r="C545" s="32"/>
      <c r="D545" s="32"/>
      <c r="E545" s="32"/>
      <c r="F545" s="32"/>
      <c r="G545" s="32"/>
      <c r="H545" s="32"/>
      <c r="I545" s="32"/>
      <c r="J545" s="32"/>
      <c r="K545" s="32"/>
      <c r="L545" s="32"/>
      <c r="M545" s="32"/>
      <c r="N545" s="32"/>
      <c r="O545" s="32"/>
      <c r="P545" s="32"/>
      <c r="Q545" s="32"/>
      <c r="R545" s="32"/>
      <c r="S545" s="32"/>
      <c r="T545" s="32"/>
      <c r="U545" s="32"/>
      <c r="V545" s="32"/>
      <c r="W545" s="32"/>
      <c r="X545" s="32"/>
      <c r="Y545" s="32"/>
      <c r="Z545" s="32"/>
      <c r="AA545" s="32"/>
      <c r="AB545" s="32"/>
      <c r="AC545" s="32"/>
      <c r="AD545" s="32"/>
      <c r="AE545" s="32"/>
      <c r="AF545" s="32"/>
      <c r="AG545" s="32"/>
      <c r="AH545" s="32"/>
      <c r="AI545" s="32"/>
      <c r="AJ545" s="32"/>
    </row>
    <row r="546">
      <c r="A546" s="32"/>
      <c r="B546" s="32"/>
      <c r="C546" s="32"/>
      <c r="D546" s="32"/>
      <c r="E546" s="32"/>
      <c r="F546" s="32"/>
      <c r="G546" s="32"/>
      <c r="H546" s="32"/>
      <c r="I546" s="32"/>
      <c r="J546" s="32"/>
      <c r="K546" s="32"/>
      <c r="L546" s="32"/>
      <c r="M546" s="32"/>
      <c r="N546" s="32"/>
      <c r="O546" s="32"/>
      <c r="P546" s="32"/>
      <c r="Q546" s="32"/>
      <c r="R546" s="32"/>
      <c r="S546" s="32"/>
      <c r="T546" s="32"/>
      <c r="U546" s="32"/>
      <c r="V546" s="32"/>
      <c r="W546" s="32"/>
      <c r="X546" s="32"/>
      <c r="Y546" s="32"/>
      <c r="Z546" s="32"/>
      <c r="AA546" s="32"/>
      <c r="AB546" s="32"/>
      <c r="AC546" s="32"/>
      <c r="AD546" s="32"/>
      <c r="AE546" s="32"/>
      <c r="AF546" s="32"/>
      <c r="AG546" s="32"/>
      <c r="AH546" s="32"/>
      <c r="AI546" s="32"/>
      <c r="AJ546" s="32"/>
    </row>
    <row r="547">
      <c r="A547" s="32"/>
      <c r="B547" s="32"/>
      <c r="C547" s="32"/>
      <c r="D547" s="32"/>
      <c r="E547" s="32"/>
      <c r="F547" s="32"/>
      <c r="G547" s="32"/>
      <c r="H547" s="32"/>
      <c r="I547" s="32"/>
      <c r="J547" s="32"/>
      <c r="K547" s="32"/>
      <c r="L547" s="32"/>
      <c r="M547" s="32"/>
      <c r="N547" s="32"/>
      <c r="O547" s="32"/>
      <c r="P547" s="32"/>
      <c r="Q547" s="32"/>
      <c r="R547" s="32"/>
      <c r="S547" s="32"/>
      <c r="T547" s="32"/>
      <c r="U547" s="32"/>
      <c r="V547" s="32"/>
      <c r="W547" s="32"/>
      <c r="X547" s="32"/>
      <c r="Y547" s="32"/>
      <c r="Z547" s="32"/>
      <c r="AA547" s="32"/>
      <c r="AB547" s="32"/>
      <c r="AC547" s="32"/>
      <c r="AD547" s="32"/>
      <c r="AE547" s="32"/>
      <c r="AF547" s="32"/>
      <c r="AG547" s="32"/>
      <c r="AH547" s="32"/>
      <c r="AI547" s="32"/>
      <c r="AJ547" s="32"/>
    </row>
    <row r="548">
      <c r="A548" s="32"/>
      <c r="B548" s="32"/>
      <c r="C548" s="32"/>
      <c r="D548" s="32"/>
      <c r="E548" s="32"/>
      <c r="F548" s="32"/>
      <c r="G548" s="32"/>
      <c r="H548" s="32"/>
      <c r="I548" s="32"/>
      <c r="J548" s="32"/>
      <c r="K548" s="32"/>
      <c r="L548" s="32"/>
      <c r="M548" s="32"/>
      <c r="N548" s="32"/>
      <c r="O548" s="32"/>
      <c r="P548" s="32"/>
      <c r="Q548" s="32"/>
      <c r="R548" s="32"/>
      <c r="S548" s="32"/>
      <c r="T548" s="32"/>
      <c r="U548" s="32"/>
      <c r="V548" s="32"/>
      <c r="W548" s="32"/>
      <c r="X548" s="32"/>
      <c r="Y548" s="32"/>
      <c r="Z548" s="32"/>
      <c r="AA548" s="32"/>
      <c r="AB548" s="32"/>
      <c r="AC548" s="32"/>
      <c r="AD548" s="32"/>
      <c r="AE548" s="32"/>
      <c r="AF548" s="32"/>
      <c r="AG548" s="32"/>
      <c r="AH548" s="32"/>
      <c r="AI548" s="32"/>
      <c r="AJ548" s="32"/>
    </row>
    <row r="549">
      <c r="A549" s="32"/>
      <c r="B549" s="32"/>
      <c r="C549" s="32"/>
      <c r="D549" s="32"/>
      <c r="E549" s="32"/>
      <c r="F549" s="32"/>
      <c r="G549" s="32"/>
      <c r="H549" s="32"/>
      <c r="I549" s="32"/>
      <c r="J549" s="32"/>
      <c r="K549" s="32"/>
      <c r="L549" s="32"/>
      <c r="M549" s="32"/>
      <c r="N549" s="32"/>
      <c r="O549" s="32"/>
      <c r="P549" s="32"/>
      <c r="Q549" s="32"/>
      <c r="R549" s="32"/>
      <c r="S549" s="32"/>
      <c r="T549" s="32"/>
      <c r="U549" s="32"/>
      <c r="V549" s="32"/>
      <c r="W549" s="32"/>
      <c r="X549" s="32"/>
      <c r="Y549" s="32"/>
      <c r="Z549" s="32"/>
      <c r="AA549" s="32"/>
      <c r="AB549" s="32"/>
      <c r="AC549" s="32"/>
      <c r="AD549" s="32"/>
      <c r="AE549" s="32"/>
      <c r="AF549" s="32"/>
      <c r="AG549" s="32"/>
      <c r="AH549" s="32"/>
      <c r="AI549" s="32"/>
      <c r="AJ549" s="32"/>
    </row>
    <row r="550">
      <c r="A550" s="32"/>
      <c r="B550" s="32"/>
      <c r="C550" s="32"/>
      <c r="D550" s="32"/>
      <c r="E550" s="32"/>
      <c r="F550" s="32"/>
      <c r="G550" s="32"/>
      <c r="H550" s="32"/>
      <c r="I550" s="32"/>
      <c r="J550" s="32"/>
      <c r="K550" s="32"/>
      <c r="L550" s="32"/>
      <c r="M550" s="32"/>
      <c r="N550" s="32"/>
      <c r="O550" s="32"/>
      <c r="P550" s="32"/>
      <c r="Q550" s="32"/>
      <c r="R550" s="32"/>
      <c r="S550" s="32"/>
      <c r="T550" s="32"/>
      <c r="U550" s="32"/>
      <c r="V550" s="32"/>
      <c r="W550" s="32"/>
      <c r="X550" s="32"/>
      <c r="Y550" s="32"/>
      <c r="Z550" s="32"/>
      <c r="AA550" s="32"/>
      <c r="AB550" s="32"/>
      <c r="AC550" s="32"/>
      <c r="AD550" s="32"/>
      <c r="AE550" s="32"/>
      <c r="AF550" s="32"/>
      <c r="AG550" s="32"/>
      <c r="AH550" s="32"/>
      <c r="AI550" s="32"/>
      <c r="AJ550" s="32"/>
    </row>
    <row r="551">
      <c r="A551" s="32"/>
      <c r="B551" s="32"/>
      <c r="C551" s="32"/>
      <c r="D551" s="32"/>
      <c r="E551" s="32"/>
      <c r="F551" s="32"/>
      <c r="G551" s="32"/>
      <c r="H551" s="32"/>
      <c r="I551" s="32"/>
      <c r="J551" s="32"/>
      <c r="K551" s="32"/>
      <c r="L551" s="32"/>
      <c r="M551" s="32"/>
      <c r="N551" s="32"/>
      <c r="O551" s="32"/>
      <c r="P551" s="32"/>
      <c r="Q551" s="32"/>
      <c r="R551" s="32"/>
      <c r="S551" s="32"/>
      <c r="T551" s="32"/>
      <c r="U551" s="32"/>
      <c r="V551" s="32"/>
      <c r="W551" s="32"/>
      <c r="X551" s="32"/>
      <c r="Y551" s="32"/>
      <c r="Z551" s="32"/>
      <c r="AA551" s="32"/>
      <c r="AB551" s="32"/>
      <c r="AC551" s="32"/>
      <c r="AD551" s="32"/>
      <c r="AE551" s="32"/>
      <c r="AF551" s="32"/>
      <c r="AG551" s="32"/>
      <c r="AH551" s="32"/>
      <c r="AI551" s="32"/>
      <c r="AJ551" s="32"/>
    </row>
    <row r="552">
      <c r="A552" s="32"/>
      <c r="B552" s="32"/>
      <c r="C552" s="32"/>
      <c r="D552" s="32"/>
      <c r="E552" s="32"/>
      <c r="F552" s="32"/>
      <c r="G552" s="32"/>
      <c r="H552" s="32"/>
      <c r="I552" s="32"/>
      <c r="J552" s="32"/>
      <c r="K552" s="32"/>
      <c r="L552" s="32"/>
      <c r="M552" s="32"/>
      <c r="N552" s="32"/>
      <c r="O552" s="32"/>
      <c r="P552" s="32"/>
      <c r="Q552" s="32"/>
      <c r="R552" s="32"/>
      <c r="S552" s="32"/>
      <c r="T552" s="32"/>
      <c r="U552" s="32"/>
      <c r="V552" s="32"/>
      <c r="W552" s="32"/>
      <c r="X552" s="32"/>
      <c r="Y552" s="32"/>
      <c r="Z552" s="32"/>
      <c r="AA552" s="32"/>
      <c r="AB552" s="32"/>
      <c r="AC552" s="32"/>
      <c r="AD552" s="32"/>
      <c r="AE552" s="32"/>
      <c r="AF552" s="32"/>
      <c r="AG552" s="32"/>
      <c r="AH552" s="32"/>
      <c r="AI552" s="32"/>
      <c r="AJ552" s="32"/>
    </row>
    <row r="553">
      <c r="A553" s="32"/>
      <c r="B553" s="32"/>
      <c r="C553" s="32"/>
      <c r="D553" s="32"/>
      <c r="E553" s="32"/>
      <c r="F553" s="32"/>
      <c r="G553" s="32"/>
      <c r="H553" s="32"/>
      <c r="I553" s="32"/>
      <c r="J553" s="32"/>
      <c r="K553" s="32"/>
      <c r="L553" s="32"/>
      <c r="M553" s="32"/>
      <c r="N553" s="32"/>
      <c r="O553" s="32"/>
      <c r="P553" s="32"/>
      <c r="Q553" s="32"/>
      <c r="R553" s="32"/>
      <c r="S553" s="32"/>
      <c r="T553" s="32"/>
      <c r="U553" s="32"/>
      <c r="V553" s="32"/>
      <c r="W553" s="32"/>
      <c r="X553" s="32"/>
      <c r="Y553" s="32"/>
      <c r="Z553" s="32"/>
      <c r="AA553" s="32"/>
      <c r="AB553" s="32"/>
      <c r="AC553" s="32"/>
      <c r="AD553" s="32"/>
      <c r="AE553" s="32"/>
      <c r="AF553" s="32"/>
      <c r="AG553" s="32"/>
      <c r="AH553" s="32"/>
      <c r="AI553" s="32"/>
      <c r="AJ553" s="32"/>
    </row>
    <row r="554">
      <c r="A554" s="32"/>
      <c r="B554" s="32"/>
      <c r="C554" s="32"/>
      <c r="D554" s="32"/>
      <c r="E554" s="32"/>
      <c r="F554" s="32"/>
      <c r="G554" s="32"/>
      <c r="H554" s="32"/>
      <c r="I554" s="32"/>
      <c r="J554" s="32"/>
      <c r="K554" s="32"/>
      <c r="L554" s="32"/>
      <c r="M554" s="32"/>
      <c r="N554" s="32"/>
      <c r="O554" s="32"/>
      <c r="P554" s="32"/>
      <c r="Q554" s="32"/>
      <c r="R554" s="32"/>
      <c r="S554" s="32"/>
      <c r="T554" s="32"/>
      <c r="U554" s="32"/>
      <c r="V554" s="32"/>
      <c r="W554" s="32"/>
      <c r="X554" s="32"/>
      <c r="Y554" s="32"/>
      <c r="Z554" s="32"/>
      <c r="AA554" s="32"/>
      <c r="AB554" s="32"/>
      <c r="AC554" s="32"/>
      <c r="AD554" s="32"/>
      <c r="AE554" s="32"/>
      <c r="AF554" s="32"/>
      <c r="AG554" s="32"/>
      <c r="AH554" s="32"/>
      <c r="AI554" s="32"/>
      <c r="AJ554" s="32"/>
    </row>
    <row r="555">
      <c r="A555" s="32"/>
      <c r="B555" s="32"/>
      <c r="C555" s="32"/>
      <c r="D555" s="32"/>
      <c r="E555" s="32"/>
      <c r="F555" s="32"/>
      <c r="G555" s="32"/>
      <c r="H555" s="32"/>
      <c r="I555" s="32"/>
      <c r="J555" s="32"/>
      <c r="K555" s="32"/>
      <c r="L555" s="32"/>
      <c r="M555" s="32"/>
      <c r="N555" s="32"/>
      <c r="O555" s="32"/>
      <c r="P555" s="32"/>
      <c r="Q555" s="32"/>
      <c r="R555" s="32"/>
      <c r="S555" s="32"/>
      <c r="T555" s="32"/>
      <c r="U555" s="32"/>
      <c r="V555" s="32"/>
      <c r="W555" s="32"/>
      <c r="X555" s="32"/>
      <c r="Y555" s="32"/>
      <c r="Z555" s="32"/>
      <c r="AA555" s="32"/>
      <c r="AB555" s="32"/>
      <c r="AC555" s="32"/>
      <c r="AD555" s="32"/>
      <c r="AE555" s="32"/>
      <c r="AF555" s="32"/>
      <c r="AG555" s="32"/>
      <c r="AH555" s="32"/>
      <c r="AI555" s="32"/>
      <c r="AJ555" s="32"/>
    </row>
    <row r="556">
      <c r="A556" s="32"/>
      <c r="B556" s="32"/>
      <c r="C556" s="32"/>
      <c r="D556" s="32"/>
      <c r="E556" s="32"/>
      <c r="F556" s="32"/>
      <c r="G556" s="32"/>
      <c r="H556" s="32"/>
      <c r="I556" s="32"/>
      <c r="J556" s="32"/>
      <c r="K556" s="32"/>
      <c r="L556" s="32"/>
      <c r="M556" s="32"/>
      <c r="N556" s="32"/>
      <c r="O556" s="32"/>
      <c r="P556" s="32"/>
      <c r="Q556" s="32"/>
      <c r="R556" s="32"/>
      <c r="S556" s="32"/>
      <c r="T556" s="32"/>
      <c r="U556" s="32"/>
      <c r="V556" s="32"/>
      <c r="W556" s="32"/>
      <c r="X556" s="32"/>
      <c r="Y556" s="32"/>
      <c r="Z556" s="32"/>
      <c r="AA556" s="32"/>
      <c r="AB556" s="32"/>
      <c r="AC556" s="32"/>
      <c r="AD556" s="32"/>
      <c r="AE556" s="32"/>
      <c r="AF556" s="32"/>
      <c r="AG556" s="32"/>
      <c r="AH556" s="32"/>
      <c r="AI556" s="32"/>
      <c r="AJ556" s="32"/>
    </row>
    <row r="557">
      <c r="A557" s="32"/>
      <c r="B557" s="32"/>
      <c r="C557" s="32"/>
      <c r="D557" s="32"/>
      <c r="E557" s="32"/>
      <c r="F557" s="32"/>
      <c r="G557" s="32"/>
      <c r="H557" s="32"/>
      <c r="I557" s="32"/>
      <c r="J557" s="32"/>
      <c r="K557" s="32"/>
      <c r="L557" s="32"/>
      <c r="M557" s="32"/>
      <c r="N557" s="32"/>
      <c r="O557" s="32"/>
      <c r="P557" s="32"/>
      <c r="Q557" s="32"/>
      <c r="R557" s="32"/>
      <c r="S557" s="32"/>
      <c r="T557" s="32"/>
      <c r="U557" s="32"/>
      <c r="V557" s="32"/>
      <c r="W557" s="32"/>
      <c r="X557" s="32"/>
      <c r="Y557" s="32"/>
      <c r="Z557" s="32"/>
      <c r="AA557" s="32"/>
      <c r="AB557" s="32"/>
      <c r="AC557" s="32"/>
      <c r="AD557" s="32"/>
      <c r="AE557" s="32"/>
      <c r="AF557" s="32"/>
      <c r="AG557" s="32"/>
      <c r="AH557" s="32"/>
      <c r="AI557" s="32"/>
      <c r="AJ557" s="32"/>
    </row>
    <row r="558">
      <c r="A558" s="32"/>
      <c r="B558" s="32"/>
      <c r="C558" s="32"/>
      <c r="D558" s="32"/>
      <c r="E558" s="32"/>
      <c r="F558" s="32"/>
      <c r="G558" s="32"/>
      <c r="H558" s="32"/>
      <c r="I558" s="32"/>
      <c r="J558" s="32"/>
      <c r="K558" s="32"/>
      <c r="L558" s="32"/>
      <c r="M558" s="32"/>
      <c r="N558" s="32"/>
      <c r="O558" s="32"/>
      <c r="P558" s="32"/>
      <c r="Q558" s="32"/>
      <c r="R558" s="32"/>
      <c r="S558" s="32"/>
      <c r="T558" s="32"/>
      <c r="U558" s="32"/>
      <c r="V558" s="32"/>
      <c r="W558" s="32"/>
      <c r="X558" s="32"/>
      <c r="Y558" s="32"/>
      <c r="Z558" s="32"/>
      <c r="AA558" s="32"/>
      <c r="AB558" s="32"/>
      <c r="AC558" s="32"/>
      <c r="AD558" s="32"/>
      <c r="AE558" s="32"/>
      <c r="AF558" s="32"/>
      <c r="AG558" s="32"/>
      <c r="AH558" s="32"/>
      <c r="AI558" s="32"/>
      <c r="AJ558" s="32"/>
    </row>
    <row r="559">
      <c r="A559" s="32"/>
      <c r="B559" s="32"/>
      <c r="C559" s="32"/>
      <c r="D559" s="32"/>
      <c r="E559" s="32"/>
      <c r="F559" s="32"/>
      <c r="G559" s="32"/>
      <c r="H559" s="32"/>
      <c r="I559" s="32"/>
      <c r="J559" s="32"/>
      <c r="K559" s="32"/>
      <c r="L559" s="32"/>
      <c r="M559" s="32"/>
      <c r="N559" s="32"/>
      <c r="O559" s="32"/>
      <c r="P559" s="32"/>
      <c r="Q559" s="32"/>
      <c r="R559" s="32"/>
      <c r="S559" s="32"/>
      <c r="T559" s="32"/>
      <c r="U559" s="32"/>
      <c r="V559" s="32"/>
      <c r="W559" s="32"/>
      <c r="X559" s="32"/>
      <c r="Y559" s="32"/>
      <c r="Z559" s="32"/>
      <c r="AA559" s="32"/>
      <c r="AB559" s="32"/>
      <c r="AC559" s="32"/>
      <c r="AD559" s="32"/>
      <c r="AE559" s="32"/>
      <c r="AF559" s="32"/>
      <c r="AG559" s="32"/>
      <c r="AH559" s="32"/>
      <c r="AI559" s="32"/>
      <c r="AJ559" s="32"/>
    </row>
    <row r="560">
      <c r="A560" s="32"/>
      <c r="B560" s="32"/>
      <c r="C560" s="32"/>
      <c r="D560" s="32"/>
      <c r="E560" s="32"/>
      <c r="F560" s="32"/>
      <c r="G560" s="32"/>
      <c r="H560" s="32"/>
      <c r="I560" s="32"/>
      <c r="J560" s="32"/>
      <c r="K560" s="32"/>
      <c r="L560" s="32"/>
      <c r="M560" s="32"/>
      <c r="N560" s="32"/>
      <c r="O560" s="32"/>
      <c r="P560" s="32"/>
      <c r="Q560" s="32"/>
      <c r="R560" s="32"/>
      <c r="S560" s="32"/>
      <c r="T560" s="32"/>
      <c r="U560" s="32"/>
      <c r="V560" s="32"/>
      <c r="W560" s="32"/>
      <c r="X560" s="32"/>
      <c r="Y560" s="32"/>
      <c r="Z560" s="32"/>
      <c r="AA560" s="32"/>
      <c r="AB560" s="32"/>
      <c r="AC560" s="32"/>
      <c r="AD560" s="32"/>
      <c r="AE560" s="32"/>
      <c r="AF560" s="32"/>
      <c r="AG560" s="32"/>
      <c r="AH560" s="32"/>
      <c r="AI560" s="32"/>
      <c r="AJ560" s="32"/>
    </row>
    <row r="561">
      <c r="A561" s="32"/>
      <c r="B561" s="32"/>
      <c r="C561" s="32"/>
      <c r="D561" s="32"/>
      <c r="E561" s="32"/>
      <c r="F561" s="32"/>
      <c r="G561" s="32"/>
      <c r="H561" s="32"/>
      <c r="I561" s="32"/>
      <c r="J561" s="32"/>
      <c r="K561" s="32"/>
      <c r="L561" s="32"/>
      <c r="M561" s="32"/>
      <c r="N561" s="32"/>
      <c r="O561" s="32"/>
      <c r="P561" s="32"/>
      <c r="Q561" s="32"/>
      <c r="R561" s="32"/>
      <c r="S561" s="32"/>
      <c r="T561" s="32"/>
      <c r="U561" s="32"/>
      <c r="V561" s="32"/>
      <c r="W561" s="32"/>
      <c r="X561" s="32"/>
      <c r="Y561" s="32"/>
      <c r="Z561" s="32"/>
      <c r="AA561" s="32"/>
      <c r="AB561" s="32"/>
      <c r="AC561" s="32"/>
      <c r="AD561" s="32"/>
      <c r="AE561" s="32"/>
      <c r="AF561" s="32"/>
      <c r="AG561" s="32"/>
      <c r="AH561" s="32"/>
      <c r="AI561" s="32"/>
      <c r="AJ561" s="32"/>
    </row>
    <row r="562">
      <c r="A562" s="32"/>
      <c r="B562" s="32"/>
      <c r="C562" s="32"/>
      <c r="D562" s="32"/>
      <c r="E562" s="32"/>
      <c r="F562" s="32"/>
      <c r="G562" s="32"/>
      <c r="H562" s="32"/>
      <c r="I562" s="32"/>
      <c r="J562" s="32"/>
      <c r="K562" s="32"/>
      <c r="L562" s="32"/>
      <c r="M562" s="32"/>
      <c r="N562" s="32"/>
      <c r="O562" s="32"/>
      <c r="P562" s="32"/>
      <c r="Q562" s="32"/>
      <c r="R562" s="32"/>
      <c r="S562" s="32"/>
      <c r="T562" s="32"/>
      <c r="U562" s="32"/>
      <c r="V562" s="32"/>
      <c r="W562" s="32"/>
      <c r="X562" s="32"/>
      <c r="Y562" s="32"/>
      <c r="Z562" s="32"/>
      <c r="AA562" s="32"/>
      <c r="AB562" s="32"/>
      <c r="AC562" s="32"/>
      <c r="AD562" s="32"/>
      <c r="AE562" s="32"/>
      <c r="AF562" s="32"/>
      <c r="AG562" s="32"/>
      <c r="AH562" s="32"/>
      <c r="AI562" s="32"/>
      <c r="AJ562" s="32"/>
    </row>
    <row r="563">
      <c r="A563" s="32"/>
      <c r="B563" s="32"/>
      <c r="C563" s="32"/>
      <c r="D563" s="32"/>
      <c r="E563" s="32"/>
      <c r="F563" s="32"/>
      <c r="G563" s="32"/>
      <c r="H563" s="32"/>
      <c r="I563" s="32"/>
      <c r="J563" s="32"/>
      <c r="K563" s="32"/>
      <c r="L563" s="32"/>
      <c r="M563" s="32"/>
      <c r="N563" s="32"/>
      <c r="O563" s="32"/>
      <c r="P563" s="32"/>
      <c r="Q563" s="32"/>
      <c r="R563" s="32"/>
      <c r="S563" s="32"/>
      <c r="T563" s="32"/>
      <c r="U563" s="32"/>
      <c r="V563" s="32"/>
      <c r="W563" s="32"/>
      <c r="X563" s="32"/>
      <c r="Y563" s="32"/>
      <c r="Z563" s="32"/>
      <c r="AA563" s="32"/>
      <c r="AB563" s="32"/>
      <c r="AC563" s="32"/>
      <c r="AD563" s="32"/>
      <c r="AE563" s="32"/>
      <c r="AF563" s="32"/>
      <c r="AG563" s="32"/>
      <c r="AH563" s="32"/>
      <c r="AI563" s="32"/>
      <c r="AJ563" s="32"/>
    </row>
    <row r="564">
      <c r="A564" s="32"/>
      <c r="B564" s="32"/>
      <c r="C564" s="32"/>
      <c r="D564" s="32"/>
      <c r="E564" s="32"/>
      <c r="F564" s="32"/>
      <c r="G564" s="32"/>
      <c r="H564" s="32"/>
      <c r="I564" s="32"/>
      <c r="J564" s="32"/>
      <c r="K564" s="32"/>
      <c r="L564" s="32"/>
      <c r="M564" s="32"/>
      <c r="N564" s="32"/>
      <c r="O564" s="32"/>
      <c r="P564" s="32"/>
      <c r="Q564" s="32"/>
      <c r="R564" s="32"/>
      <c r="S564" s="32"/>
      <c r="T564" s="32"/>
      <c r="U564" s="32"/>
      <c r="V564" s="32"/>
      <c r="W564" s="32"/>
      <c r="X564" s="32"/>
      <c r="Y564" s="32"/>
      <c r="Z564" s="32"/>
      <c r="AA564" s="32"/>
      <c r="AB564" s="32"/>
      <c r="AC564" s="32"/>
      <c r="AD564" s="32"/>
      <c r="AE564" s="32"/>
      <c r="AF564" s="32"/>
      <c r="AG564" s="32"/>
      <c r="AH564" s="32"/>
      <c r="AI564" s="32"/>
      <c r="AJ564" s="32"/>
    </row>
    <row r="565">
      <c r="A565" s="32"/>
      <c r="B565" s="32"/>
      <c r="C565" s="32"/>
      <c r="D565" s="32"/>
      <c r="E565" s="32"/>
      <c r="F565" s="32"/>
      <c r="G565" s="32"/>
      <c r="H565" s="32"/>
      <c r="I565" s="32"/>
      <c r="J565" s="32"/>
      <c r="K565" s="32"/>
      <c r="L565" s="32"/>
      <c r="M565" s="32"/>
      <c r="N565" s="32"/>
      <c r="O565" s="32"/>
      <c r="P565" s="32"/>
      <c r="Q565" s="32"/>
      <c r="R565" s="32"/>
      <c r="S565" s="32"/>
      <c r="T565" s="32"/>
      <c r="U565" s="32"/>
      <c r="V565" s="32"/>
      <c r="W565" s="32"/>
      <c r="X565" s="32"/>
      <c r="Y565" s="32"/>
      <c r="Z565" s="32"/>
      <c r="AA565" s="32"/>
      <c r="AB565" s="32"/>
      <c r="AC565" s="32"/>
      <c r="AD565" s="32"/>
      <c r="AE565" s="32"/>
      <c r="AF565" s="32"/>
      <c r="AG565" s="32"/>
      <c r="AH565" s="32"/>
      <c r="AI565" s="32"/>
      <c r="AJ565" s="32"/>
    </row>
    <row r="566">
      <c r="A566" s="32"/>
      <c r="B566" s="32"/>
      <c r="C566" s="32"/>
      <c r="D566" s="32"/>
      <c r="E566" s="32"/>
      <c r="F566" s="32"/>
      <c r="G566" s="32"/>
      <c r="H566" s="32"/>
      <c r="I566" s="32"/>
      <c r="J566" s="32"/>
      <c r="K566" s="32"/>
      <c r="L566" s="32"/>
      <c r="M566" s="32"/>
      <c r="N566" s="32"/>
      <c r="O566" s="32"/>
      <c r="P566" s="32"/>
      <c r="Q566" s="32"/>
      <c r="R566" s="32"/>
      <c r="S566" s="32"/>
      <c r="T566" s="32"/>
      <c r="U566" s="32"/>
      <c r="V566" s="32"/>
      <c r="W566" s="32"/>
      <c r="X566" s="32"/>
      <c r="Y566" s="32"/>
      <c r="Z566" s="32"/>
      <c r="AA566" s="32"/>
      <c r="AB566" s="32"/>
      <c r="AC566" s="32"/>
      <c r="AD566" s="32"/>
      <c r="AE566" s="32"/>
      <c r="AF566" s="32"/>
      <c r="AG566" s="32"/>
      <c r="AH566" s="32"/>
      <c r="AI566" s="32"/>
      <c r="AJ566" s="32"/>
    </row>
    <row r="567">
      <c r="A567" s="32"/>
      <c r="B567" s="32"/>
      <c r="C567" s="32"/>
      <c r="D567" s="32"/>
      <c r="E567" s="32"/>
      <c r="F567" s="32"/>
      <c r="G567" s="32"/>
      <c r="H567" s="32"/>
      <c r="I567" s="32"/>
      <c r="J567" s="32"/>
      <c r="K567" s="32"/>
      <c r="L567" s="32"/>
      <c r="M567" s="32"/>
      <c r="N567" s="32"/>
      <c r="O567" s="32"/>
      <c r="P567" s="32"/>
      <c r="Q567" s="32"/>
      <c r="R567" s="32"/>
      <c r="S567" s="32"/>
      <c r="T567" s="32"/>
      <c r="U567" s="32"/>
      <c r="V567" s="32"/>
      <c r="W567" s="32"/>
      <c r="X567" s="32"/>
      <c r="Y567" s="32"/>
      <c r="Z567" s="32"/>
      <c r="AA567" s="32"/>
      <c r="AB567" s="32"/>
      <c r="AC567" s="32"/>
      <c r="AD567" s="32"/>
      <c r="AE567" s="32"/>
      <c r="AF567" s="32"/>
      <c r="AG567" s="32"/>
      <c r="AH567" s="32"/>
      <c r="AI567" s="32"/>
      <c r="AJ567" s="32"/>
    </row>
    <row r="568">
      <c r="A568" s="32"/>
      <c r="B568" s="32"/>
      <c r="C568" s="32"/>
      <c r="D568" s="32"/>
      <c r="E568" s="32"/>
      <c r="F568" s="32"/>
      <c r="G568" s="32"/>
      <c r="H568" s="32"/>
      <c r="I568" s="32"/>
      <c r="J568" s="32"/>
      <c r="K568" s="32"/>
      <c r="L568" s="32"/>
      <c r="M568" s="32"/>
      <c r="N568" s="32"/>
      <c r="O568" s="32"/>
      <c r="P568" s="32"/>
      <c r="Q568" s="32"/>
      <c r="R568" s="32"/>
      <c r="S568" s="32"/>
      <c r="T568" s="32"/>
      <c r="U568" s="32"/>
      <c r="V568" s="32"/>
      <c r="W568" s="32"/>
      <c r="X568" s="32"/>
      <c r="Y568" s="32"/>
      <c r="Z568" s="32"/>
      <c r="AA568" s="32"/>
      <c r="AB568" s="32"/>
      <c r="AC568" s="32"/>
      <c r="AD568" s="32"/>
      <c r="AE568" s="32"/>
      <c r="AF568" s="32"/>
      <c r="AG568" s="32"/>
      <c r="AH568" s="32"/>
      <c r="AI568" s="32"/>
      <c r="AJ568" s="32"/>
    </row>
    <row r="569">
      <c r="A569" s="32"/>
      <c r="B569" s="32"/>
      <c r="C569" s="32"/>
      <c r="D569" s="32"/>
      <c r="E569" s="32"/>
      <c r="F569" s="32"/>
      <c r="G569" s="32"/>
      <c r="H569" s="32"/>
      <c r="I569" s="32"/>
      <c r="J569" s="32"/>
      <c r="K569" s="32"/>
      <c r="L569" s="32"/>
      <c r="M569" s="32"/>
      <c r="N569" s="32"/>
      <c r="O569" s="32"/>
      <c r="P569" s="32"/>
      <c r="Q569" s="32"/>
      <c r="R569" s="32"/>
      <c r="S569" s="32"/>
      <c r="T569" s="32"/>
      <c r="U569" s="32"/>
      <c r="V569" s="32"/>
      <c r="W569" s="32"/>
      <c r="X569" s="32"/>
      <c r="Y569" s="32"/>
      <c r="Z569" s="32"/>
      <c r="AA569" s="32"/>
      <c r="AB569" s="32"/>
      <c r="AC569" s="32"/>
      <c r="AD569" s="32"/>
      <c r="AE569" s="32"/>
      <c r="AF569" s="32"/>
      <c r="AG569" s="32"/>
      <c r="AH569" s="32"/>
      <c r="AI569" s="32"/>
      <c r="AJ569" s="32"/>
    </row>
    <row r="570">
      <c r="A570" s="32"/>
      <c r="B570" s="32"/>
      <c r="C570" s="32"/>
      <c r="D570" s="32"/>
      <c r="E570" s="32"/>
      <c r="F570" s="32"/>
      <c r="G570" s="32"/>
      <c r="H570" s="32"/>
      <c r="I570" s="32"/>
      <c r="J570" s="32"/>
      <c r="K570" s="32"/>
      <c r="L570" s="32"/>
      <c r="M570" s="32"/>
      <c r="N570" s="32"/>
      <c r="O570" s="32"/>
      <c r="P570" s="32"/>
      <c r="Q570" s="32"/>
      <c r="R570" s="32"/>
      <c r="S570" s="32"/>
      <c r="T570" s="32"/>
      <c r="U570" s="32"/>
      <c r="V570" s="32"/>
      <c r="W570" s="32"/>
      <c r="X570" s="32"/>
      <c r="Y570" s="32"/>
      <c r="Z570" s="32"/>
      <c r="AA570" s="32"/>
      <c r="AB570" s="32"/>
      <c r="AC570" s="32"/>
      <c r="AD570" s="32"/>
      <c r="AE570" s="32"/>
      <c r="AF570" s="32"/>
      <c r="AG570" s="32"/>
      <c r="AH570" s="32"/>
      <c r="AI570" s="32"/>
      <c r="AJ570" s="32"/>
    </row>
    <row r="571">
      <c r="A571" s="32"/>
      <c r="B571" s="32"/>
      <c r="C571" s="32"/>
      <c r="D571" s="32"/>
      <c r="E571" s="32"/>
      <c r="F571" s="32"/>
      <c r="G571" s="32"/>
      <c r="H571" s="32"/>
      <c r="I571" s="32"/>
      <c r="J571" s="32"/>
      <c r="K571" s="32"/>
      <c r="L571" s="32"/>
      <c r="M571" s="32"/>
      <c r="N571" s="32"/>
      <c r="O571" s="32"/>
      <c r="P571" s="32"/>
      <c r="Q571" s="32"/>
      <c r="R571" s="32"/>
      <c r="S571" s="32"/>
      <c r="T571" s="32"/>
      <c r="U571" s="32"/>
      <c r="V571" s="32"/>
      <c r="W571" s="32"/>
      <c r="X571" s="32"/>
      <c r="Y571" s="32"/>
      <c r="Z571" s="32"/>
      <c r="AA571" s="32"/>
      <c r="AB571" s="32"/>
      <c r="AC571" s="32"/>
      <c r="AD571" s="32"/>
      <c r="AE571" s="32"/>
      <c r="AF571" s="32"/>
      <c r="AG571" s="32"/>
      <c r="AH571" s="32"/>
      <c r="AI571" s="32"/>
      <c r="AJ571" s="32"/>
    </row>
    <row r="572">
      <c r="A572" s="32"/>
      <c r="B572" s="32"/>
      <c r="C572" s="32"/>
      <c r="D572" s="32"/>
      <c r="E572" s="32"/>
      <c r="F572" s="32"/>
      <c r="G572" s="32"/>
      <c r="H572" s="32"/>
      <c r="I572" s="32"/>
      <c r="J572" s="32"/>
      <c r="K572" s="32"/>
      <c r="L572" s="32"/>
      <c r="M572" s="32"/>
      <c r="N572" s="32"/>
      <c r="O572" s="32"/>
      <c r="P572" s="32"/>
      <c r="Q572" s="32"/>
      <c r="R572" s="32"/>
      <c r="S572" s="32"/>
      <c r="T572" s="32"/>
      <c r="U572" s="32"/>
      <c r="V572" s="32"/>
      <c r="W572" s="32"/>
      <c r="X572" s="32"/>
      <c r="Y572" s="32"/>
      <c r="Z572" s="32"/>
      <c r="AA572" s="32"/>
      <c r="AB572" s="32"/>
      <c r="AC572" s="32"/>
      <c r="AD572" s="32"/>
      <c r="AE572" s="32"/>
      <c r="AF572" s="32"/>
      <c r="AG572" s="32"/>
      <c r="AH572" s="32"/>
      <c r="AI572" s="32"/>
      <c r="AJ572" s="32"/>
    </row>
    <row r="573">
      <c r="A573" s="32"/>
      <c r="B573" s="32"/>
      <c r="C573" s="32"/>
      <c r="D573" s="32"/>
      <c r="E573" s="32"/>
      <c r="F573" s="32"/>
      <c r="G573" s="32"/>
      <c r="H573" s="32"/>
      <c r="I573" s="32"/>
      <c r="J573" s="32"/>
      <c r="K573" s="32"/>
      <c r="L573" s="32"/>
      <c r="M573" s="32"/>
      <c r="N573" s="32"/>
      <c r="O573" s="32"/>
      <c r="P573" s="32"/>
      <c r="Q573" s="32"/>
      <c r="R573" s="32"/>
      <c r="S573" s="32"/>
      <c r="T573" s="32"/>
      <c r="U573" s="32"/>
      <c r="V573" s="32"/>
      <c r="W573" s="32"/>
      <c r="X573" s="32"/>
      <c r="Y573" s="32"/>
      <c r="Z573" s="32"/>
      <c r="AA573" s="32"/>
      <c r="AB573" s="32"/>
      <c r="AC573" s="32"/>
      <c r="AD573" s="32"/>
      <c r="AE573" s="32"/>
      <c r="AF573" s="32"/>
      <c r="AG573" s="32"/>
      <c r="AH573" s="32"/>
      <c r="AI573" s="32"/>
      <c r="AJ573" s="32"/>
    </row>
    <row r="574">
      <c r="A574" s="32"/>
      <c r="B574" s="32"/>
      <c r="C574" s="32"/>
      <c r="D574" s="32"/>
      <c r="E574" s="32"/>
      <c r="F574" s="32"/>
      <c r="G574" s="32"/>
      <c r="H574" s="32"/>
      <c r="I574" s="32"/>
      <c r="J574" s="32"/>
      <c r="K574" s="32"/>
      <c r="L574" s="32"/>
      <c r="M574" s="32"/>
      <c r="N574" s="32"/>
      <c r="O574" s="32"/>
      <c r="P574" s="32"/>
      <c r="Q574" s="32"/>
      <c r="R574" s="32"/>
      <c r="S574" s="32"/>
      <c r="T574" s="32"/>
      <c r="U574" s="32"/>
      <c r="V574" s="32"/>
      <c r="W574" s="32"/>
      <c r="X574" s="32"/>
      <c r="Y574" s="32"/>
      <c r="Z574" s="32"/>
      <c r="AA574" s="32"/>
      <c r="AB574" s="32"/>
      <c r="AC574" s="32"/>
      <c r="AD574" s="32"/>
      <c r="AE574" s="32"/>
      <c r="AF574" s="32"/>
      <c r="AG574" s="32"/>
      <c r="AH574" s="32"/>
      <c r="AI574" s="32"/>
      <c r="AJ574" s="32"/>
    </row>
    <row r="575">
      <c r="A575" s="32"/>
      <c r="B575" s="32"/>
      <c r="C575" s="32"/>
      <c r="D575" s="32"/>
      <c r="E575" s="32"/>
      <c r="F575" s="32"/>
      <c r="G575" s="32"/>
      <c r="H575" s="32"/>
      <c r="I575" s="32"/>
      <c r="J575" s="32"/>
      <c r="K575" s="32"/>
      <c r="L575" s="32"/>
      <c r="M575" s="32"/>
      <c r="N575" s="32"/>
      <c r="O575" s="32"/>
      <c r="P575" s="32"/>
      <c r="Q575" s="32"/>
      <c r="R575" s="32"/>
      <c r="S575" s="32"/>
      <c r="T575" s="32"/>
      <c r="U575" s="32"/>
      <c r="V575" s="32"/>
      <c r="W575" s="32"/>
      <c r="X575" s="32"/>
      <c r="Y575" s="32"/>
      <c r="Z575" s="32"/>
      <c r="AA575" s="32"/>
      <c r="AB575" s="32"/>
      <c r="AC575" s="32"/>
      <c r="AD575" s="32"/>
      <c r="AE575" s="32"/>
      <c r="AF575" s="32"/>
      <c r="AG575" s="32"/>
      <c r="AH575" s="32"/>
      <c r="AI575" s="32"/>
      <c r="AJ575" s="32"/>
    </row>
    <row r="576">
      <c r="A576" s="32"/>
      <c r="B576" s="32"/>
      <c r="C576" s="32"/>
      <c r="D576" s="32"/>
      <c r="E576" s="32"/>
      <c r="F576" s="32"/>
      <c r="G576" s="32"/>
      <c r="H576" s="32"/>
      <c r="I576" s="32"/>
      <c r="J576" s="32"/>
      <c r="K576" s="32"/>
      <c r="L576" s="32"/>
      <c r="M576" s="32"/>
      <c r="N576" s="32"/>
      <c r="O576" s="32"/>
      <c r="P576" s="32"/>
      <c r="Q576" s="32"/>
      <c r="R576" s="32"/>
      <c r="S576" s="32"/>
      <c r="T576" s="32"/>
      <c r="U576" s="32"/>
      <c r="V576" s="32"/>
      <c r="W576" s="32"/>
      <c r="X576" s="32"/>
      <c r="Y576" s="32"/>
      <c r="Z576" s="32"/>
      <c r="AA576" s="32"/>
      <c r="AB576" s="32"/>
      <c r="AC576" s="32"/>
      <c r="AD576" s="32"/>
      <c r="AE576" s="32"/>
      <c r="AF576" s="32"/>
      <c r="AG576" s="32"/>
      <c r="AH576" s="32"/>
      <c r="AI576" s="32"/>
      <c r="AJ576" s="32"/>
    </row>
    <row r="577">
      <c r="A577" s="32"/>
      <c r="B577" s="32"/>
      <c r="C577" s="32"/>
      <c r="D577" s="32"/>
      <c r="E577" s="32"/>
      <c r="F577" s="32"/>
      <c r="G577" s="32"/>
      <c r="H577" s="32"/>
      <c r="I577" s="32"/>
      <c r="J577" s="32"/>
      <c r="K577" s="32"/>
      <c r="L577" s="32"/>
      <c r="M577" s="32"/>
      <c r="N577" s="32"/>
      <c r="O577" s="32"/>
      <c r="P577" s="32"/>
      <c r="Q577" s="32"/>
      <c r="R577" s="32"/>
      <c r="S577" s="32"/>
      <c r="T577" s="32"/>
      <c r="U577" s="32"/>
      <c r="V577" s="32"/>
      <c r="W577" s="32"/>
      <c r="X577" s="32"/>
      <c r="Y577" s="32"/>
      <c r="Z577" s="32"/>
      <c r="AA577" s="32"/>
      <c r="AB577" s="32"/>
      <c r="AC577" s="32"/>
      <c r="AD577" s="32"/>
      <c r="AE577" s="32"/>
      <c r="AF577" s="32"/>
      <c r="AG577" s="32"/>
      <c r="AH577" s="32"/>
      <c r="AI577" s="32"/>
      <c r="AJ577" s="32"/>
    </row>
    <row r="578">
      <c r="A578" s="32"/>
      <c r="B578" s="32"/>
      <c r="C578" s="32"/>
      <c r="D578" s="32"/>
      <c r="E578" s="32"/>
      <c r="F578" s="32"/>
      <c r="G578" s="32"/>
      <c r="H578" s="32"/>
      <c r="I578" s="32"/>
      <c r="J578" s="32"/>
      <c r="K578" s="32"/>
      <c r="L578" s="32"/>
      <c r="M578" s="32"/>
      <c r="N578" s="32"/>
      <c r="O578" s="32"/>
      <c r="P578" s="32"/>
      <c r="Q578" s="32"/>
      <c r="R578" s="32"/>
      <c r="S578" s="32"/>
      <c r="T578" s="32"/>
      <c r="U578" s="32"/>
      <c r="V578" s="32"/>
      <c r="W578" s="32"/>
      <c r="X578" s="32"/>
      <c r="Y578" s="32"/>
      <c r="Z578" s="32"/>
      <c r="AA578" s="32"/>
      <c r="AB578" s="32"/>
      <c r="AC578" s="32"/>
      <c r="AD578" s="32"/>
      <c r="AE578" s="32"/>
      <c r="AF578" s="32"/>
      <c r="AG578" s="32"/>
      <c r="AH578" s="32"/>
      <c r="AI578" s="32"/>
      <c r="AJ578" s="32"/>
    </row>
    <row r="579">
      <c r="A579" s="32"/>
      <c r="B579" s="32"/>
      <c r="C579" s="32"/>
      <c r="D579" s="32"/>
      <c r="E579" s="32"/>
      <c r="F579" s="32"/>
      <c r="G579" s="32"/>
      <c r="H579" s="32"/>
      <c r="I579" s="32"/>
      <c r="J579" s="32"/>
      <c r="K579" s="32"/>
      <c r="L579" s="32"/>
      <c r="M579" s="32"/>
      <c r="N579" s="32"/>
      <c r="O579" s="32"/>
      <c r="P579" s="32"/>
      <c r="Q579" s="32"/>
      <c r="R579" s="32"/>
      <c r="S579" s="32"/>
      <c r="T579" s="32"/>
      <c r="U579" s="32"/>
      <c r="V579" s="32"/>
      <c r="W579" s="32"/>
      <c r="X579" s="32"/>
      <c r="Y579" s="32"/>
      <c r="Z579" s="32"/>
      <c r="AA579" s="32"/>
      <c r="AB579" s="32"/>
      <c r="AC579" s="32"/>
      <c r="AD579" s="32"/>
      <c r="AE579" s="32"/>
      <c r="AF579" s="32"/>
      <c r="AG579" s="32"/>
      <c r="AH579" s="32"/>
      <c r="AI579" s="32"/>
      <c r="AJ579" s="32"/>
    </row>
    <row r="580">
      <c r="A580" s="32"/>
      <c r="B580" s="32"/>
      <c r="C580" s="32"/>
      <c r="D580" s="32"/>
      <c r="E580" s="32"/>
      <c r="F580" s="32"/>
      <c r="G580" s="32"/>
      <c r="H580" s="32"/>
      <c r="I580" s="32"/>
      <c r="J580" s="32"/>
      <c r="K580" s="32"/>
      <c r="L580" s="32"/>
      <c r="M580" s="32"/>
      <c r="N580" s="32"/>
      <c r="O580" s="32"/>
      <c r="P580" s="32"/>
      <c r="Q580" s="32"/>
      <c r="R580" s="32"/>
      <c r="S580" s="32"/>
      <c r="T580" s="32"/>
      <c r="U580" s="32"/>
      <c r="V580" s="32"/>
      <c r="W580" s="32"/>
      <c r="X580" s="32"/>
      <c r="Y580" s="32"/>
      <c r="Z580" s="32"/>
      <c r="AA580" s="32"/>
      <c r="AB580" s="32"/>
      <c r="AC580" s="32"/>
      <c r="AD580" s="32"/>
      <c r="AE580" s="32"/>
      <c r="AF580" s="32"/>
      <c r="AG580" s="32"/>
      <c r="AH580" s="32"/>
      <c r="AI580" s="32"/>
      <c r="AJ580" s="32"/>
    </row>
    <row r="581">
      <c r="A581" s="32"/>
      <c r="B581" s="32"/>
      <c r="C581" s="32"/>
      <c r="D581" s="32"/>
      <c r="E581" s="32"/>
      <c r="F581" s="32"/>
      <c r="G581" s="32"/>
      <c r="H581" s="32"/>
      <c r="I581" s="32"/>
      <c r="J581" s="32"/>
      <c r="K581" s="32"/>
      <c r="L581" s="32"/>
      <c r="M581" s="32"/>
      <c r="N581" s="32"/>
      <c r="O581" s="32"/>
      <c r="P581" s="32"/>
      <c r="Q581" s="32"/>
      <c r="R581" s="32"/>
      <c r="S581" s="32"/>
      <c r="T581" s="32"/>
      <c r="U581" s="32"/>
      <c r="V581" s="32"/>
      <c r="W581" s="32"/>
      <c r="X581" s="32"/>
      <c r="Y581" s="32"/>
      <c r="Z581" s="32"/>
      <c r="AA581" s="32"/>
      <c r="AB581" s="32"/>
      <c r="AC581" s="32"/>
      <c r="AD581" s="32"/>
      <c r="AE581" s="32"/>
      <c r="AF581" s="32"/>
      <c r="AG581" s="32"/>
      <c r="AH581" s="32"/>
      <c r="AI581" s="32"/>
      <c r="AJ581" s="32"/>
    </row>
    <row r="582">
      <c r="A582" s="32"/>
      <c r="B582" s="32"/>
      <c r="C582" s="32"/>
      <c r="D582" s="32"/>
      <c r="E582" s="32"/>
      <c r="F582" s="32"/>
      <c r="G582" s="32"/>
      <c r="H582" s="32"/>
      <c r="I582" s="32"/>
      <c r="J582" s="32"/>
      <c r="K582" s="32"/>
      <c r="L582" s="32"/>
      <c r="M582" s="32"/>
      <c r="N582" s="32"/>
      <c r="O582" s="32"/>
      <c r="P582" s="32"/>
      <c r="Q582" s="32"/>
      <c r="R582" s="32"/>
      <c r="S582" s="32"/>
      <c r="T582" s="32"/>
      <c r="U582" s="32"/>
      <c r="V582" s="32"/>
      <c r="W582" s="32"/>
      <c r="X582" s="32"/>
      <c r="Y582" s="32"/>
      <c r="Z582" s="32"/>
      <c r="AA582" s="32"/>
      <c r="AB582" s="32"/>
      <c r="AC582" s="32"/>
      <c r="AD582" s="32"/>
      <c r="AE582" s="32"/>
      <c r="AF582" s="32"/>
      <c r="AG582" s="32"/>
      <c r="AH582" s="32"/>
      <c r="AI582" s="32"/>
      <c r="AJ582" s="32"/>
    </row>
    <row r="583">
      <c r="A583" s="32"/>
      <c r="B583" s="32"/>
      <c r="C583" s="32"/>
      <c r="D583" s="32"/>
      <c r="E583" s="32"/>
      <c r="F583" s="32"/>
      <c r="G583" s="32"/>
      <c r="H583" s="32"/>
      <c r="I583" s="32"/>
      <c r="J583" s="32"/>
      <c r="K583" s="32"/>
      <c r="L583" s="32"/>
      <c r="M583" s="32"/>
      <c r="N583" s="32"/>
      <c r="O583" s="32"/>
      <c r="P583" s="32"/>
      <c r="Q583" s="32"/>
      <c r="R583" s="32"/>
      <c r="S583" s="32"/>
      <c r="T583" s="32"/>
      <c r="U583" s="32"/>
      <c r="V583" s="32"/>
      <c r="W583" s="32"/>
      <c r="X583" s="32"/>
      <c r="Y583" s="32"/>
      <c r="Z583" s="32"/>
      <c r="AA583" s="32"/>
      <c r="AB583" s="32"/>
      <c r="AC583" s="32"/>
      <c r="AD583" s="32"/>
      <c r="AE583" s="32"/>
      <c r="AF583" s="32"/>
      <c r="AG583" s="32"/>
      <c r="AH583" s="32"/>
      <c r="AI583" s="32"/>
      <c r="AJ583" s="32"/>
    </row>
    <row r="584">
      <c r="A584" s="32"/>
      <c r="B584" s="32"/>
      <c r="C584" s="32"/>
      <c r="D584" s="32"/>
      <c r="E584" s="32"/>
      <c r="F584" s="32"/>
      <c r="G584" s="32"/>
      <c r="H584" s="32"/>
      <c r="I584" s="32"/>
      <c r="J584" s="32"/>
      <c r="K584" s="32"/>
      <c r="L584" s="32"/>
      <c r="M584" s="32"/>
      <c r="N584" s="32"/>
      <c r="O584" s="32"/>
      <c r="P584" s="32"/>
      <c r="Q584" s="32"/>
      <c r="R584" s="32"/>
      <c r="S584" s="32"/>
      <c r="T584" s="32"/>
      <c r="U584" s="32"/>
      <c r="V584" s="32"/>
      <c r="W584" s="32"/>
      <c r="X584" s="32"/>
      <c r="Y584" s="32"/>
      <c r="Z584" s="32"/>
      <c r="AA584" s="32"/>
      <c r="AB584" s="32"/>
      <c r="AC584" s="32"/>
      <c r="AD584" s="32"/>
      <c r="AE584" s="32"/>
      <c r="AF584" s="32"/>
      <c r="AG584" s="32"/>
      <c r="AH584" s="32"/>
      <c r="AI584" s="32"/>
      <c r="AJ584" s="32"/>
    </row>
    <row r="585">
      <c r="A585" s="32"/>
      <c r="B585" s="32"/>
      <c r="C585" s="32"/>
      <c r="D585" s="32"/>
      <c r="E585" s="32"/>
      <c r="F585" s="32"/>
      <c r="G585" s="32"/>
      <c r="H585" s="32"/>
      <c r="I585" s="32"/>
      <c r="J585" s="32"/>
      <c r="K585" s="32"/>
      <c r="L585" s="32"/>
      <c r="M585" s="32"/>
      <c r="N585" s="32"/>
      <c r="O585" s="32"/>
      <c r="P585" s="32"/>
      <c r="Q585" s="32"/>
      <c r="R585" s="32"/>
      <c r="S585" s="32"/>
      <c r="T585" s="32"/>
      <c r="U585" s="32"/>
      <c r="V585" s="32"/>
      <c r="W585" s="32"/>
      <c r="X585" s="32"/>
      <c r="Y585" s="32"/>
      <c r="Z585" s="32"/>
      <c r="AA585" s="32"/>
      <c r="AB585" s="32"/>
      <c r="AC585" s="32"/>
      <c r="AD585" s="32"/>
      <c r="AE585" s="32"/>
      <c r="AF585" s="32"/>
      <c r="AG585" s="32"/>
      <c r="AH585" s="32"/>
      <c r="AI585" s="32"/>
      <c r="AJ585" s="32"/>
    </row>
    <row r="586">
      <c r="A586" s="32"/>
      <c r="B586" s="32"/>
      <c r="C586" s="32"/>
      <c r="D586" s="32"/>
      <c r="E586" s="32"/>
      <c r="F586" s="32"/>
      <c r="G586" s="32"/>
      <c r="H586" s="32"/>
      <c r="I586" s="32"/>
      <c r="J586" s="32"/>
      <c r="K586" s="32"/>
      <c r="L586" s="32"/>
      <c r="M586" s="32"/>
      <c r="N586" s="32"/>
      <c r="O586" s="32"/>
      <c r="P586" s="32"/>
      <c r="Q586" s="32"/>
      <c r="R586" s="32"/>
      <c r="S586" s="32"/>
      <c r="T586" s="32"/>
      <c r="U586" s="32"/>
      <c r="V586" s="32"/>
      <c r="W586" s="32"/>
      <c r="X586" s="32"/>
      <c r="Y586" s="32"/>
      <c r="Z586" s="32"/>
      <c r="AA586" s="32"/>
      <c r="AB586" s="32"/>
      <c r="AC586" s="32"/>
      <c r="AD586" s="32"/>
      <c r="AE586" s="32"/>
      <c r="AF586" s="32"/>
      <c r="AG586" s="32"/>
      <c r="AH586" s="32"/>
      <c r="AI586" s="32"/>
      <c r="AJ586" s="32"/>
    </row>
    <row r="587">
      <c r="A587" s="32"/>
      <c r="B587" s="32"/>
      <c r="C587" s="32"/>
      <c r="D587" s="32"/>
      <c r="E587" s="32"/>
      <c r="F587" s="32"/>
      <c r="G587" s="32"/>
      <c r="H587" s="32"/>
      <c r="I587" s="32"/>
      <c r="J587" s="32"/>
      <c r="K587" s="32"/>
      <c r="L587" s="32"/>
      <c r="M587" s="32"/>
      <c r="N587" s="32"/>
      <c r="O587" s="32"/>
      <c r="P587" s="32"/>
      <c r="Q587" s="32"/>
      <c r="R587" s="32"/>
      <c r="S587" s="32"/>
      <c r="T587" s="32"/>
      <c r="U587" s="32"/>
      <c r="V587" s="32"/>
      <c r="W587" s="32"/>
      <c r="X587" s="32"/>
      <c r="Y587" s="32"/>
      <c r="Z587" s="32"/>
      <c r="AA587" s="32"/>
      <c r="AB587" s="32"/>
      <c r="AC587" s="32"/>
      <c r="AD587" s="32"/>
      <c r="AE587" s="32"/>
      <c r="AF587" s="32"/>
      <c r="AG587" s="32"/>
      <c r="AH587" s="32"/>
      <c r="AI587" s="32"/>
      <c r="AJ587" s="32"/>
    </row>
    <row r="588">
      <c r="A588" s="32"/>
      <c r="B588" s="32"/>
      <c r="C588" s="32"/>
      <c r="D588" s="32"/>
      <c r="E588" s="32"/>
      <c r="F588" s="32"/>
      <c r="G588" s="32"/>
      <c r="H588" s="32"/>
      <c r="I588" s="32"/>
      <c r="J588" s="32"/>
      <c r="K588" s="32"/>
      <c r="L588" s="32"/>
      <c r="M588" s="32"/>
      <c r="N588" s="32"/>
      <c r="O588" s="32"/>
      <c r="P588" s="32"/>
      <c r="Q588" s="32"/>
      <c r="R588" s="32"/>
      <c r="S588" s="32"/>
      <c r="T588" s="32"/>
      <c r="U588" s="32"/>
      <c r="V588" s="32"/>
      <c r="W588" s="32"/>
      <c r="X588" s="32"/>
      <c r="Y588" s="32"/>
      <c r="Z588" s="32"/>
      <c r="AA588" s="32"/>
      <c r="AB588" s="32"/>
      <c r="AC588" s="32"/>
      <c r="AD588" s="32"/>
      <c r="AE588" s="32"/>
      <c r="AF588" s="32"/>
      <c r="AG588" s="32"/>
      <c r="AH588" s="32"/>
      <c r="AI588" s="32"/>
      <c r="AJ588" s="32"/>
    </row>
    <row r="589">
      <c r="A589" s="32"/>
      <c r="B589" s="32"/>
      <c r="C589" s="32"/>
      <c r="D589" s="32"/>
      <c r="E589" s="32"/>
      <c r="F589" s="32"/>
      <c r="G589" s="32"/>
      <c r="H589" s="32"/>
      <c r="I589" s="32"/>
      <c r="J589" s="32"/>
      <c r="K589" s="32"/>
      <c r="L589" s="32"/>
      <c r="M589" s="32"/>
      <c r="N589" s="32"/>
      <c r="O589" s="32"/>
      <c r="P589" s="32"/>
      <c r="Q589" s="32"/>
      <c r="R589" s="32"/>
      <c r="S589" s="32"/>
      <c r="T589" s="32"/>
      <c r="U589" s="32"/>
      <c r="V589" s="32"/>
      <c r="W589" s="32"/>
      <c r="X589" s="32"/>
      <c r="Y589" s="32"/>
      <c r="Z589" s="32"/>
      <c r="AA589" s="32"/>
      <c r="AB589" s="32"/>
      <c r="AC589" s="32"/>
      <c r="AD589" s="32"/>
      <c r="AE589" s="32"/>
      <c r="AF589" s="32"/>
      <c r="AG589" s="32"/>
      <c r="AH589" s="32"/>
      <c r="AI589" s="32"/>
      <c r="AJ589" s="32"/>
    </row>
    <row r="590">
      <c r="A590" s="32"/>
      <c r="B590" s="32"/>
      <c r="C590" s="32"/>
      <c r="D590" s="32"/>
      <c r="E590" s="32"/>
      <c r="F590" s="32"/>
      <c r="G590" s="32"/>
      <c r="H590" s="32"/>
      <c r="I590" s="32"/>
      <c r="J590" s="32"/>
      <c r="K590" s="32"/>
      <c r="L590" s="32"/>
      <c r="M590" s="32"/>
      <c r="N590" s="32"/>
      <c r="O590" s="32"/>
      <c r="P590" s="32"/>
      <c r="Q590" s="32"/>
      <c r="R590" s="32"/>
      <c r="S590" s="32"/>
      <c r="T590" s="32"/>
      <c r="U590" s="32"/>
      <c r="V590" s="32"/>
      <c r="W590" s="32"/>
      <c r="X590" s="32"/>
      <c r="Y590" s="32"/>
      <c r="Z590" s="32"/>
      <c r="AA590" s="32"/>
      <c r="AB590" s="32"/>
      <c r="AC590" s="32"/>
      <c r="AD590" s="32"/>
      <c r="AE590" s="32"/>
      <c r="AF590" s="32"/>
      <c r="AG590" s="32"/>
      <c r="AH590" s="32"/>
      <c r="AI590" s="32"/>
      <c r="AJ590" s="32"/>
    </row>
    <row r="591">
      <c r="A591" s="32"/>
      <c r="B591" s="32"/>
      <c r="C591" s="32"/>
      <c r="D591" s="32"/>
      <c r="E591" s="32"/>
      <c r="F591" s="32"/>
      <c r="G591" s="32"/>
      <c r="H591" s="32"/>
      <c r="I591" s="32"/>
      <c r="J591" s="32"/>
      <c r="K591" s="32"/>
      <c r="L591" s="32"/>
      <c r="M591" s="32"/>
      <c r="N591" s="32"/>
      <c r="O591" s="32"/>
      <c r="P591" s="32"/>
      <c r="Q591" s="32"/>
      <c r="R591" s="32"/>
      <c r="S591" s="32"/>
      <c r="T591" s="32"/>
      <c r="U591" s="32"/>
      <c r="V591" s="32"/>
      <c r="W591" s="32"/>
      <c r="X591" s="32"/>
      <c r="Y591" s="32"/>
      <c r="Z591" s="32"/>
      <c r="AA591" s="32"/>
      <c r="AB591" s="32"/>
      <c r="AC591" s="32"/>
      <c r="AD591" s="32"/>
      <c r="AE591" s="32"/>
      <c r="AF591" s="32"/>
      <c r="AG591" s="32"/>
      <c r="AH591" s="32"/>
      <c r="AI591" s="32"/>
      <c r="AJ591" s="32"/>
    </row>
    <row r="592">
      <c r="A592" s="32"/>
      <c r="B592" s="32"/>
      <c r="C592" s="32"/>
      <c r="D592" s="32"/>
      <c r="E592" s="32"/>
      <c r="F592" s="32"/>
      <c r="G592" s="32"/>
      <c r="H592" s="32"/>
      <c r="I592" s="32"/>
      <c r="J592" s="32"/>
      <c r="K592" s="32"/>
      <c r="L592" s="32"/>
      <c r="M592" s="32"/>
      <c r="N592" s="32"/>
      <c r="O592" s="32"/>
      <c r="P592" s="32"/>
      <c r="Q592" s="32"/>
      <c r="R592" s="32"/>
      <c r="S592" s="32"/>
      <c r="T592" s="32"/>
      <c r="U592" s="32"/>
      <c r="V592" s="32"/>
      <c r="W592" s="32"/>
      <c r="X592" s="32"/>
      <c r="Y592" s="32"/>
      <c r="Z592" s="32"/>
      <c r="AA592" s="32"/>
      <c r="AB592" s="32"/>
      <c r="AC592" s="32"/>
      <c r="AD592" s="32"/>
      <c r="AE592" s="32"/>
      <c r="AF592" s="32"/>
      <c r="AG592" s="32"/>
      <c r="AH592" s="32"/>
      <c r="AI592" s="32"/>
      <c r="AJ592" s="32"/>
    </row>
    <row r="593">
      <c r="A593" s="32"/>
      <c r="B593" s="32"/>
      <c r="C593" s="32"/>
      <c r="D593" s="32"/>
      <c r="E593" s="32"/>
      <c r="F593" s="32"/>
      <c r="G593" s="32"/>
      <c r="H593" s="32"/>
      <c r="I593" s="32"/>
      <c r="J593" s="32"/>
      <c r="K593" s="32"/>
      <c r="L593" s="32"/>
      <c r="M593" s="32"/>
      <c r="N593" s="32"/>
      <c r="O593" s="32"/>
      <c r="P593" s="32"/>
      <c r="Q593" s="32"/>
      <c r="R593" s="32"/>
      <c r="S593" s="32"/>
      <c r="T593" s="32"/>
      <c r="U593" s="32"/>
      <c r="V593" s="32"/>
      <c r="W593" s="32"/>
      <c r="X593" s="32"/>
      <c r="Y593" s="32"/>
      <c r="Z593" s="32"/>
      <c r="AA593" s="32"/>
      <c r="AB593" s="32"/>
      <c r="AC593" s="32"/>
      <c r="AD593" s="32"/>
      <c r="AE593" s="32"/>
      <c r="AF593" s="32"/>
      <c r="AG593" s="32"/>
      <c r="AH593" s="32"/>
      <c r="AI593" s="32"/>
      <c r="AJ593" s="32"/>
    </row>
    <row r="594">
      <c r="A594" s="32"/>
      <c r="B594" s="32"/>
      <c r="C594" s="32"/>
      <c r="D594" s="32"/>
      <c r="E594" s="32"/>
      <c r="F594" s="32"/>
      <c r="G594" s="32"/>
      <c r="H594" s="32"/>
      <c r="I594" s="32"/>
      <c r="J594" s="32"/>
      <c r="K594" s="32"/>
      <c r="L594" s="32"/>
      <c r="M594" s="32"/>
      <c r="N594" s="32"/>
      <c r="O594" s="32"/>
      <c r="P594" s="32"/>
      <c r="Q594" s="32"/>
      <c r="R594" s="32"/>
      <c r="S594" s="32"/>
      <c r="T594" s="32"/>
      <c r="U594" s="32"/>
      <c r="V594" s="32"/>
      <c r="W594" s="32"/>
      <c r="X594" s="32"/>
      <c r="Y594" s="32"/>
      <c r="Z594" s="32"/>
      <c r="AA594" s="32"/>
      <c r="AB594" s="32"/>
      <c r="AC594" s="32"/>
      <c r="AD594" s="32"/>
      <c r="AE594" s="32"/>
      <c r="AF594" s="32"/>
      <c r="AG594" s="32"/>
      <c r="AH594" s="32"/>
      <c r="AI594" s="32"/>
      <c r="AJ594" s="32"/>
    </row>
    <row r="595">
      <c r="A595" s="32"/>
      <c r="B595" s="32"/>
      <c r="C595" s="32"/>
      <c r="D595" s="32"/>
      <c r="E595" s="32"/>
      <c r="F595" s="32"/>
      <c r="G595" s="32"/>
      <c r="H595" s="32"/>
      <c r="I595" s="32"/>
      <c r="J595" s="32"/>
      <c r="K595" s="32"/>
      <c r="L595" s="32"/>
      <c r="M595" s="32"/>
      <c r="N595" s="32"/>
      <c r="O595" s="32"/>
      <c r="P595" s="32"/>
      <c r="Q595" s="32"/>
      <c r="R595" s="32"/>
      <c r="S595" s="32"/>
      <c r="T595" s="32"/>
      <c r="U595" s="32"/>
      <c r="V595" s="32"/>
      <c r="W595" s="32"/>
      <c r="X595" s="32"/>
      <c r="Y595" s="32"/>
      <c r="Z595" s="32"/>
      <c r="AA595" s="32"/>
      <c r="AB595" s="32"/>
      <c r="AC595" s="32"/>
      <c r="AD595" s="32"/>
      <c r="AE595" s="32"/>
      <c r="AF595" s="32"/>
      <c r="AG595" s="32"/>
      <c r="AH595" s="32"/>
      <c r="AI595" s="32"/>
      <c r="AJ595" s="32"/>
    </row>
    <row r="596">
      <c r="A596" s="32"/>
      <c r="B596" s="32"/>
      <c r="C596" s="32"/>
      <c r="D596" s="32"/>
      <c r="E596" s="32"/>
      <c r="F596" s="32"/>
      <c r="G596" s="32"/>
      <c r="H596" s="32"/>
      <c r="I596" s="32"/>
      <c r="J596" s="32"/>
      <c r="K596" s="32"/>
      <c r="L596" s="32"/>
      <c r="M596" s="32"/>
      <c r="N596" s="32"/>
      <c r="O596" s="32"/>
      <c r="P596" s="32"/>
      <c r="Q596" s="32"/>
      <c r="R596" s="32"/>
      <c r="S596" s="32"/>
      <c r="T596" s="32"/>
      <c r="U596" s="32"/>
      <c r="V596" s="32"/>
      <c r="W596" s="32"/>
      <c r="X596" s="32"/>
      <c r="Y596" s="32"/>
      <c r="Z596" s="32"/>
      <c r="AA596" s="32"/>
      <c r="AB596" s="32"/>
      <c r="AC596" s="32"/>
      <c r="AD596" s="32"/>
      <c r="AE596" s="32"/>
      <c r="AF596" s="32"/>
      <c r="AG596" s="32"/>
      <c r="AH596" s="32"/>
      <c r="AI596" s="32"/>
      <c r="AJ596" s="32"/>
    </row>
    <row r="597">
      <c r="A597" s="32"/>
      <c r="B597" s="32"/>
      <c r="C597" s="32"/>
      <c r="D597" s="32"/>
      <c r="E597" s="32"/>
      <c r="F597" s="32"/>
      <c r="G597" s="32"/>
      <c r="H597" s="32"/>
      <c r="I597" s="32"/>
      <c r="J597" s="32"/>
      <c r="K597" s="32"/>
      <c r="L597" s="32"/>
      <c r="M597" s="32"/>
      <c r="N597" s="32"/>
      <c r="O597" s="32"/>
      <c r="P597" s="32"/>
      <c r="Q597" s="32"/>
      <c r="R597" s="32"/>
      <c r="S597" s="32"/>
      <c r="T597" s="32"/>
      <c r="U597" s="32"/>
      <c r="V597" s="32"/>
      <c r="W597" s="32"/>
      <c r="X597" s="32"/>
      <c r="Y597" s="32"/>
      <c r="Z597" s="32"/>
      <c r="AA597" s="32"/>
      <c r="AB597" s="32"/>
      <c r="AC597" s="32"/>
      <c r="AD597" s="32"/>
      <c r="AE597" s="32"/>
      <c r="AF597" s="32"/>
      <c r="AG597" s="32"/>
      <c r="AH597" s="32"/>
      <c r="AI597" s="32"/>
      <c r="AJ597" s="32"/>
    </row>
    <row r="598">
      <c r="A598" s="32"/>
      <c r="B598" s="32"/>
      <c r="C598" s="32"/>
      <c r="D598" s="32"/>
      <c r="E598" s="32"/>
      <c r="F598" s="32"/>
      <c r="G598" s="32"/>
      <c r="H598" s="32"/>
      <c r="I598" s="32"/>
      <c r="J598" s="32"/>
      <c r="K598" s="32"/>
      <c r="L598" s="32"/>
      <c r="M598" s="32"/>
      <c r="N598" s="32"/>
      <c r="O598" s="32"/>
      <c r="P598" s="32"/>
      <c r="Q598" s="32"/>
      <c r="R598" s="32"/>
      <c r="S598" s="32"/>
      <c r="T598" s="32"/>
      <c r="U598" s="32"/>
      <c r="V598" s="32"/>
      <c r="W598" s="32"/>
      <c r="X598" s="32"/>
      <c r="Y598" s="32"/>
      <c r="Z598" s="32"/>
      <c r="AA598" s="32"/>
      <c r="AB598" s="32"/>
      <c r="AC598" s="32"/>
      <c r="AD598" s="32"/>
      <c r="AE598" s="32"/>
      <c r="AF598" s="32"/>
      <c r="AG598" s="32"/>
      <c r="AH598" s="32"/>
      <c r="AI598" s="32"/>
      <c r="AJ598" s="32"/>
    </row>
    <row r="599">
      <c r="A599" s="32"/>
      <c r="B599" s="32"/>
      <c r="C599" s="32"/>
      <c r="D599" s="32"/>
      <c r="E599" s="32"/>
      <c r="F599" s="32"/>
      <c r="G599" s="32"/>
      <c r="H599" s="32"/>
      <c r="I599" s="32"/>
      <c r="J599" s="32"/>
      <c r="K599" s="32"/>
      <c r="L599" s="32"/>
      <c r="M599" s="32"/>
      <c r="N599" s="32"/>
      <c r="O599" s="32"/>
      <c r="P599" s="32"/>
      <c r="Q599" s="32"/>
      <c r="R599" s="32"/>
      <c r="S599" s="32"/>
      <c r="T599" s="32"/>
      <c r="U599" s="32"/>
      <c r="V599" s="32"/>
      <c r="W599" s="32"/>
      <c r="X599" s="32"/>
      <c r="Y599" s="32"/>
      <c r="Z599" s="32"/>
      <c r="AA599" s="32"/>
      <c r="AB599" s="32"/>
      <c r="AC599" s="32"/>
      <c r="AD599" s="32"/>
      <c r="AE599" s="32"/>
      <c r="AF599" s="32"/>
      <c r="AG599" s="32"/>
      <c r="AH599" s="32"/>
      <c r="AI599" s="32"/>
      <c r="AJ599" s="32"/>
    </row>
    <row r="600">
      <c r="A600" s="32"/>
      <c r="B600" s="32"/>
      <c r="C600" s="32"/>
      <c r="D600" s="32"/>
      <c r="E600" s="32"/>
      <c r="F600" s="32"/>
      <c r="G600" s="32"/>
      <c r="H600" s="32"/>
      <c r="I600" s="32"/>
      <c r="J600" s="32"/>
      <c r="K600" s="32"/>
      <c r="L600" s="32"/>
      <c r="M600" s="32"/>
      <c r="N600" s="32"/>
      <c r="O600" s="32"/>
      <c r="P600" s="32"/>
      <c r="Q600" s="32"/>
      <c r="R600" s="32"/>
      <c r="S600" s="32"/>
      <c r="T600" s="32"/>
      <c r="U600" s="32"/>
      <c r="V600" s="32"/>
      <c r="W600" s="32"/>
      <c r="X600" s="32"/>
      <c r="Y600" s="32"/>
      <c r="Z600" s="32"/>
      <c r="AA600" s="32"/>
      <c r="AB600" s="32"/>
      <c r="AC600" s="32"/>
      <c r="AD600" s="32"/>
      <c r="AE600" s="32"/>
      <c r="AF600" s="32"/>
      <c r="AG600" s="32"/>
      <c r="AH600" s="32"/>
      <c r="AI600" s="32"/>
      <c r="AJ600" s="32"/>
    </row>
    <row r="601">
      <c r="A601" s="32"/>
      <c r="B601" s="32"/>
      <c r="C601" s="32"/>
      <c r="D601" s="32"/>
      <c r="E601" s="32"/>
      <c r="F601" s="32"/>
      <c r="G601" s="32"/>
      <c r="H601" s="32"/>
      <c r="I601" s="32"/>
      <c r="J601" s="32"/>
      <c r="K601" s="32"/>
      <c r="L601" s="32"/>
      <c r="M601" s="32"/>
      <c r="N601" s="32"/>
      <c r="O601" s="32"/>
      <c r="P601" s="32"/>
      <c r="Q601" s="32"/>
      <c r="R601" s="32"/>
      <c r="S601" s="32"/>
      <c r="T601" s="32"/>
      <c r="U601" s="32"/>
      <c r="V601" s="32"/>
      <c r="W601" s="32"/>
      <c r="X601" s="32"/>
      <c r="Y601" s="32"/>
      <c r="Z601" s="32"/>
      <c r="AA601" s="32"/>
      <c r="AB601" s="32"/>
      <c r="AC601" s="32"/>
      <c r="AD601" s="32"/>
      <c r="AE601" s="32"/>
      <c r="AF601" s="32"/>
      <c r="AG601" s="32"/>
      <c r="AH601" s="32"/>
      <c r="AI601" s="32"/>
      <c r="AJ601" s="32"/>
    </row>
    <row r="602">
      <c r="A602" s="32"/>
      <c r="B602" s="32"/>
      <c r="C602" s="32"/>
      <c r="D602" s="32"/>
      <c r="E602" s="32"/>
      <c r="F602" s="32"/>
      <c r="G602" s="32"/>
      <c r="H602" s="32"/>
      <c r="I602" s="32"/>
      <c r="J602" s="32"/>
      <c r="K602" s="32"/>
      <c r="L602" s="32"/>
      <c r="M602" s="32"/>
      <c r="N602" s="32"/>
      <c r="O602" s="32"/>
      <c r="P602" s="32"/>
      <c r="Q602" s="32"/>
      <c r="R602" s="32"/>
      <c r="S602" s="32"/>
      <c r="T602" s="32"/>
      <c r="U602" s="32"/>
      <c r="V602" s="32"/>
      <c r="W602" s="32"/>
      <c r="X602" s="32"/>
      <c r="Y602" s="32"/>
      <c r="Z602" s="32"/>
      <c r="AA602" s="32"/>
      <c r="AB602" s="32"/>
      <c r="AC602" s="32"/>
      <c r="AD602" s="32"/>
      <c r="AE602" s="32"/>
      <c r="AF602" s="32"/>
      <c r="AG602" s="32"/>
      <c r="AH602" s="32"/>
      <c r="AI602" s="32"/>
      <c r="AJ602" s="32"/>
    </row>
    <row r="603">
      <c r="A603" s="32"/>
      <c r="B603" s="32"/>
      <c r="C603" s="32"/>
      <c r="D603" s="32"/>
      <c r="E603" s="32"/>
      <c r="F603" s="32"/>
      <c r="G603" s="32"/>
      <c r="H603" s="32"/>
      <c r="I603" s="32"/>
      <c r="J603" s="32"/>
      <c r="K603" s="32"/>
      <c r="L603" s="32"/>
      <c r="M603" s="32"/>
      <c r="N603" s="32"/>
      <c r="O603" s="32"/>
      <c r="P603" s="32"/>
      <c r="Q603" s="32"/>
      <c r="R603" s="32"/>
      <c r="S603" s="32"/>
      <c r="T603" s="32"/>
      <c r="U603" s="32"/>
      <c r="V603" s="32"/>
      <c r="W603" s="32"/>
      <c r="X603" s="32"/>
      <c r="Y603" s="32"/>
      <c r="Z603" s="32"/>
      <c r="AA603" s="32"/>
      <c r="AB603" s="32"/>
      <c r="AC603" s="32"/>
      <c r="AD603" s="32"/>
      <c r="AE603" s="32"/>
      <c r="AF603" s="32"/>
      <c r="AG603" s="32"/>
      <c r="AH603" s="32"/>
      <c r="AI603" s="32"/>
      <c r="AJ603" s="32"/>
    </row>
    <row r="604">
      <c r="A604" s="32"/>
      <c r="B604" s="32"/>
      <c r="C604" s="32"/>
      <c r="D604" s="32"/>
      <c r="E604" s="32"/>
      <c r="F604" s="32"/>
      <c r="G604" s="32"/>
      <c r="H604" s="32"/>
      <c r="I604" s="32"/>
      <c r="J604" s="32"/>
      <c r="K604" s="32"/>
      <c r="L604" s="32"/>
      <c r="M604" s="32"/>
      <c r="N604" s="32"/>
      <c r="O604" s="32"/>
      <c r="P604" s="32"/>
      <c r="Q604" s="32"/>
      <c r="R604" s="32"/>
      <c r="S604" s="32"/>
      <c r="T604" s="32"/>
      <c r="U604" s="32"/>
      <c r="V604" s="32"/>
      <c r="W604" s="32"/>
      <c r="X604" s="32"/>
      <c r="Y604" s="32"/>
      <c r="Z604" s="32"/>
      <c r="AA604" s="32"/>
      <c r="AB604" s="32"/>
      <c r="AC604" s="32"/>
      <c r="AD604" s="32"/>
      <c r="AE604" s="32"/>
      <c r="AF604" s="32"/>
      <c r="AG604" s="32"/>
      <c r="AH604" s="32"/>
      <c r="AI604" s="32"/>
      <c r="AJ604" s="32"/>
    </row>
    <row r="605">
      <c r="A605" s="32"/>
      <c r="B605" s="32"/>
      <c r="C605" s="32"/>
      <c r="D605" s="32"/>
      <c r="E605" s="32"/>
      <c r="F605" s="32"/>
      <c r="G605" s="32"/>
      <c r="H605" s="32"/>
      <c r="I605" s="32"/>
      <c r="J605" s="32"/>
      <c r="K605" s="32"/>
      <c r="L605" s="32"/>
      <c r="M605" s="32"/>
      <c r="N605" s="32"/>
      <c r="O605" s="32"/>
      <c r="P605" s="32"/>
      <c r="Q605" s="32"/>
      <c r="R605" s="32"/>
      <c r="S605" s="32"/>
      <c r="T605" s="32"/>
      <c r="U605" s="32"/>
      <c r="V605" s="32"/>
      <c r="W605" s="32"/>
      <c r="X605" s="32"/>
      <c r="Y605" s="32"/>
      <c r="Z605" s="32"/>
      <c r="AA605" s="32"/>
      <c r="AB605" s="32"/>
      <c r="AC605" s="32"/>
      <c r="AD605" s="32"/>
      <c r="AE605" s="32"/>
      <c r="AF605" s="32"/>
      <c r="AG605" s="32"/>
      <c r="AH605" s="32"/>
      <c r="AI605" s="32"/>
      <c r="AJ605" s="32"/>
    </row>
    <row r="606">
      <c r="A606" s="32"/>
      <c r="B606" s="32"/>
      <c r="C606" s="32"/>
      <c r="D606" s="32"/>
      <c r="E606" s="32"/>
      <c r="F606" s="32"/>
      <c r="G606" s="32"/>
      <c r="H606" s="32"/>
      <c r="I606" s="32"/>
      <c r="J606" s="32"/>
      <c r="K606" s="32"/>
      <c r="L606" s="32"/>
      <c r="M606" s="32"/>
      <c r="N606" s="32"/>
      <c r="O606" s="32"/>
      <c r="P606" s="32"/>
      <c r="Q606" s="32"/>
      <c r="R606" s="32"/>
      <c r="S606" s="32"/>
      <c r="T606" s="32"/>
      <c r="U606" s="32"/>
      <c r="V606" s="32"/>
      <c r="W606" s="32"/>
      <c r="X606" s="32"/>
      <c r="Y606" s="32"/>
      <c r="Z606" s="32"/>
      <c r="AA606" s="32"/>
      <c r="AB606" s="32"/>
      <c r="AC606" s="32"/>
      <c r="AD606" s="32"/>
      <c r="AE606" s="32"/>
      <c r="AF606" s="32"/>
      <c r="AG606" s="32"/>
      <c r="AH606" s="32"/>
      <c r="AI606" s="32"/>
      <c r="AJ606" s="32"/>
    </row>
    <row r="607">
      <c r="A607" s="32"/>
      <c r="B607" s="32"/>
      <c r="C607" s="32"/>
      <c r="D607" s="32"/>
      <c r="E607" s="32"/>
      <c r="F607" s="32"/>
      <c r="G607" s="32"/>
      <c r="H607" s="32"/>
      <c r="I607" s="32"/>
      <c r="J607" s="32"/>
      <c r="K607" s="32"/>
      <c r="L607" s="32"/>
      <c r="M607" s="32"/>
      <c r="N607" s="32"/>
      <c r="O607" s="32"/>
      <c r="P607" s="32"/>
      <c r="Q607" s="32"/>
      <c r="R607" s="32"/>
      <c r="S607" s="32"/>
      <c r="T607" s="32"/>
      <c r="U607" s="32"/>
      <c r="V607" s="32"/>
      <c r="W607" s="32"/>
      <c r="X607" s="32"/>
      <c r="Y607" s="32"/>
      <c r="Z607" s="32"/>
      <c r="AA607" s="32"/>
      <c r="AB607" s="32"/>
      <c r="AC607" s="32"/>
      <c r="AD607" s="32"/>
      <c r="AE607" s="32"/>
      <c r="AF607" s="32"/>
      <c r="AG607" s="32"/>
      <c r="AH607" s="32"/>
      <c r="AI607" s="32"/>
      <c r="AJ607" s="32"/>
    </row>
    <row r="608">
      <c r="A608" s="32"/>
      <c r="B608" s="32"/>
      <c r="C608" s="32"/>
      <c r="D608" s="32"/>
      <c r="E608" s="32"/>
      <c r="F608" s="32"/>
      <c r="G608" s="32"/>
      <c r="H608" s="32"/>
      <c r="I608" s="32"/>
      <c r="J608" s="32"/>
      <c r="K608" s="32"/>
      <c r="L608" s="32"/>
      <c r="M608" s="32"/>
      <c r="N608" s="32"/>
      <c r="O608" s="32"/>
      <c r="P608" s="32"/>
      <c r="Q608" s="32"/>
      <c r="R608" s="32"/>
      <c r="S608" s="32"/>
      <c r="T608" s="32"/>
      <c r="U608" s="32"/>
      <c r="V608" s="32"/>
      <c r="W608" s="32"/>
      <c r="X608" s="32"/>
      <c r="Y608" s="32"/>
      <c r="Z608" s="32"/>
      <c r="AA608" s="32"/>
      <c r="AB608" s="32"/>
      <c r="AC608" s="32"/>
      <c r="AD608" s="32"/>
      <c r="AE608" s="32"/>
      <c r="AF608" s="32"/>
      <c r="AG608" s="32"/>
      <c r="AH608" s="32"/>
      <c r="AI608" s="32"/>
      <c r="AJ608" s="32"/>
    </row>
    <row r="609">
      <c r="A609" s="32"/>
      <c r="B609" s="32"/>
      <c r="C609" s="32"/>
      <c r="D609" s="32"/>
      <c r="E609" s="32"/>
      <c r="F609" s="32"/>
      <c r="G609" s="32"/>
      <c r="H609" s="32"/>
      <c r="I609" s="32"/>
      <c r="J609" s="32"/>
      <c r="K609" s="32"/>
      <c r="L609" s="32"/>
      <c r="M609" s="32"/>
      <c r="N609" s="32"/>
      <c r="O609" s="32"/>
      <c r="P609" s="32"/>
      <c r="Q609" s="32"/>
      <c r="R609" s="32"/>
      <c r="S609" s="32"/>
      <c r="T609" s="32"/>
      <c r="U609" s="32"/>
      <c r="V609" s="32"/>
      <c r="W609" s="32"/>
      <c r="X609" s="32"/>
      <c r="Y609" s="32"/>
      <c r="Z609" s="32"/>
      <c r="AA609" s="32"/>
      <c r="AB609" s="32"/>
      <c r="AC609" s="32"/>
      <c r="AD609" s="32"/>
      <c r="AE609" s="32"/>
      <c r="AF609" s="32"/>
      <c r="AG609" s="32"/>
      <c r="AH609" s="32"/>
      <c r="AI609" s="32"/>
      <c r="AJ609" s="32"/>
    </row>
    <row r="610">
      <c r="A610" s="32"/>
      <c r="B610" s="32"/>
      <c r="C610" s="32"/>
      <c r="D610" s="32"/>
      <c r="E610" s="32"/>
      <c r="F610" s="32"/>
      <c r="G610" s="32"/>
      <c r="H610" s="32"/>
      <c r="I610" s="32"/>
      <c r="J610" s="32"/>
      <c r="K610" s="32"/>
      <c r="L610" s="32"/>
      <c r="M610" s="32"/>
      <c r="N610" s="32"/>
      <c r="O610" s="32"/>
      <c r="P610" s="32"/>
      <c r="Q610" s="32"/>
      <c r="R610" s="32"/>
      <c r="S610" s="32"/>
      <c r="T610" s="32"/>
      <c r="U610" s="32"/>
      <c r="V610" s="32"/>
      <c r="W610" s="32"/>
      <c r="X610" s="32"/>
      <c r="Y610" s="32"/>
      <c r="Z610" s="32"/>
      <c r="AA610" s="32"/>
      <c r="AB610" s="32"/>
      <c r="AC610" s="32"/>
      <c r="AD610" s="32"/>
      <c r="AE610" s="32"/>
      <c r="AF610" s="32"/>
      <c r="AG610" s="32"/>
      <c r="AH610" s="32"/>
      <c r="AI610" s="32"/>
      <c r="AJ610" s="32"/>
    </row>
    <row r="611">
      <c r="A611" s="32"/>
      <c r="B611" s="32"/>
      <c r="C611" s="32"/>
      <c r="D611" s="32"/>
      <c r="E611" s="32"/>
      <c r="F611" s="32"/>
      <c r="G611" s="32"/>
      <c r="H611" s="32"/>
      <c r="I611" s="32"/>
      <c r="J611" s="32"/>
      <c r="K611" s="32"/>
      <c r="L611" s="32"/>
      <c r="M611" s="32"/>
      <c r="N611" s="32"/>
      <c r="O611" s="32"/>
      <c r="P611" s="32"/>
      <c r="Q611" s="32"/>
      <c r="R611" s="32"/>
      <c r="S611" s="32"/>
      <c r="T611" s="32"/>
      <c r="U611" s="32"/>
      <c r="V611" s="32"/>
      <c r="W611" s="32"/>
      <c r="X611" s="32"/>
      <c r="Y611" s="32"/>
      <c r="Z611" s="32"/>
      <c r="AA611" s="32"/>
      <c r="AB611" s="32"/>
      <c r="AC611" s="32"/>
      <c r="AD611" s="32"/>
      <c r="AE611" s="32"/>
      <c r="AF611" s="32"/>
      <c r="AG611" s="32"/>
      <c r="AH611" s="32"/>
      <c r="AI611" s="32"/>
      <c r="AJ611" s="32"/>
    </row>
    <row r="612">
      <c r="A612" s="32"/>
      <c r="B612" s="32"/>
      <c r="C612" s="32"/>
      <c r="D612" s="32"/>
      <c r="E612" s="32"/>
      <c r="F612" s="32"/>
      <c r="G612" s="32"/>
      <c r="H612" s="32"/>
      <c r="I612" s="32"/>
      <c r="J612" s="32"/>
      <c r="K612" s="32"/>
      <c r="L612" s="32"/>
      <c r="M612" s="32"/>
      <c r="N612" s="32"/>
      <c r="O612" s="32"/>
      <c r="P612" s="32"/>
      <c r="Q612" s="32"/>
      <c r="R612" s="32"/>
      <c r="S612" s="32"/>
      <c r="T612" s="32"/>
      <c r="U612" s="32"/>
      <c r="V612" s="32"/>
      <c r="W612" s="32"/>
      <c r="X612" s="32"/>
      <c r="Y612" s="32"/>
      <c r="Z612" s="32"/>
      <c r="AA612" s="32"/>
      <c r="AB612" s="32"/>
      <c r="AC612" s="32"/>
      <c r="AD612" s="32"/>
      <c r="AE612" s="32"/>
      <c r="AF612" s="32"/>
      <c r="AG612" s="32"/>
      <c r="AH612" s="32"/>
      <c r="AI612" s="32"/>
      <c r="AJ612" s="32"/>
    </row>
    <row r="613">
      <c r="A613" s="32"/>
      <c r="B613" s="32"/>
      <c r="C613" s="32"/>
      <c r="D613" s="32"/>
      <c r="E613" s="32"/>
      <c r="F613" s="32"/>
      <c r="G613" s="32"/>
      <c r="H613" s="32"/>
      <c r="I613" s="32"/>
      <c r="J613" s="32"/>
      <c r="K613" s="32"/>
      <c r="L613" s="32"/>
      <c r="M613" s="32"/>
      <c r="N613" s="32"/>
      <c r="O613" s="32"/>
      <c r="P613" s="32"/>
      <c r="Q613" s="32"/>
      <c r="R613" s="32"/>
      <c r="S613" s="32"/>
      <c r="T613" s="32"/>
      <c r="U613" s="32"/>
      <c r="V613" s="32"/>
      <c r="W613" s="32"/>
      <c r="X613" s="32"/>
      <c r="Y613" s="32"/>
      <c r="Z613" s="32"/>
      <c r="AA613" s="32"/>
      <c r="AB613" s="32"/>
      <c r="AC613" s="32"/>
      <c r="AD613" s="32"/>
      <c r="AE613" s="32"/>
      <c r="AF613" s="32"/>
      <c r="AG613" s="32"/>
      <c r="AH613" s="32"/>
      <c r="AI613" s="32"/>
      <c r="AJ613" s="32"/>
    </row>
    <row r="614">
      <c r="A614" s="32"/>
      <c r="B614" s="32"/>
      <c r="C614" s="32"/>
      <c r="D614" s="32"/>
      <c r="E614" s="32"/>
      <c r="F614" s="32"/>
      <c r="G614" s="32"/>
      <c r="H614" s="32"/>
      <c r="I614" s="32"/>
      <c r="J614" s="32"/>
      <c r="K614" s="32"/>
      <c r="L614" s="32"/>
      <c r="M614" s="32"/>
      <c r="N614" s="32"/>
      <c r="O614" s="32"/>
      <c r="P614" s="32"/>
      <c r="Q614" s="32"/>
      <c r="R614" s="32"/>
      <c r="S614" s="32"/>
      <c r="T614" s="32"/>
      <c r="U614" s="32"/>
      <c r="V614" s="32"/>
      <c r="W614" s="32"/>
      <c r="X614" s="32"/>
      <c r="Y614" s="32"/>
      <c r="Z614" s="32"/>
      <c r="AA614" s="32"/>
      <c r="AB614" s="32"/>
      <c r="AC614" s="32"/>
      <c r="AD614" s="32"/>
      <c r="AE614" s="32"/>
      <c r="AF614" s="32"/>
      <c r="AG614" s="32"/>
      <c r="AH614" s="32"/>
      <c r="AI614" s="32"/>
      <c r="AJ614" s="32"/>
    </row>
    <row r="615">
      <c r="A615" s="32"/>
      <c r="B615" s="32"/>
      <c r="C615" s="32"/>
      <c r="D615" s="32"/>
      <c r="E615" s="32"/>
      <c r="F615" s="32"/>
      <c r="G615" s="32"/>
      <c r="H615" s="32"/>
      <c r="I615" s="32"/>
      <c r="J615" s="32"/>
      <c r="K615" s="32"/>
      <c r="L615" s="32"/>
      <c r="M615" s="32"/>
      <c r="N615" s="32"/>
      <c r="O615" s="32"/>
      <c r="P615" s="32"/>
      <c r="Q615" s="32"/>
      <c r="R615" s="32"/>
      <c r="S615" s="32"/>
      <c r="T615" s="32"/>
      <c r="U615" s="32"/>
      <c r="V615" s="32"/>
      <c r="W615" s="32"/>
      <c r="X615" s="32"/>
      <c r="Y615" s="32"/>
      <c r="Z615" s="32"/>
      <c r="AA615" s="32"/>
      <c r="AB615" s="32"/>
      <c r="AC615" s="32"/>
      <c r="AD615" s="32"/>
      <c r="AE615" s="32"/>
      <c r="AF615" s="32"/>
      <c r="AG615" s="32"/>
      <c r="AH615" s="32"/>
      <c r="AI615" s="32"/>
      <c r="AJ615" s="32"/>
    </row>
    <row r="616">
      <c r="A616" s="32"/>
      <c r="B616" s="32"/>
      <c r="C616" s="32"/>
      <c r="D616" s="32"/>
      <c r="E616" s="32"/>
      <c r="F616" s="32"/>
      <c r="G616" s="32"/>
      <c r="H616" s="32"/>
      <c r="I616" s="32"/>
      <c r="J616" s="32"/>
      <c r="K616" s="32"/>
      <c r="L616" s="32"/>
      <c r="M616" s="32"/>
      <c r="N616" s="32"/>
      <c r="O616" s="32"/>
      <c r="P616" s="32"/>
      <c r="Q616" s="32"/>
      <c r="R616" s="32"/>
      <c r="S616" s="32"/>
      <c r="T616" s="32"/>
      <c r="U616" s="32"/>
      <c r="V616" s="32"/>
      <c r="W616" s="32"/>
      <c r="X616" s="32"/>
      <c r="Y616" s="32"/>
      <c r="Z616" s="32"/>
      <c r="AA616" s="32"/>
      <c r="AB616" s="32"/>
      <c r="AC616" s="32"/>
      <c r="AD616" s="32"/>
      <c r="AE616" s="32"/>
      <c r="AF616" s="32"/>
      <c r="AG616" s="32"/>
      <c r="AH616" s="32"/>
      <c r="AI616" s="32"/>
      <c r="AJ616" s="32"/>
    </row>
    <row r="617">
      <c r="A617" s="32"/>
      <c r="B617" s="32"/>
      <c r="C617" s="32"/>
      <c r="D617" s="32"/>
      <c r="E617" s="32"/>
      <c r="F617" s="32"/>
      <c r="G617" s="32"/>
      <c r="H617" s="32"/>
      <c r="I617" s="32"/>
      <c r="J617" s="32"/>
      <c r="K617" s="32"/>
      <c r="L617" s="32"/>
      <c r="M617" s="32"/>
      <c r="N617" s="32"/>
      <c r="O617" s="32"/>
      <c r="P617" s="32"/>
      <c r="Q617" s="32"/>
      <c r="R617" s="32"/>
      <c r="S617" s="32"/>
      <c r="T617" s="32"/>
      <c r="U617" s="32"/>
      <c r="V617" s="32"/>
      <c r="W617" s="32"/>
      <c r="X617" s="32"/>
      <c r="Y617" s="32"/>
      <c r="Z617" s="32"/>
      <c r="AA617" s="32"/>
      <c r="AB617" s="32"/>
      <c r="AC617" s="32"/>
      <c r="AD617" s="32"/>
      <c r="AE617" s="32"/>
      <c r="AF617" s="32"/>
      <c r="AG617" s="32"/>
      <c r="AH617" s="32"/>
      <c r="AI617" s="32"/>
      <c r="AJ617" s="32"/>
    </row>
    <row r="618">
      <c r="A618" s="32"/>
      <c r="B618" s="32"/>
      <c r="C618" s="32"/>
      <c r="D618" s="32"/>
      <c r="E618" s="32"/>
      <c r="F618" s="32"/>
      <c r="G618" s="32"/>
      <c r="H618" s="32"/>
      <c r="I618" s="32"/>
      <c r="J618" s="32"/>
      <c r="K618" s="32"/>
      <c r="L618" s="32"/>
      <c r="M618" s="32"/>
      <c r="N618" s="32"/>
      <c r="O618" s="32"/>
      <c r="P618" s="32"/>
      <c r="Q618" s="32"/>
      <c r="R618" s="32"/>
      <c r="S618" s="32"/>
      <c r="T618" s="32"/>
      <c r="U618" s="32"/>
      <c r="V618" s="32"/>
      <c r="W618" s="32"/>
      <c r="X618" s="32"/>
      <c r="Y618" s="32"/>
      <c r="Z618" s="32"/>
      <c r="AA618" s="32"/>
      <c r="AB618" s="32"/>
      <c r="AC618" s="32"/>
      <c r="AD618" s="32"/>
      <c r="AE618" s="32"/>
      <c r="AF618" s="32"/>
      <c r="AG618" s="32"/>
      <c r="AH618" s="32"/>
      <c r="AI618" s="32"/>
      <c r="AJ618" s="32"/>
    </row>
    <row r="619">
      <c r="A619" s="32"/>
      <c r="B619" s="32"/>
      <c r="C619" s="32"/>
      <c r="D619" s="32"/>
      <c r="E619" s="32"/>
      <c r="F619" s="32"/>
      <c r="G619" s="32"/>
      <c r="H619" s="32"/>
      <c r="I619" s="32"/>
      <c r="J619" s="32"/>
      <c r="K619" s="32"/>
      <c r="L619" s="32"/>
      <c r="M619" s="32"/>
      <c r="N619" s="32"/>
      <c r="O619" s="32"/>
      <c r="P619" s="32"/>
      <c r="Q619" s="32"/>
      <c r="R619" s="32"/>
      <c r="S619" s="32"/>
      <c r="T619" s="32"/>
      <c r="U619" s="32"/>
      <c r="V619" s="32"/>
      <c r="W619" s="32"/>
      <c r="X619" s="32"/>
      <c r="Y619" s="32"/>
      <c r="Z619" s="32"/>
      <c r="AA619" s="32"/>
      <c r="AB619" s="32"/>
      <c r="AC619" s="32"/>
      <c r="AD619" s="32"/>
      <c r="AE619" s="32"/>
      <c r="AF619" s="32"/>
      <c r="AG619" s="32"/>
      <c r="AH619" s="32"/>
      <c r="AI619" s="32"/>
      <c r="AJ619" s="32"/>
    </row>
    <row r="620">
      <c r="A620" s="32"/>
      <c r="B620" s="32"/>
      <c r="C620" s="32"/>
      <c r="D620" s="32"/>
      <c r="E620" s="32"/>
      <c r="F620" s="32"/>
      <c r="G620" s="32"/>
      <c r="H620" s="32"/>
      <c r="I620" s="32"/>
      <c r="J620" s="32"/>
      <c r="K620" s="32"/>
      <c r="L620" s="32"/>
      <c r="M620" s="32"/>
      <c r="N620" s="32"/>
      <c r="O620" s="32"/>
      <c r="P620" s="32"/>
      <c r="Q620" s="32"/>
      <c r="R620" s="32"/>
      <c r="S620" s="32"/>
      <c r="T620" s="32"/>
      <c r="U620" s="32"/>
      <c r="V620" s="32"/>
      <c r="W620" s="32"/>
      <c r="X620" s="32"/>
      <c r="Y620" s="32"/>
      <c r="Z620" s="32"/>
      <c r="AA620" s="32"/>
      <c r="AB620" s="32"/>
      <c r="AC620" s="32"/>
      <c r="AD620" s="32"/>
      <c r="AE620" s="32"/>
      <c r="AF620" s="32"/>
      <c r="AG620" s="32"/>
      <c r="AH620" s="32"/>
      <c r="AI620" s="32"/>
      <c r="AJ620" s="32"/>
    </row>
    <row r="621">
      <c r="A621" s="32"/>
      <c r="B621" s="32"/>
      <c r="C621" s="32"/>
      <c r="D621" s="32"/>
      <c r="E621" s="32"/>
      <c r="F621" s="32"/>
      <c r="G621" s="32"/>
      <c r="H621" s="32"/>
      <c r="I621" s="32"/>
      <c r="J621" s="32"/>
      <c r="K621" s="32"/>
      <c r="L621" s="32"/>
      <c r="M621" s="32"/>
      <c r="N621" s="32"/>
      <c r="O621" s="32"/>
      <c r="P621" s="32"/>
      <c r="Q621" s="32"/>
      <c r="R621" s="32"/>
      <c r="S621" s="32"/>
      <c r="T621" s="32"/>
      <c r="U621" s="32"/>
      <c r="V621" s="32"/>
      <c r="W621" s="32"/>
      <c r="X621" s="32"/>
      <c r="Y621" s="32"/>
      <c r="Z621" s="32"/>
      <c r="AA621" s="32"/>
      <c r="AB621" s="32"/>
      <c r="AC621" s="32"/>
      <c r="AD621" s="32"/>
      <c r="AE621" s="32"/>
      <c r="AF621" s="32"/>
      <c r="AG621" s="32"/>
      <c r="AH621" s="32"/>
      <c r="AI621" s="32"/>
      <c r="AJ621" s="32"/>
    </row>
    <row r="622">
      <c r="A622" s="32"/>
      <c r="B622" s="32"/>
      <c r="C622" s="32"/>
      <c r="D622" s="32"/>
      <c r="E622" s="32"/>
      <c r="F622" s="32"/>
      <c r="G622" s="32"/>
      <c r="H622" s="32"/>
      <c r="I622" s="32"/>
      <c r="J622" s="32"/>
      <c r="K622" s="32"/>
      <c r="L622" s="32"/>
      <c r="M622" s="32"/>
      <c r="N622" s="32"/>
      <c r="O622" s="32"/>
      <c r="P622" s="32"/>
      <c r="Q622" s="32"/>
      <c r="R622" s="32"/>
      <c r="S622" s="32"/>
      <c r="T622" s="32"/>
      <c r="U622" s="32"/>
      <c r="V622" s="32"/>
      <c r="W622" s="32"/>
      <c r="X622" s="32"/>
      <c r="Y622" s="32"/>
      <c r="Z622" s="32"/>
      <c r="AA622" s="32"/>
      <c r="AB622" s="32"/>
      <c r="AC622" s="32"/>
      <c r="AD622" s="32"/>
      <c r="AE622" s="32"/>
      <c r="AF622" s="32"/>
      <c r="AG622" s="32"/>
      <c r="AH622" s="32"/>
      <c r="AI622" s="32"/>
      <c r="AJ622" s="32"/>
    </row>
    <row r="623">
      <c r="A623" s="32"/>
      <c r="B623" s="32"/>
      <c r="C623" s="32"/>
      <c r="D623" s="32"/>
      <c r="E623" s="32"/>
      <c r="F623" s="32"/>
      <c r="G623" s="32"/>
      <c r="H623" s="32"/>
      <c r="I623" s="32"/>
      <c r="J623" s="32"/>
      <c r="K623" s="32"/>
      <c r="L623" s="32"/>
      <c r="M623" s="32"/>
      <c r="N623" s="32"/>
      <c r="O623" s="32"/>
      <c r="P623" s="32"/>
      <c r="Q623" s="32"/>
      <c r="R623" s="32"/>
      <c r="S623" s="32"/>
      <c r="T623" s="32"/>
      <c r="U623" s="32"/>
      <c r="V623" s="32"/>
      <c r="W623" s="32"/>
      <c r="X623" s="32"/>
      <c r="Y623" s="32"/>
      <c r="Z623" s="32"/>
      <c r="AA623" s="32"/>
      <c r="AB623" s="32"/>
      <c r="AC623" s="32"/>
      <c r="AD623" s="32"/>
      <c r="AE623" s="32"/>
      <c r="AF623" s="32"/>
      <c r="AG623" s="32"/>
      <c r="AH623" s="32"/>
      <c r="AI623" s="32"/>
      <c r="AJ623" s="32"/>
    </row>
    <row r="624">
      <c r="A624" s="32"/>
      <c r="B624" s="32"/>
      <c r="C624" s="32"/>
      <c r="D624" s="32"/>
      <c r="E624" s="32"/>
      <c r="F624" s="32"/>
      <c r="G624" s="32"/>
      <c r="H624" s="32"/>
      <c r="I624" s="32"/>
      <c r="J624" s="32"/>
      <c r="K624" s="32"/>
      <c r="L624" s="32"/>
      <c r="M624" s="32"/>
      <c r="N624" s="32"/>
      <c r="O624" s="32"/>
      <c r="P624" s="32"/>
      <c r="Q624" s="32"/>
      <c r="R624" s="32"/>
      <c r="S624" s="32"/>
      <c r="T624" s="32"/>
      <c r="U624" s="32"/>
      <c r="V624" s="32"/>
      <c r="W624" s="32"/>
      <c r="X624" s="32"/>
      <c r="Y624" s="32"/>
      <c r="Z624" s="32"/>
      <c r="AA624" s="32"/>
      <c r="AB624" s="32"/>
      <c r="AC624" s="32"/>
      <c r="AD624" s="32"/>
      <c r="AE624" s="32"/>
      <c r="AF624" s="32"/>
      <c r="AG624" s="32"/>
      <c r="AH624" s="32"/>
      <c r="AI624" s="32"/>
      <c r="AJ624" s="32"/>
    </row>
    <row r="625">
      <c r="A625" s="32"/>
      <c r="B625" s="32"/>
      <c r="C625" s="32"/>
      <c r="D625" s="32"/>
      <c r="E625" s="32"/>
      <c r="F625" s="32"/>
      <c r="G625" s="32"/>
      <c r="H625" s="32"/>
      <c r="I625" s="32"/>
      <c r="J625" s="32"/>
      <c r="K625" s="32"/>
      <c r="L625" s="32"/>
      <c r="M625" s="32"/>
      <c r="N625" s="32"/>
      <c r="O625" s="32"/>
      <c r="P625" s="32"/>
      <c r="Q625" s="32"/>
      <c r="R625" s="32"/>
      <c r="S625" s="32"/>
      <c r="T625" s="32"/>
      <c r="U625" s="32"/>
      <c r="V625" s="32"/>
      <c r="W625" s="32"/>
      <c r="X625" s="32"/>
      <c r="Y625" s="32"/>
      <c r="Z625" s="32"/>
      <c r="AA625" s="32"/>
      <c r="AB625" s="32"/>
      <c r="AC625" s="32"/>
      <c r="AD625" s="32"/>
      <c r="AE625" s="32"/>
      <c r="AF625" s="32"/>
      <c r="AG625" s="32"/>
      <c r="AH625" s="32"/>
      <c r="AI625" s="32"/>
      <c r="AJ625" s="32"/>
    </row>
    <row r="626">
      <c r="A626" s="32"/>
      <c r="B626" s="32"/>
      <c r="C626" s="32"/>
      <c r="D626" s="32"/>
      <c r="E626" s="32"/>
      <c r="F626" s="32"/>
      <c r="G626" s="32"/>
      <c r="H626" s="32"/>
      <c r="I626" s="32"/>
      <c r="J626" s="32"/>
      <c r="K626" s="32"/>
      <c r="L626" s="32"/>
      <c r="M626" s="32"/>
      <c r="N626" s="32"/>
      <c r="O626" s="32"/>
      <c r="P626" s="32"/>
      <c r="Q626" s="32"/>
      <c r="R626" s="32"/>
      <c r="S626" s="32"/>
      <c r="T626" s="32"/>
      <c r="U626" s="32"/>
      <c r="V626" s="32"/>
      <c r="W626" s="32"/>
      <c r="X626" s="32"/>
      <c r="Y626" s="32"/>
      <c r="Z626" s="32"/>
      <c r="AA626" s="32"/>
      <c r="AB626" s="32"/>
      <c r="AC626" s="32"/>
      <c r="AD626" s="32"/>
      <c r="AE626" s="32"/>
      <c r="AF626" s="32"/>
      <c r="AG626" s="32"/>
      <c r="AH626" s="32"/>
      <c r="AI626" s="32"/>
      <c r="AJ626" s="32"/>
    </row>
    <row r="627">
      <c r="A627" s="32"/>
      <c r="B627" s="32"/>
      <c r="C627" s="32"/>
      <c r="D627" s="32"/>
      <c r="E627" s="32"/>
      <c r="F627" s="32"/>
      <c r="G627" s="32"/>
      <c r="H627" s="32"/>
      <c r="I627" s="32"/>
      <c r="J627" s="32"/>
      <c r="K627" s="32"/>
      <c r="L627" s="32"/>
      <c r="M627" s="32"/>
      <c r="N627" s="32"/>
      <c r="O627" s="32"/>
      <c r="P627" s="32"/>
      <c r="Q627" s="32"/>
      <c r="R627" s="32"/>
      <c r="S627" s="32"/>
      <c r="T627" s="32"/>
      <c r="U627" s="32"/>
      <c r="V627" s="32"/>
      <c r="W627" s="32"/>
      <c r="X627" s="32"/>
      <c r="Y627" s="32"/>
      <c r="Z627" s="32"/>
      <c r="AA627" s="32"/>
      <c r="AB627" s="32"/>
      <c r="AC627" s="32"/>
      <c r="AD627" s="32"/>
      <c r="AE627" s="32"/>
      <c r="AF627" s="32"/>
      <c r="AG627" s="32"/>
      <c r="AH627" s="32"/>
      <c r="AI627" s="32"/>
      <c r="AJ627" s="32"/>
    </row>
    <row r="628">
      <c r="A628" s="32"/>
      <c r="B628" s="32"/>
      <c r="C628" s="32"/>
      <c r="D628" s="32"/>
      <c r="E628" s="32"/>
      <c r="F628" s="32"/>
      <c r="G628" s="32"/>
      <c r="H628" s="32"/>
      <c r="I628" s="32"/>
      <c r="J628" s="32"/>
      <c r="K628" s="32"/>
      <c r="L628" s="32"/>
      <c r="M628" s="32"/>
      <c r="N628" s="32"/>
      <c r="O628" s="32"/>
      <c r="P628" s="32"/>
      <c r="Q628" s="32"/>
      <c r="R628" s="32"/>
      <c r="S628" s="32"/>
      <c r="T628" s="32"/>
      <c r="U628" s="32"/>
      <c r="V628" s="32"/>
      <c r="W628" s="32"/>
      <c r="X628" s="32"/>
      <c r="Y628" s="32"/>
      <c r="Z628" s="32"/>
      <c r="AA628" s="32"/>
      <c r="AB628" s="32"/>
      <c r="AC628" s="32"/>
      <c r="AD628" s="32"/>
      <c r="AE628" s="32"/>
      <c r="AF628" s="32"/>
      <c r="AG628" s="32"/>
      <c r="AH628" s="32"/>
      <c r="AI628" s="32"/>
      <c r="AJ628" s="32"/>
    </row>
    <row r="629">
      <c r="A629" s="32"/>
      <c r="B629" s="32"/>
      <c r="C629" s="32"/>
      <c r="D629" s="32"/>
      <c r="E629" s="32"/>
      <c r="F629" s="32"/>
      <c r="G629" s="32"/>
      <c r="H629" s="32"/>
      <c r="I629" s="32"/>
      <c r="J629" s="32"/>
      <c r="K629" s="32"/>
      <c r="L629" s="32"/>
      <c r="M629" s="32"/>
      <c r="N629" s="32"/>
      <c r="O629" s="32"/>
      <c r="P629" s="32"/>
      <c r="Q629" s="32"/>
      <c r="R629" s="32"/>
      <c r="S629" s="32"/>
      <c r="T629" s="32"/>
      <c r="U629" s="32"/>
      <c r="V629" s="32"/>
      <c r="W629" s="32"/>
      <c r="X629" s="32"/>
      <c r="Y629" s="32"/>
      <c r="Z629" s="32"/>
      <c r="AA629" s="32"/>
      <c r="AB629" s="32"/>
      <c r="AC629" s="32"/>
      <c r="AD629" s="32"/>
      <c r="AE629" s="32"/>
      <c r="AF629" s="32"/>
      <c r="AG629" s="32"/>
      <c r="AH629" s="32"/>
      <c r="AI629" s="32"/>
      <c r="AJ629" s="32"/>
    </row>
    <row r="630">
      <c r="A630" s="32"/>
      <c r="B630" s="32"/>
      <c r="C630" s="32"/>
      <c r="D630" s="32"/>
      <c r="E630" s="32"/>
      <c r="F630" s="32"/>
      <c r="G630" s="32"/>
      <c r="H630" s="32"/>
      <c r="I630" s="32"/>
      <c r="J630" s="32"/>
      <c r="K630" s="32"/>
      <c r="L630" s="32"/>
      <c r="M630" s="32"/>
      <c r="N630" s="32"/>
      <c r="O630" s="32"/>
      <c r="P630" s="32"/>
      <c r="Q630" s="32"/>
      <c r="R630" s="32"/>
      <c r="S630" s="32"/>
      <c r="T630" s="32"/>
      <c r="U630" s="32"/>
      <c r="V630" s="32"/>
      <c r="W630" s="32"/>
      <c r="X630" s="32"/>
      <c r="Y630" s="32"/>
      <c r="Z630" s="32"/>
      <c r="AA630" s="32"/>
      <c r="AB630" s="32"/>
      <c r="AC630" s="32"/>
      <c r="AD630" s="32"/>
      <c r="AE630" s="32"/>
      <c r="AF630" s="32"/>
      <c r="AG630" s="32"/>
      <c r="AH630" s="32"/>
      <c r="AI630" s="32"/>
      <c r="AJ630" s="32"/>
    </row>
    <row r="631">
      <c r="A631" s="32"/>
      <c r="B631" s="32"/>
      <c r="C631" s="32"/>
      <c r="D631" s="32"/>
      <c r="E631" s="32"/>
      <c r="F631" s="32"/>
      <c r="G631" s="32"/>
      <c r="H631" s="32"/>
      <c r="I631" s="32"/>
      <c r="J631" s="32"/>
      <c r="K631" s="32"/>
      <c r="L631" s="32"/>
      <c r="M631" s="32"/>
      <c r="N631" s="32"/>
      <c r="O631" s="32"/>
      <c r="P631" s="32"/>
      <c r="Q631" s="32"/>
      <c r="R631" s="32"/>
      <c r="S631" s="32"/>
      <c r="T631" s="32"/>
      <c r="U631" s="32"/>
      <c r="V631" s="32"/>
      <c r="W631" s="32"/>
      <c r="X631" s="32"/>
      <c r="Y631" s="32"/>
      <c r="Z631" s="32"/>
      <c r="AA631" s="32"/>
      <c r="AB631" s="32"/>
      <c r="AC631" s="32"/>
      <c r="AD631" s="32"/>
      <c r="AE631" s="32"/>
      <c r="AF631" s="32"/>
      <c r="AG631" s="32"/>
      <c r="AH631" s="32"/>
      <c r="AI631" s="32"/>
      <c r="AJ631" s="32"/>
    </row>
    <row r="632">
      <c r="A632" s="32"/>
      <c r="B632" s="32"/>
      <c r="C632" s="32"/>
      <c r="D632" s="32"/>
      <c r="E632" s="32"/>
      <c r="F632" s="32"/>
      <c r="G632" s="32"/>
      <c r="H632" s="32"/>
      <c r="I632" s="32"/>
      <c r="J632" s="32"/>
      <c r="K632" s="32"/>
      <c r="L632" s="32"/>
      <c r="M632" s="32"/>
      <c r="N632" s="32"/>
      <c r="O632" s="32"/>
      <c r="P632" s="32"/>
      <c r="Q632" s="32"/>
      <c r="R632" s="32"/>
      <c r="S632" s="32"/>
      <c r="T632" s="32"/>
      <c r="U632" s="32"/>
      <c r="V632" s="32"/>
      <c r="W632" s="32"/>
      <c r="X632" s="32"/>
      <c r="Y632" s="32"/>
      <c r="Z632" s="32"/>
      <c r="AA632" s="32"/>
      <c r="AB632" s="32"/>
      <c r="AC632" s="32"/>
      <c r="AD632" s="32"/>
      <c r="AE632" s="32"/>
      <c r="AF632" s="32"/>
      <c r="AG632" s="32"/>
      <c r="AH632" s="32"/>
      <c r="AI632" s="32"/>
      <c r="AJ632" s="32"/>
    </row>
    <row r="633">
      <c r="A633" s="32"/>
      <c r="B633" s="32"/>
      <c r="C633" s="32"/>
      <c r="D633" s="32"/>
      <c r="E633" s="32"/>
      <c r="F633" s="32"/>
      <c r="G633" s="32"/>
      <c r="H633" s="32"/>
      <c r="I633" s="32"/>
      <c r="J633" s="32"/>
      <c r="K633" s="32"/>
      <c r="L633" s="32"/>
      <c r="M633" s="32"/>
      <c r="N633" s="32"/>
      <c r="O633" s="32"/>
      <c r="P633" s="32"/>
      <c r="Q633" s="32"/>
      <c r="R633" s="32"/>
      <c r="S633" s="32"/>
      <c r="T633" s="32"/>
      <c r="U633" s="32"/>
      <c r="V633" s="32"/>
      <c r="W633" s="32"/>
      <c r="X633" s="32"/>
      <c r="Y633" s="32"/>
      <c r="Z633" s="32"/>
      <c r="AA633" s="32"/>
      <c r="AB633" s="32"/>
      <c r="AC633" s="32"/>
      <c r="AD633" s="32"/>
      <c r="AE633" s="32"/>
      <c r="AF633" s="32"/>
      <c r="AG633" s="32"/>
      <c r="AH633" s="32"/>
      <c r="AI633" s="32"/>
      <c r="AJ633" s="32"/>
    </row>
    <row r="634">
      <c r="A634" s="32"/>
      <c r="B634" s="32"/>
      <c r="C634" s="32"/>
      <c r="D634" s="32"/>
      <c r="E634" s="32"/>
      <c r="F634" s="32"/>
      <c r="G634" s="32"/>
      <c r="H634" s="32"/>
      <c r="I634" s="32"/>
      <c r="J634" s="32"/>
      <c r="K634" s="32"/>
      <c r="L634" s="32"/>
      <c r="M634" s="32"/>
      <c r="N634" s="32"/>
      <c r="O634" s="32"/>
      <c r="P634" s="32"/>
      <c r="Q634" s="32"/>
      <c r="R634" s="32"/>
      <c r="S634" s="32"/>
      <c r="T634" s="32"/>
      <c r="U634" s="32"/>
      <c r="V634" s="32"/>
      <c r="W634" s="32"/>
      <c r="X634" s="32"/>
      <c r="Y634" s="32"/>
      <c r="Z634" s="32"/>
      <c r="AA634" s="32"/>
      <c r="AB634" s="32"/>
      <c r="AC634" s="32"/>
      <c r="AD634" s="32"/>
      <c r="AE634" s="32"/>
      <c r="AF634" s="32"/>
      <c r="AG634" s="32"/>
      <c r="AH634" s="32"/>
      <c r="AI634" s="32"/>
      <c r="AJ634" s="32"/>
    </row>
    <row r="635">
      <c r="A635" s="32"/>
      <c r="B635" s="32"/>
      <c r="C635" s="32"/>
      <c r="D635" s="32"/>
      <c r="E635" s="32"/>
      <c r="F635" s="32"/>
      <c r="G635" s="32"/>
      <c r="H635" s="32"/>
      <c r="I635" s="32"/>
      <c r="J635" s="32"/>
      <c r="K635" s="32"/>
      <c r="L635" s="32"/>
      <c r="M635" s="32"/>
      <c r="N635" s="32"/>
      <c r="O635" s="32"/>
      <c r="P635" s="32"/>
      <c r="Q635" s="32"/>
      <c r="R635" s="32"/>
      <c r="S635" s="32"/>
      <c r="T635" s="32"/>
      <c r="U635" s="32"/>
      <c r="V635" s="32"/>
      <c r="W635" s="32"/>
      <c r="X635" s="32"/>
      <c r="Y635" s="32"/>
      <c r="Z635" s="32"/>
      <c r="AA635" s="32"/>
      <c r="AB635" s="32"/>
      <c r="AC635" s="32"/>
      <c r="AD635" s="32"/>
      <c r="AE635" s="32"/>
      <c r="AF635" s="32"/>
      <c r="AG635" s="32"/>
      <c r="AH635" s="32"/>
      <c r="AI635" s="32"/>
      <c r="AJ635" s="32"/>
    </row>
    <row r="636">
      <c r="A636" s="32"/>
      <c r="B636" s="32"/>
      <c r="C636" s="32"/>
      <c r="D636" s="32"/>
      <c r="E636" s="32"/>
      <c r="F636" s="32"/>
      <c r="G636" s="32"/>
      <c r="H636" s="32"/>
      <c r="I636" s="32"/>
      <c r="J636" s="32"/>
      <c r="K636" s="32"/>
      <c r="L636" s="32"/>
      <c r="M636" s="32"/>
      <c r="N636" s="32"/>
      <c r="O636" s="32"/>
      <c r="P636" s="32"/>
      <c r="Q636" s="32"/>
      <c r="R636" s="32"/>
      <c r="S636" s="32"/>
      <c r="T636" s="32"/>
      <c r="U636" s="32"/>
      <c r="V636" s="32"/>
      <c r="W636" s="32"/>
      <c r="X636" s="32"/>
      <c r="Y636" s="32"/>
      <c r="Z636" s="32"/>
      <c r="AA636" s="32"/>
      <c r="AB636" s="32"/>
      <c r="AC636" s="32"/>
      <c r="AD636" s="32"/>
      <c r="AE636" s="32"/>
      <c r="AF636" s="32"/>
      <c r="AG636" s="32"/>
      <c r="AH636" s="32"/>
      <c r="AI636" s="32"/>
      <c r="AJ636" s="32"/>
    </row>
    <row r="637">
      <c r="A637" s="32"/>
      <c r="B637" s="32"/>
      <c r="C637" s="32"/>
      <c r="D637" s="32"/>
      <c r="E637" s="32"/>
      <c r="F637" s="32"/>
      <c r="G637" s="32"/>
      <c r="H637" s="32"/>
      <c r="I637" s="32"/>
      <c r="J637" s="32"/>
      <c r="K637" s="32"/>
      <c r="L637" s="32"/>
      <c r="M637" s="32"/>
      <c r="N637" s="32"/>
      <c r="O637" s="32"/>
      <c r="P637" s="32"/>
      <c r="Q637" s="32"/>
      <c r="R637" s="32"/>
      <c r="S637" s="32"/>
      <c r="T637" s="32"/>
      <c r="U637" s="32"/>
      <c r="V637" s="32"/>
      <c r="W637" s="32"/>
      <c r="X637" s="32"/>
      <c r="Y637" s="32"/>
      <c r="Z637" s="32"/>
      <c r="AA637" s="32"/>
      <c r="AB637" s="32"/>
      <c r="AC637" s="32"/>
      <c r="AD637" s="32"/>
      <c r="AE637" s="32"/>
      <c r="AF637" s="32"/>
      <c r="AG637" s="32"/>
      <c r="AH637" s="32"/>
      <c r="AI637" s="32"/>
      <c r="AJ637" s="32"/>
    </row>
    <row r="638">
      <c r="A638" s="32"/>
      <c r="B638" s="32"/>
      <c r="C638" s="32"/>
      <c r="D638" s="32"/>
      <c r="E638" s="32"/>
      <c r="F638" s="32"/>
      <c r="G638" s="32"/>
      <c r="H638" s="32"/>
      <c r="I638" s="32"/>
      <c r="J638" s="32"/>
      <c r="K638" s="32"/>
      <c r="L638" s="32"/>
      <c r="M638" s="32"/>
      <c r="N638" s="32"/>
      <c r="O638" s="32"/>
      <c r="P638" s="32"/>
      <c r="Q638" s="32"/>
      <c r="R638" s="32"/>
      <c r="S638" s="32"/>
      <c r="T638" s="32"/>
      <c r="U638" s="32"/>
      <c r="V638" s="32"/>
      <c r="W638" s="32"/>
      <c r="X638" s="32"/>
      <c r="Y638" s="32"/>
      <c r="Z638" s="32"/>
      <c r="AA638" s="32"/>
      <c r="AB638" s="32"/>
      <c r="AC638" s="32"/>
      <c r="AD638" s="32"/>
      <c r="AE638" s="32"/>
      <c r="AF638" s="32"/>
      <c r="AG638" s="32"/>
      <c r="AH638" s="32"/>
      <c r="AI638" s="32"/>
      <c r="AJ638" s="32"/>
    </row>
    <row r="639">
      <c r="A639" s="32"/>
      <c r="B639" s="32"/>
      <c r="C639" s="32"/>
      <c r="D639" s="32"/>
      <c r="E639" s="32"/>
      <c r="F639" s="32"/>
      <c r="G639" s="32"/>
      <c r="H639" s="32"/>
      <c r="I639" s="32"/>
      <c r="J639" s="32"/>
      <c r="K639" s="32"/>
      <c r="L639" s="32"/>
      <c r="M639" s="32"/>
      <c r="N639" s="32"/>
      <c r="O639" s="32"/>
      <c r="P639" s="32"/>
      <c r="Q639" s="32"/>
      <c r="R639" s="32"/>
      <c r="S639" s="32"/>
      <c r="T639" s="32"/>
      <c r="U639" s="32"/>
      <c r="V639" s="32"/>
      <c r="W639" s="32"/>
      <c r="X639" s="32"/>
      <c r="Y639" s="32"/>
      <c r="Z639" s="32"/>
      <c r="AA639" s="32"/>
      <c r="AB639" s="32"/>
      <c r="AC639" s="32"/>
      <c r="AD639" s="32"/>
      <c r="AE639" s="32"/>
      <c r="AF639" s="32"/>
      <c r="AG639" s="32"/>
      <c r="AH639" s="32"/>
      <c r="AI639" s="32"/>
      <c r="AJ639" s="32"/>
    </row>
    <row r="640">
      <c r="A640" s="32"/>
      <c r="B640" s="32"/>
      <c r="C640" s="32"/>
      <c r="D640" s="32"/>
      <c r="E640" s="32"/>
      <c r="F640" s="32"/>
      <c r="G640" s="32"/>
      <c r="H640" s="32"/>
      <c r="I640" s="32"/>
      <c r="J640" s="32"/>
      <c r="K640" s="32"/>
      <c r="L640" s="32"/>
      <c r="M640" s="32"/>
      <c r="N640" s="32"/>
      <c r="O640" s="32"/>
      <c r="P640" s="32"/>
      <c r="Q640" s="32"/>
      <c r="R640" s="32"/>
      <c r="S640" s="32"/>
      <c r="T640" s="32"/>
      <c r="U640" s="32"/>
      <c r="V640" s="32"/>
      <c r="W640" s="32"/>
      <c r="X640" s="32"/>
      <c r="Y640" s="32"/>
      <c r="Z640" s="32"/>
      <c r="AA640" s="32"/>
      <c r="AB640" s="32"/>
      <c r="AC640" s="32"/>
      <c r="AD640" s="32"/>
      <c r="AE640" s="32"/>
      <c r="AF640" s="32"/>
      <c r="AG640" s="32"/>
      <c r="AH640" s="32"/>
      <c r="AI640" s="32"/>
      <c r="AJ640" s="32"/>
    </row>
    <row r="641">
      <c r="A641" s="32"/>
      <c r="B641" s="32"/>
      <c r="C641" s="32"/>
      <c r="D641" s="32"/>
      <c r="E641" s="32"/>
      <c r="F641" s="32"/>
      <c r="G641" s="32"/>
      <c r="H641" s="32"/>
      <c r="I641" s="32"/>
      <c r="J641" s="32"/>
      <c r="K641" s="32"/>
      <c r="L641" s="32"/>
      <c r="M641" s="32"/>
      <c r="N641" s="32"/>
      <c r="O641" s="32"/>
      <c r="P641" s="32"/>
      <c r="Q641" s="32"/>
      <c r="R641" s="32"/>
      <c r="S641" s="32"/>
      <c r="T641" s="32"/>
      <c r="U641" s="32"/>
      <c r="V641" s="32"/>
      <c r="W641" s="32"/>
      <c r="X641" s="32"/>
      <c r="Y641" s="32"/>
      <c r="Z641" s="32"/>
      <c r="AA641" s="32"/>
      <c r="AB641" s="32"/>
      <c r="AC641" s="32"/>
      <c r="AD641" s="32"/>
      <c r="AE641" s="32"/>
      <c r="AF641" s="32"/>
      <c r="AG641" s="32"/>
      <c r="AH641" s="32"/>
      <c r="AI641" s="32"/>
      <c r="AJ641" s="32"/>
    </row>
    <row r="642">
      <c r="A642" s="32"/>
      <c r="B642" s="32"/>
      <c r="C642" s="32"/>
      <c r="D642" s="32"/>
      <c r="E642" s="32"/>
      <c r="F642" s="32"/>
      <c r="G642" s="32"/>
      <c r="H642" s="32"/>
      <c r="I642" s="32"/>
      <c r="J642" s="32"/>
      <c r="K642" s="32"/>
      <c r="L642" s="32"/>
      <c r="M642" s="32"/>
      <c r="N642" s="32"/>
      <c r="O642" s="32"/>
      <c r="P642" s="32"/>
      <c r="Q642" s="32"/>
      <c r="R642" s="32"/>
      <c r="S642" s="32"/>
      <c r="T642" s="32"/>
      <c r="U642" s="32"/>
      <c r="V642" s="32"/>
      <c r="W642" s="32"/>
      <c r="X642" s="32"/>
      <c r="Y642" s="32"/>
      <c r="Z642" s="32"/>
      <c r="AA642" s="32"/>
      <c r="AB642" s="32"/>
      <c r="AC642" s="32"/>
      <c r="AD642" s="32"/>
      <c r="AE642" s="32"/>
      <c r="AF642" s="32"/>
      <c r="AG642" s="32"/>
      <c r="AH642" s="32"/>
      <c r="AI642" s="32"/>
      <c r="AJ642" s="32"/>
    </row>
    <row r="643">
      <c r="A643" s="32"/>
      <c r="B643" s="32"/>
      <c r="C643" s="32"/>
      <c r="D643" s="32"/>
      <c r="E643" s="32"/>
      <c r="F643" s="32"/>
      <c r="G643" s="32"/>
      <c r="H643" s="32"/>
      <c r="I643" s="32"/>
      <c r="J643" s="32"/>
      <c r="K643" s="32"/>
      <c r="L643" s="32"/>
      <c r="M643" s="32"/>
      <c r="N643" s="32"/>
      <c r="O643" s="32"/>
      <c r="P643" s="32"/>
      <c r="Q643" s="32"/>
      <c r="R643" s="32"/>
      <c r="S643" s="32"/>
      <c r="T643" s="32"/>
      <c r="U643" s="32"/>
      <c r="V643" s="32"/>
      <c r="W643" s="32"/>
      <c r="X643" s="32"/>
      <c r="Y643" s="32"/>
      <c r="Z643" s="32"/>
      <c r="AA643" s="32"/>
      <c r="AB643" s="32"/>
      <c r="AC643" s="32"/>
      <c r="AD643" s="32"/>
      <c r="AE643" s="32"/>
      <c r="AF643" s="32"/>
      <c r="AG643" s="32"/>
      <c r="AH643" s="32"/>
      <c r="AI643" s="32"/>
      <c r="AJ643" s="32"/>
    </row>
    <row r="644">
      <c r="A644" s="32"/>
      <c r="B644" s="32"/>
      <c r="C644" s="32"/>
      <c r="D644" s="32"/>
      <c r="E644" s="32"/>
      <c r="F644" s="32"/>
      <c r="G644" s="32"/>
      <c r="H644" s="32"/>
      <c r="I644" s="32"/>
      <c r="J644" s="32"/>
      <c r="K644" s="32"/>
      <c r="L644" s="32"/>
      <c r="M644" s="32"/>
      <c r="N644" s="32"/>
      <c r="O644" s="32"/>
      <c r="P644" s="32"/>
      <c r="Q644" s="32"/>
      <c r="R644" s="32"/>
      <c r="S644" s="32"/>
      <c r="T644" s="32"/>
      <c r="U644" s="32"/>
      <c r="V644" s="32"/>
      <c r="W644" s="32"/>
      <c r="X644" s="32"/>
      <c r="Y644" s="32"/>
      <c r="Z644" s="32"/>
      <c r="AA644" s="32"/>
      <c r="AB644" s="32"/>
      <c r="AC644" s="32"/>
      <c r="AD644" s="32"/>
      <c r="AE644" s="32"/>
      <c r="AF644" s="32"/>
      <c r="AG644" s="32"/>
      <c r="AH644" s="32"/>
      <c r="AI644" s="32"/>
      <c r="AJ644" s="32"/>
    </row>
    <row r="645">
      <c r="A645" s="32"/>
      <c r="B645" s="32"/>
      <c r="C645" s="32"/>
      <c r="D645" s="32"/>
      <c r="E645" s="32"/>
      <c r="F645" s="32"/>
      <c r="G645" s="32"/>
      <c r="H645" s="32"/>
      <c r="I645" s="32"/>
      <c r="J645" s="32"/>
      <c r="K645" s="32"/>
      <c r="L645" s="32"/>
      <c r="M645" s="32"/>
      <c r="N645" s="32"/>
      <c r="O645" s="32"/>
      <c r="P645" s="32"/>
      <c r="Q645" s="32"/>
      <c r="R645" s="32"/>
      <c r="S645" s="32"/>
      <c r="T645" s="32"/>
      <c r="U645" s="32"/>
      <c r="V645" s="32"/>
      <c r="W645" s="32"/>
      <c r="X645" s="32"/>
      <c r="Y645" s="32"/>
      <c r="Z645" s="32"/>
      <c r="AA645" s="32"/>
      <c r="AB645" s="32"/>
      <c r="AC645" s="32"/>
      <c r="AD645" s="32"/>
      <c r="AE645" s="32"/>
      <c r="AF645" s="32"/>
      <c r="AG645" s="32"/>
      <c r="AH645" s="32"/>
      <c r="AI645" s="32"/>
      <c r="AJ645" s="32"/>
    </row>
    <row r="646">
      <c r="A646" s="32"/>
      <c r="B646" s="32"/>
      <c r="C646" s="32"/>
      <c r="D646" s="32"/>
      <c r="E646" s="32"/>
      <c r="F646" s="32"/>
      <c r="G646" s="32"/>
      <c r="H646" s="32"/>
      <c r="I646" s="32"/>
      <c r="J646" s="32"/>
      <c r="K646" s="32"/>
      <c r="L646" s="32"/>
      <c r="M646" s="32"/>
      <c r="N646" s="32"/>
      <c r="O646" s="32"/>
      <c r="P646" s="32"/>
      <c r="Q646" s="32"/>
      <c r="R646" s="32"/>
      <c r="S646" s="32"/>
      <c r="T646" s="32"/>
      <c r="U646" s="32"/>
      <c r="V646" s="32"/>
      <c r="W646" s="32"/>
      <c r="X646" s="32"/>
      <c r="Y646" s="32"/>
      <c r="Z646" s="32"/>
      <c r="AA646" s="32"/>
      <c r="AB646" s="32"/>
      <c r="AC646" s="32"/>
      <c r="AD646" s="32"/>
      <c r="AE646" s="32"/>
      <c r="AF646" s="32"/>
      <c r="AG646" s="32"/>
      <c r="AH646" s="32"/>
      <c r="AI646" s="32"/>
      <c r="AJ646" s="32"/>
    </row>
    <row r="647">
      <c r="A647" s="32"/>
      <c r="B647" s="32"/>
      <c r="C647" s="32"/>
      <c r="D647" s="32"/>
      <c r="E647" s="32"/>
      <c r="F647" s="32"/>
      <c r="G647" s="32"/>
      <c r="H647" s="32"/>
      <c r="I647" s="32"/>
      <c r="J647" s="32"/>
      <c r="K647" s="32"/>
      <c r="L647" s="32"/>
      <c r="M647" s="32"/>
      <c r="N647" s="32"/>
      <c r="O647" s="32"/>
      <c r="P647" s="32"/>
      <c r="Q647" s="32"/>
      <c r="R647" s="32"/>
      <c r="S647" s="32"/>
      <c r="T647" s="32"/>
      <c r="U647" s="32"/>
      <c r="V647" s="32"/>
      <c r="W647" s="32"/>
      <c r="X647" s="32"/>
      <c r="Y647" s="32"/>
      <c r="Z647" s="32"/>
      <c r="AA647" s="32"/>
      <c r="AB647" s="32"/>
      <c r="AC647" s="32"/>
      <c r="AD647" s="32"/>
      <c r="AE647" s="32"/>
      <c r="AF647" s="32"/>
      <c r="AG647" s="32"/>
      <c r="AH647" s="32"/>
      <c r="AI647" s="32"/>
      <c r="AJ647" s="32"/>
    </row>
    <row r="648">
      <c r="A648" s="32"/>
      <c r="B648" s="32"/>
      <c r="C648" s="32"/>
      <c r="D648" s="32"/>
      <c r="E648" s="32"/>
      <c r="F648" s="32"/>
      <c r="G648" s="32"/>
      <c r="H648" s="32"/>
      <c r="I648" s="32"/>
      <c r="J648" s="32"/>
      <c r="K648" s="32"/>
      <c r="L648" s="32"/>
      <c r="M648" s="32"/>
      <c r="N648" s="32"/>
      <c r="O648" s="32"/>
      <c r="P648" s="32"/>
      <c r="Q648" s="32"/>
      <c r="R648" s="32"/>
      <c r="S648" s="32"/>
      <c r="T648" s="32"/>
      <c r="U648" s="32"/>
      <c r="V648" s="32"/>
      <c r="W648" s="32"/>
      <c r="X648" s="32"/>
      <c r="Y648" s="32"/>
      <c r="Z648" s="32"/>
      <c r="AA648" s="32"/>
      <c r="AB648" s="32"/>
      <c r="AC648" s="32"/>
      <c r="AD648" s="32"/>
      <c r="AE648" s="32"/>
      <c r="AF648" s="32"/>
      <c r="AG648" s="32"/>
      <c r="AH648" s="32"/>
      <c r="AI648" s="32"/>
      <c r="AJ648" s="32"/>
    </row>
    <row r="649">
      <c r="A649" s="32"/>
      <c r="B649" s="32"/>
      <c r="C649" s="32"/>
      <c r="D649" s="32"/>
      <c r="E649" s="32"/>
      <c r="F649" s="32"/>
      <c r="G649" s="32"/>
      <c r="H649" s="32"/>
      <c r="I649" s="32"/>
      <c r="J649" s="32"/>
      <c r="K649" s="32"/>
      <c r="L649" s="32"/>
      <c r="M649" s="32"/>
      <c r="N649" s="32"/>
      <c r="O649" s="32"/>
      <c r="P649" s="32"/>
      <c r="Q649" s="32"/>
      <c r="R649" s="32"/>
      <c r="S649" s="32"/>
      <c r="T649" s="32"/>
      <c r="U649" s="32"/>
      <c r="V649" s="32"/>
      <c r="W649" s="32"/>
      <c r="X649" s="32"/>
      <c r="Y649" s="32"/>
      <c r="Z649" s="32"/>
      <c r="AA649" s="32"/>
      <c r="AB649" s="32"/>
      <c r="AC649" s="32"/>
      <c r="AD649" s="32"/>
      <c r="AE649" s="32"/>
      <c r="AF649" s="32"/>
      <c r="AG649" s="32"/>
      <c r="AH649" s="32"/>
      <c r="AI649" s="32"/>
      <c r="AJ649" s="32"/>
    </row>
    <row r="650">
      <c r="A650" s="32"/>
      <c r="B650" s="32"/>
      <c r="C650" s="32"/>
      <c r="D650" s="32"/>
      <c r="E650" s="32"/>
      <c r="F650" s="32"/>
      <c r="G650" s="32"/>
      <c r="H650" s="32"/>
      <c r="I650" s="32"/>
      <c r="J650" s="32"/>
      <c r="K650" s="32"/>
      <c r="L650" s="32"/>
      <c r="M650" s="32"/>
      <c r="N650" s="32"/>
      <c r="O650" s="32"/>
      <c r="P650" s="32"/>
      <c r="Q650" s="32"/>
      <c r="R650" s="32"/>
      <c r="S650" s="32"/>
      <c r="T650" s="32"/>
      <c r="U650" s="32"/>
      <c r="V650" s="32"/>
      <c r="W650" s="32"/>
      <c r="X650" s="32"/>
      <c r="Y650" s="32"/>
      <c r="Z650" s="32"/>
      <c r="AA650" s="32"/>
      <c r="AB650" s="32"/>
      <c r="AC650" s="32"/>
      <c r="AD650" s="32"/>
      <c r="AE650" s="32"/>
      <c r="AF650" s="32"/>
      <c r="AG650" s="32"/>
      <c r="AH650" s="32"/>
      <c r="AI650" s="32"/>
      <c r="AJ650" s="32"/>
    </row>
    <row r="651">
      <c r="A651" s="32"/>
      <c r="B651" s="32"/>
      <c r="C651" s="32"/>
      <c r="D651" s="32"/>
      <c r="E651" s="32"/>
      <c r="F651" s="32"/>
      <c r="G651" s="32"/>
      <c r="H651" s="32"/>
      <c r="I651" s="32"/>
      <c r="J651" s="32"/>
      <c r="K651" s="32"/>
      <c r="L651" s="32"/>
      <c r="M651" s="32"/>
      <c r="N651" s="32"/>
      <c r="O651" s="32"/>
      <c r="P651" s="32"/>
      <c r="Q651" s="32"/>
      <c r="R651" s="32"/>
      <c r="S651" s="32"/>
      <c r="T651" s="32"/>
      <c r="U651" s="32"/>
      <c r="V651" s="32"/>
      <c r="W651" s="32"/>
      <c r="X651" s="32"/>
      <c r="Y651" s="32"/>
      <c r="Z651" s="32"/>
      <c r="AA651" s="32"/>
      <c r="AB651" s="32"/>
      <c r="AC651" s="32"/>
      <c r="AD651" s="32"/>
      <c r="AE651" s="32"/>
      <c r="AF651" s="32"/>
      <c r="AG651" s="32"/>
      <c r="AH651" s="32"/>
      <c r="AI651" s="32"/>
      <c r="AJ651" s="32"/>
    </row>
    <row r="652">
      <c r="A652" s="32"/>
      <c r="B652" s="32"/>
      <c r="C652" s="32"/>
      <c r="D652" s="32"/>
      <c r="E652" s="32"/>
      <c r="F652" s="32"/>
      <c r="G652" s="32"/>
      <c r="H652" s="32"/>
      <c r="I652" s="32"/>
      <c r="J652" s="32"/>
      <c r="K652" s="32"/>
      <c r="L652" s="32"/>
      <c r="M652" s="32"/>
      <c r="N652" s="32"/>
      <c r="O652" s="32"/>
      <c r="P652" s="32"/>
      <c r="Q652" s="32"/>
      <c r="R652" s="32"/>
      <c r="S652" s="32"/>
      <c r="T652" s="32"/>
      <c r="U652" s="32"/>
      <c r="V652" s="32"/>
      <c r="W652" s="32"/>
      <c r="X652" s="32"/>
      <c r="Y652" s="32"/>
      <c r="Z652" s="32"/>
      <c r="AA652" s="32"/>
      <c r="AB652" s="32"/>
      <c r="AC652" s="32"/>
      <c r="AD652" s="32"/>
      <c r="AE652" s="32"/>
      <c r="AF652" s="32"/>
      <c r="AG652" s="32"/>
      <c r="AH652" s="32"/>
      <c r="AI652" s="32"/>
      <c r="AJ652" s="32"/>
    </row>
    <row r="653">
      <c r="A653" s="32"/>
      <c r="B653" s="32"/>
      <c r="C653" s="32"/>
      <c r="D653" s="32"/>
      <c r="E653" s="32"/>
      <c r="F653" s="32"/>
      <c r="G653" s="32"/>
      <c r="H653" s="32"/>
      <c r="I653" s="32"/>
      <c r="J653" s="32"/>
      <c r="K653" s="32"/>
      <c r="L653" s="32"/>
      <c r="M653" s="32"/>
      <c r="N653" s="32"/>
      <c r="O653" s="32"/>
      <c r="P653" s="32"/>
      <c r="Q653" s="32"/>
      <c r="R653" s="32"/>
      <c r="S653" s="32"/>
      <c r="T653" s="32"/>
      <c r="U653" s="32"/>
      <c r="V653" s="32"/>
      <c r="W653" s="32"/>
      <c r="X653" s="32"/>
      <c r="Y653" s="32"/>
      <c r="Z653" s="32"/>
      <c r="AA653" s="32"/>
      <c r="AB653" s="32"/>
      <c r="AC653" s="32"/>
      <c r="AD653" s="32"/>
      <c r="AE653" s="32"/>
      <c r="AF653" s="32"/>
      <c r="AG653" s="32"/>
      <c r="AH653" s="32"/>
      <c r="AI653" s="32"/>
      <c r="AJ653" s="32"/>
    </row>
    <row r="654">
      <c r="A654" s="32"/>
      <c r="B654" s="32"/>
      <c r="C654" s="32"/>
      <c r="D654" s="32"/>
      <c r="E654" s="32"/>
      <c r="F654" s="32"/>
      <c r="G654" s="32"/>
      <c r="H654" s="32"/>
      <c r="I654" s="32"/>
      <c r="J654" s="32"/>
      <c r="K654" s="32"/>
      <c r="L654" s="32"/>
      <c r="M654" s="32"/>
      <c r="N654" s="32"/>
      <c r="O654" s="32"/>
      <c r="P654" s="32"/>
      <c r="Q654" s="32"/>
      <c r="R654" s="32"/>
      <c r="S654" s="32"/>
      <c r="T654" s="32"/>
      <c r="U654" s="32"/>
      <c r="V654" s="32"/>
      <c r="W654" s="32"/>
      <c r="X654" s="32"/>
      <c r="Y654" s="32"/>
      <c r="Z654" s="32"/>
      <c r="AA654" s="32"/>
      <c r="AB654" s="32"/>
      <c r="AC654" s="32"/>
      <c r="AD654" s="32"/>
      <c r="AE654" s="32"/>
      <c r="AF654" s="32"/>
      <c r="AG654" s="32"/>
      <c r="AH654" s="32"/>
      <c r="AI654" s="32"/>
      <c r="AJ654" s="32"/>
    </row>
    <row r="655">
      <c r="A655" s="32"/>
      <c r="B655" s="32"/>
      <c r="C655" s="32"/>
      <c r="D655" s="32"/>
      <c r="E655" s="32"/>
      <c r="F655" s="32"/>
      <c r="G655" s="32"/>
      <c r="H655" s="32"/>
      <c r="I655" s="32"/>
      <c r="J655" s="32"/>
      <c r="K655" s="32"/>
      <c r="L655" s="32"/>
      <c r="M655" s="32"/>
      <c r="N655" s="32"/>
      <c r="O655" s="32"/>
      <c r="P655" s="32"/>
      <c r="Q655" s="32"/>
      <c r="R655" s="32"/>
      <c r="S655" s="32"/>
      <c r="T655" s="32"/>
      <c r="U655" s="32"/>
      <c r="V655" s="32"/>
      <c r="W655" s="32"/>
      <c r="X655" s="32"/>
      <c r="Y655" s="32"/>
      <c r="Z655" s="32"/>
      <c r="AA655" s="32"/>
      <c r="AB655" s="32"/>
      <c r="AC655" s="32"/>
      <c r="AD655" s="32"/>
      <c r="AE655" s="32"/>
      <c r="AF655" s="32"/>
      <c r="AG655" s="32"/>
      <c r="AH655" s="32"/>
      <c r="AI655" s="32"/>
      <c r="AJ655" s="32"/>
    </row>
    <row r="656">
      <c r="A656" s="32"/>
      <c r="B656" s="32"/>
      <c r="C656" s="32"/>
      <c r="D656" s="32"/>
      <c r="E656" s="32"/>
      <c r="F656" s="32"/>
      <c r="G656" s="32"/>
      <c r="H656" s="32"/>
      <c r="I656" s="32"/>
      <c r="J656" s="32"/>
      <c r="K656" s="32"/>
      <c r="L656" s="32"/>
      <c r="M656" s="32"/>
      <c r="N656" s="32"/>
      <c r="O656" s="32"/>
      <c r="P656" s="32"/>
      <c r="Q656" s="32"/>
      <c r="R656" s="32"/>
      <c r="S656" s="32"/>
      <c r="T656" s="32"/>
      <c r="U656" s="32"/>
      <c r="V656" s="32"/>
      <c r="W656" s="32"/>
      <c r="X656" s="32"/>
      <c r="Y656" s="32"/>
      <c r="Z656" s="32"/>
      <c r="AA656" s="32"/>
      <c r="AB656" s="32"/>
      <c r="AC656" s="32"/>
      <c r="AD656" s="32"/>
      <c r="AE656" s="32"/>
      <c r="AF656" s="32"/>
      <c r="AG656" s="32"/>
      <c r="AH656" s="32"/>
      <c r="AI656" s="32"/>
      <c r="AJ656" s="32"/>
    </row>
    <row r="657">
      <c r="A657" s="32"/>
      <c r="B657" s="32"/>
      <c r="C657" s="32"/>
      <c r="D657" s="32"/>
      <c r="E657" s="32"/>
      <c r="F657" s="32"/>
      <c r="G657" s="32"/>
      <c r="H657" s="32"/>
      <c r="I657" s="32"/>
      <c r="J657" s="32"/>
      <c r="K657" s="32"/>
      <c r="L657" s="32"/>
      <c r="M657" s="32"/>
      <c r="N657" s="32"/>
      <c r="O657" s="32"/>
      <c r="P657" s="32"/>
      <c r="Q657" s="32"/>
      <c r="R657" s="32"/>
      <c r="S657" s="32"/>
      <c r="T657" s="32"/>
      <c r="U657" s="32"/>
      <c r="V657" s="32"/>
      <c r="W657" s="32"/>
      <c r="X657" s="32"/>
      <c r="Y657" s="32"/>
      <c r="Z657" s="32"/>
      <c r="AA657" s="32"/>
      <c r="AB657" s="32"/>
      <c r="AC657" s="32"/>
      <c r="AD657" s="32"/>
      <c r="AE657" s="32"/>
      <c r="AF657" s="32"/>
      <c r="AG657" s="32"/>
      <c r="AH657" s="32"/>
      <c r="AI657" s="32"/>
      <c r="AJ657" s="32"/>
    </row>
    <row r="658">
      <c r="A658" s="32"/>
      <c r="B658" s="32"/>
      <c r="C658" s="32"/>
      <c r="D658" s="32"/>
      <c r="E658" s="32"/>
      <c r="F658" s="32"/>
      <c r="G658" s="32"/>
      <c r="H658" s="32"/>
      <c r="I658" s="32"/>
      <c r="J658" s="32"/>
      <c r="K658" s="32"/>
      <c r="L658" s="32"/>
      <c r="M658" s="32"/>
      <c r="N658" s="32"/>
      <c r="O658" s="32"/>
      <c r="P658" s="32"/>
      <c r="Q658" s="32"/>
      <c r="R658" s="32"/>
      <c r="S658" s="32"/>
      <c r="T658" s="32"/>
      <c r="U658" s="32"/>
      <c r="V658" s="32"/>
      <c r="W658" s="32"/>
      <c r="X658" s="32"/>
      <c r="Y658" s="32"/>
      <c r="Z658" s="32"/>
      <c r="AA658" s="32"/>
      <c r="AB658" s="32"/>
      <c r="AC658" s="32"/>
      <c r="AD658" s="32"/>
      <c r="AE658" s="32"/>
      <c r="AF658" s="32"/>
      <c r="AG658" s="32"/>
      <c r="AH658" s="32"/>
      <c r="AI658" s="32"/>
      <c r="AJ658" s="32"/>
    </row>
    <row r="659">
      <c r="A659" s="32"/>
      <c r="B659" s="32"/>
      <c r="C659" s="32"/>
      <c r="D659" s="32"/>
      <c r="E659" s="32"/>
      <c r="F659" s="32"/>
      <c r="G659" s="32"/>
      <c r="H659" s="32"/>
      <c r="I659" s="32"/>
      <c r="J659" s="32"/>
      <c r="K659" s="32"/>
      <c r="L659" s="32"/>
      <c r="M659" s="32"/>
      <c r="N659" s="32"/>
      <c r="O659" s="32"/>
      <c r="P659" s="32"/>
      <c r="Q659" s="32"/>
      <c r="R659" s="32"/>
      <c r="S659" s="32"/>
      <c r="T659" s="32"/>
      <c r="U659" s="32"/>
      <c r="V659" s="32"/>
      <c r="W659" s="32"/>
      <c r="X659" s="32"/>
      <c r="Y659" s="32"/>
      <c r="Z659" s="32"/>
      <c r="AA659" s="32"/>
      <c r="AB659" s="32"/>
      <c r="AC659" s="32"/>
      <c r="AD659" s="32"/>
      <c r="AE659" s="32"/>
      <c r="AF659" s="32"/>
      <c r="AG659" s="32"/>
      <c r="AH659" s="32"/>
      <c r="AI659" s="32"/>
      <c r="AJ659" s="32"/>
    </row>
    <row r="660">
      <c r="A660" s="32"/>
      <c r="B660" s="32"/>
      <c r="C660" s="32"/>
      <c r="D660" s="32"/>
      <c r="E660" s="32"/>
      <c r="F660" s="32"/>
      <c r="G660" s="32"/>
      <c r="H660" s="32"/>
      <c r="I660" s="32"/>
      <c r="J660" s="32"/>
      <c r="K660" s="32"/>
      <c r="L660" s="32"/>
      <c r="M660" s="32"/>
      <c r="N660" s="32"/>
      <c r="O660" s="32"/>
      <c r="P660" s="32"/>
      <c r="Q660" s="32"/>
      <c r="R660" s="32"/>
      <c r="S660" s="32"/>
      <c r="T660" s="32"/>
      <c r="U660" s="32"/>
      <c r="V660" s="32"/>
      <c r="W660" s="32"/>
      <c r="X660" s="32"/>
      <c r="Y660" s="32"/>
      <c r="Z660" s="32"/>
      <c r="AA660" s="32"/>
      <c r="AB660" s="32"/>
      <c r="AC660" s="32"/>
      <c r="AD660" s="32"/>
      <c r="AE660" s="32"/>
      <c r="AF660" s="32"/>
      <c r="AG660" s="32"/>
      <c r="AH660" s="32"/>
      <c r="AI660" s="32"/>
      <c r="AJ660" s="32"/>
    </row>
    <row r="661">
      <c r="A661" s="32"/>
      <c r="B661" s="32"/>
      <c r="C661" s="32"/>
      <c r="D661" s="32"/>
      <c r="E661" s="32"/>
      <c r="F661" s="32"/>
      <c r="G661" s="32"/>
      <c r="H661" s="32"/>
      <c r="I661" s="32"/>
      <c r="J661" s="32"/>
      <c r="K661" s="32"/>
      <c r="L661" s="32"/>
      <c r="M661" s="32"/>
      <c r="N661" s="32"/>
      <c r="O661" s="32"/>
      <c r="P661" s="32"/>
      <c r="Q661" s="32"/>
      <c r="R661" s="32"/>
      <c r="S661" s="32"/>
      <c r="T661" s="32"/>
      <c r="U661" s="32"/>
      <c r="V661" s="32"/>
      <c r="W661" s="32"/>
      <c r="X661" s="32"/>
      <c r="Y661" s="32"/>
      <c r="Z661" s="32"/>
      <c r="AA661" s="32"/>
      <c r="AB661" s="32"/>
      <c r="AC661" s="32"/>
      <c r="AD661" s="32"/>
      <c r="AE661" s="32"/>
      <c r="AF661" s="32"/>
      <c r="AG661" s="32"/>
      <c r="AH661" s="32"/>
      <c r="AI661" s="32"/>
      <c r="AJ661" s="32"/>
    </row>
    <row r="662">
      <c r="A662" s="32"/>
      <c r="B662" s="32"/>
      <c r="C662" s="32"/>
      <c r="D662" s="32"/>
      <c r="E662" s="32"/>
      <c r="F662" s="32"/>
      <c r="G662" s="32"/>
      <c r="H662" s="32"/>
      <c r="I662" s="32"/>
      <c r="J662" s="32"/>
      <c r="K662" s="32"/>
      <c r="L662" s="32"/>
      <c r="M662" s="32"/>
      <c r="N662" s="32"/>
      <c r="O662" s="32"/>
      <c r="P662" s="32"/>
      <c r="Q662" s="32"/>
      <c r="R662" s="32"/>
      <c r="S662" s="32"/>
      <c r="T662" s="32"/>
      <c r="U662" s="32"/>
      <c r="V662" s="32"/>
      <c r="W662" s="32"/>
      <c r="X662" s="32"/>
      <c r="Y662" s="32"/>
      <c r="Z662" s="32"/>
      <c r="AA662" s="32"/>
      <c r="AB662" s="32"/>
      <c r="AC662" s="32"/>
      <c r="AD662" s="32"/>
      <c r="AE662" s="32"/>
      <c r="AF662" s="32"/>
      <c r="AG662" s="32"/>
      <c r="AH662" s="32"/>
      <c r="AI662" s="32"/>
      <c r="AJ662" s="32"/>
    </row>
    <row r="663">
      <c r="A663" s="32"/>
      <c r="B663" s="32"/>
      <c r="C663" s="32"/>
      <c r="D663" s="32"/>
      <c r="E663" s="32"/>
      <c r="F663" s="32"/>
      <c r="G663" s="32"/>
      <c r="H663" s="32"/>
      <c r="I663" s="32"/>
      <c r="J663" s="32"/>
      <c r="K663" s="32"/>
      <c r="L663" s="32"/>
      <c r="M663" s="32"/>
      <c r="N663" s="32"/>
      <c r="O663" s="32"/>
      <c r="P663" s="32"/>
      <c r="Q663" s="32"/>
      <c r="R663" s="32"/>
      <c r="S663" s="32"/>
      <c r="T663" s="32"/>
      <c r="U663" s="32"/>
      <c r="V663" s="32"/>
      <c r="W663" s="32"/>
      <c r="X663" s="32"/>
      <c r="Y663" s="32"/>
      <c r="Z663" s="32"/>
      <c r="AA663" s="32"/>
      <c r="AB663" s="32"/>
      <c r="AC663" s="32"/>
      <c r="AD663" s="32"/>
      <c r="AE663" s="32"/>
      <c r="AF663" s="32"/>
      <c r="AG663" s="32"/>
      <c r="AH663" s="32"/>
      <c r="AI663" s="32"/>
      <c r="AJ663" s="32"/>
    </row>
    <row r="664">
      <c r="A664" s="32"/>
      <c r="B664" s="32"/>
      <c r="C664" s="32"/>
      <c r="D664" s="32"/>
      <c r="E664" s="32"/>
      <c r="F664" s="32"/>
      <c r="G664" s="32"/>
      <c r="H664" s="32"/>
      <c r="I664" s="32"/>
      <c r="J664" s="32"/>
      <c r="K664" s="32"/>
      <c r="L664" s="32"/>
      <c r="M664" s="32"/>
      <c r="N664" s="32"/>
      <c r="O664" s="32"/>
      <c r="P664" s="32"/>
      <c r="Q664" s="32"/>
      <c r="R664" s="32"/>
      <c r="S664" s="32"/>
      <c r="T664" s="32"/>
      <c r="U664" s="32"/>
      <c r="V664" s="32"/>
      <c r="W664" s="32"/>
      <c r="X664" s="32"/>
      <c r="Y664" s="32"/>
      <c r="Z664" s="32"/>
      <c r="AA664" s="32"/>
      <c r="AB664" s="32"/>
      <c r="AC664" s="32"/>
      <c r="AD664" s="32"/>
      <c r="AE664" s="32"/>
      <c r="AF664" s="32"/>
      <c r="AG664" s="32"/>
      <c r="AH664" s="32"/>
      <c r="AI664" s="32"/>
      <c r="AJ664" s="32"/>
    </row>
    <row r="665">
      <c r="A665" s="32"/>
      <c r="B665" s="32"/>
      <c r="C665" s="32"/>
      <c r="D665" s="32"/>
      <c r="E665" s="32"/>
      <c r="F665" s="32"/>
      <c r="G665" s="32"/>
      <c r="H665" s="32"/>
      <c r="I665" s="32"/>
      <c r="J665" s="32"/>
      <c r="K665" s="32"/>
      <c r="L665" s="32"/>
      <c r="M665" s="32"/>
      <c r="N665" s="32"/>
      <c r="O665" s="32"/>
      <c r="P665" s="32"/>
      <c r="Q665" s="32"/>
      <c r="R665" s="32"/>
      <c r="S665" s="32"/>
      <c r="T665" s="32"/>
      <c r="U665" s="32"/>
      <c r="V665" s="32"/>
      <c r="W665" s="32"/>
      <c r="X665" s="32"/>
      <c r="Y665" s="32"/>
      <c r="Z665" s="32"/>
      <c r="AA665" s="32"/>
      <c r="AB665" s="32"/>
      <c r="AC665" s="32"/>
      <c r="AD665" s="32"/>
      <c r="AE665" s="32"/>
      <c r="AF665" s="32"/>
      <c r="AG665" s="32"/>
      <c r="AH665" s="32"/>
      <c r="AI665" s="32"/>
      <c r="AJ665" s="32"/>
    </row>
    <row r="666">
      <c r="A666" s="32"/>
      <c r="B666" s="32"/>
      <c r="C666" s="32"/>
      <c r="D666" s="32"/>
      <c r="E666" s="32"/>
      <c r="F666" s="32"/>
      <c r="G666" s="32"/>
      <c r="H666" s="32"/>
      <c r="I666" s="32"/>
      <c r="J666" s="32"/>
      <c r="K666" s="32"/>
      <c r="L666" s="32"/>
      <c r="M666" s="32"/>
      <c r="N666" s="32"/>
      <c r="O666" s="32"/>
      <c r="P666" s="32"/>
      <c r="Q666" s="32"/>
      <c r="R666" s="32"/>
      <c r="S666" s="32"/>
      <c r="T666" s="32"/>
      <c r="U666" s="32"/>
      <c r="V666" s="32"/>
      <c r="W666" s="32"/>
      <c r="X666" s="32"/>
      <c r="Y666" s="32"/>
      <c r="Z666" s="32"/>
      <c r="AA666" s="32"/>
      <c r="AB666" s="32"/>
      <c r="AC666" s="32"/>
      <c r="AD666" s="32"/>
      <c r="AE666" s="32"/>
      <c r="AF666" s="32"/>
      <c r="AG666" s="32"/>
      <c r="AH666" s="32"/>
      <c r="AI666" s="32"/>
      <c r="AJ666" s="32"/>
    </row>
    <row r="667">
      <c r="A667" s="32"/>
      <c r="B667" s="32"/>
      <c r="C667" s="32"/>
      <c r="D667" s="32"/>
      <c r="E667" s="32"/>
      <c r="F667" s="32"/>
      <c r="G667" s="32"/>
      <c r="H667" s="32"/>
      <c r="I667" s="32"/>
      <c r="J667" s="32"/>
      <c r="K667" s="32"/>
      <c r="L667" s="32"/>
      <c r="M667" s="32"/>
      <c r="N667" s="32"/>
      <c r="O667" s="32"/>
      <c r="P667" s="32"/>
      <c r="Q667" s="32"/>
      <c r="R667" s="32"/>
      <c r="S667" s="32"/>
      <c r="T667" s="32"/>
      <c r="U667" s="32"/>
      <c r="V667" s="32"/>
      <c r="W667" s="32"/>
      <c r="X667" s="32"/>
      <c r="Y667" s="32"/>
      <c r="Z667" s="32"/>
      <c r="AA667" s="32"/>
      <c r="AB667" s="32"/>
      <c r="AC667" s="32"/>
      <c r="AD667" s="32"/>
      <c r="AE667" s="32"/>
      <c r="AF667" s="32"/>
      <c r="AG667" s="32"/>
      <c r="AH667" s="32"/>
      <c r="AI667" s="32"/>
      <c r="AJ667" s="32"/>
    </row>
    <row r="668">
      <c r="A668" s="32"/>
      <c r="B668" s="32"/>
      <c r="C668" s="32"/>
      <c r="D668" s="32"/>
      <c r="E668" s="32"/>
      <c r="F668" s="32"/>
      <c r="G668" s="32"/>
      <c r="H668" s="32"/>
      <c r="I668" s="32"/>
      <c r="J668" s="32"/>
      <c r="K668" s="32"/>
      <c r="L668" s="32"/>
      <c r="M668" s="32"/>
      <c r="N668" s="32"/>
      <c r="O668" s="32"/>
      <c r="P668" s="32"/>
      <c r="Q668" s="32"/>
      <c r="R668" s="32"/>
      <c r="S668" s="32"/>
      <c r="T668" s="32"/>
      <c r="U668" s="32"/>
      <c r="V668" s="32"/>
      <c r="W668" s="32"/>
      <c r="X668" s="32"/>
      <c r="Y668" s="32"/>
      <c r="Z668" s="32"/>
      <c r="AA668" s="32"/>
      <c r="AB668" s="32"/>
      <c r="AC668" s="32"/>
      <c r="AD668" s="32"/>
      <c r="AE668" s="32"/>
      <c r="AF668" s="32"/>
      <c r="AG668" s="32"/>
      <c r="AH668" s="32"/>
      <c r="AI668" s="32"/>
      <c r="AJ668" s="32"/>
    </row>
    <row r="669">
      <c r="A669" s="32"/>
      <c r="B669" s="32"/>
      <c r="C669" s="32"/>
      <c r="D669" s="32"/>
      <c r="E669" s="32"/>
      <c r="F669" s="32"/>
      <c r="G669" s="32"/>
      <c r="H669" s="32"/>
      <c r="I669" s="32"/>
      <c r="J669" s="32"/>
      <c r="K669" s="32"/>
      <c r="L669" s="32"/>
      <c r="M669" s="32"/>
      <c r="N669" s="32"/>
      <c r="O669" s="32"/>
      <c r="P669" s="32"/>
      <c r="Q669" s="32"/>
      <c r="R669" s="32"/>
      <c r="S669" s="32"/>
      <c r="T669" s="32"/>
      <c r="U669" s="32"/>
      <c r="V669" s="32"/>
      <c r="W669" s="32"/>
      <c r="X669" s="32"/>
      <c r="Y669" s="32"/>
      <c r="Z669" s="32"/>
      <c r="AA669" s="32"/>
      <c r="AB669" s="32"/>
      <c r="AC669" s="32"/>
      <c r="AD669" s="32"/>
      <c r="AE669" s="32"/>
      <c r="AF669" s="32"/>
      <c r="AG669" s="32"/>
      <c r="AH669" s="32"/>
      <c r="AI669" s="32"/>
      <c r="AJ669" s="32"/>
    </row>
    <row r="670">
      <c r="A670" s="32"/>
      <c r="B670" s="32"/>
      <c r="C670" s="32"/>
      <c r="D670" s="32"/>
      <c r="E670" s="32"/>
      <c r="F670" s="32"/>
      <c r="G670" s="32"/>
      <c r="H670" s="32"/>
      <c r="I670" s="32"/>
      <c r="J670" s="32"/>
      <c r="K670" s="32"/>
      <c r="L670" s="32"/>
      <c r="M670" s="32"/>
      <c r="N670" s="32"/>
      <c r="O670" s="32"/>
      <c r="P670" s="32"/>
      <c r="Q670" s="32"/>
      <c r="R670" s="32"/>
      <c r="S670" s="32"/>
      <c r="T670" s="32"/>
      <c r="U670" s="32"/>
      <c r="V670" s="32"/>
      <c r="W670" s="32"/>
      <c r="X670" s="32"/>
      <c r="Y670" s="32"/>
      <c r="Z670" s="32"/>
      <c r="AA670" s="32"/>
      <c r="AB670" s="32"/>
      <c r="AC670" s="32"/>
      <c r="AD670" s="32"/>
      <c r="AE670" s="32"/>
      <c r="AF670" s="32"/>
      <c r="AG670" s="32"/>
      <c r="AH670" s="32"/>
      <c r="AI670" s="32"/>
      <c r="AJ670" s="32"/>
    </row>
    <row r="671">
      <c r="A671" s="32"/>
      <c r="B671" s="32"/>
      <c r="C671" s="32"/>
      <c r="D671" s="32"/>
      <c r="E671" s="32"/>
      <c r="F671" s="32"/>
      <c r="G671" s="32"/>
      <c r="H671" s="32"/>
      <c r="I671" s="32"/>
      <c r="J671" s="32"/>
      <c r="K671" s="32"/>
      <c r="L671" s="32"/>
      <c r="M671" s="32"/>
      <c r="N671" s="32"/>
      <c r="O671" s="32"/>
      <c r="P671" s="32"/>
      <c r="Q671" s="32"/>
      <c r="R671" s="32"/>
      <c r="S671" s="32"/>
      <c r="T671" s="32"/>
      <c r="U671" s="32"/>
      <c r="V671" s="32"/>
      <c r="W671" s="32"/>
      <c r="X671" s="32"/>
      <c r="Y671" s="32"/>
      <c r="Z671" s="32"/>
      <c r="AA671" s="32"/>
      <c r="AB671" s="32"/>
      <c r="AC671" s="32"/>
      <c r="AD671" s="32"/>
      <c r="AE671" s="32"/>
      <c r="AF671" s="32"/>
      <c r="AG671" s="32"/>
      <c r="AH671" s="32"/>
      <c r="AI671" s="32"/>
      <c r="AJ671" s="32"/>
    </row>
    <row r="672">
      <c r="A672" s="32"/>
      <c r="B672" s="32"/>
      <c r="C672" s="32"/>
      <c r="D672" s="32"/>
      <c r="E672" s="32"/>
      <c r="F672" s="32"/>
      <c r="G672" s="32"/>
      <c r="H672" s="32"/>
      <c r="I672" s="32"/>
      <c r="J672" s="32"/>
      <c r="K672" s="32"/>
      <c r="L672" s="32"/>
      <c r="M672" s="32"/>
      <c r="N672" s="32"/>
      <c r="O672" s="32"/>
      <c r="P672" s="32"/>
      <c r="Q672" s="32"/>
      <c r="R672" s="32"/>
      <c r="S672" s="32"/>
      <c r="T672" s="32"/>
      <c r="U672" s="32"/>
      <c r="V672" s="32"/>
      <c r="W672" s="32"/>
      <c r="X672" s="32"/>
      <c r="Y672" s="32"/>
      <c r="Z672" s="32"/>
      <c r="AA672" s="32"/>
      <c r="AB672" s="32"/>
      <c r="AC672" s="32"/>
      <c r="AD672" s="32"/>
      <c r="AE672" s="32"/>
      <c r="AF672" s="32"/>
      <c r="AG672" s="32"/>
      <c r="AH672" s="32"/>
      <c r="AI672" s="32"/>
      <c r="AJ672" s="32"/>
    </row>
    <row r="673">
      <c r="A673" s="32"/>
      <c r="B673" s="32"/>
      <c r="C673" s="32"/>
      <c r="D673" s="32"/>
      <c r="E673" s="32"/>
      <c r="F673" s="32"/>
      <c r="G673" s="32"/>
      <c r="H673" s="32"/>
      <c r="I673" s="32"/>
      <c r="J673" s="32"/>
      <c r="K673" s="32"/>
      <c r="L673" s="32"/>
      <c r="M673" s="32"/>
      <c r="N673" s="32"/>
      <c r="O673" s="32"/>
      <c r="P673" s="32"/>
      <c r="Q673" s="32"/>
      <c r="R673" s="32"/>
      <c r="S673" s="32"/>
      <c r="T673" s="32"/>
      <c r="U673" s="32"/>
      <c r="V673" s="32"/>
      <c r="W673" s="32"/>
      <c r="X673" s="32"/>
      <c r="Y673" s="32"/>
      <c r="Z673" s="32"/>
      <c r="AA673" s="32"/>
      <c r="AB673" s="32"/>
      <c r="AC673" s="32"/>
      <c r="AD673" s="32"/>
      <c r="AE673" s="32"/>
      <c r="AF673" s="32"/>
      <c r="AG673" s="32"/>
      <c r="AH673" s="32"/>
      <c r="AI673" s="32"/>
      <c r="AJ673" s="32"/>
    </row>
    <row r="674">
      <c r="A674" s="32"/>
      <c r="B674" s="32"/>
      <c r="C674" s="32"/>
      <c r="D674" s="32"/>
      <c r="E674" s="32"/>
      <c r="F674" s="32"/>
      <c r="G674" s="32"/>
      <c r="H674" s="32"/>
      <c r="I674" s="32"/>
      <c r="J674" s="32"/>
      <c r="K674" s="32"/>
      <c r="L674" s="32"/>
      <c r="M674" s="32"/>
      <c r="N674" s="32"/>
      <c r="O674" s="32"/>
      <c r="P674" s="32"/>
      <c r="Q674" s="32"/>
      <c r="R674" s="32"/>
      <c r="S674" s="32"/>
      <c r="T674" s="32"/>
      <c r="U674" s="32"/>
      <c r="V674" s="32"/>
      <c r="W674" s="32"/>
      <c r="X674" s="32"/>
      <c r="Y674" s="32"/>
      <c r="Z674" s="32"/>
      <c r="AA674" s="32"/>
      <c r="AB674" s="32"/>
      <c r="AC674" s="32"/>
      <c r="AD674" s="32"/>
      <c r="AE674" s="32"/>
      <c r="AF674" s="32"/>
      <c r="AG674" s="32"/>
      <c r="AH674" s="32"/>
      <c r="AI674" s="32"/>
      <c r="AJ674" s="32"/>
    </row>
    <row r="675">
      <c r="A675" s="32"/>
      <c r="B675" s="32"/>
      <c r="C675" s="32"/>
      <c r="D675" s="32"/>
      <c r="E675" s="32"/>
      <c r="F675" s="32"/>
      <c r="G675" s="32"/>
      <c r="H675" s="32"/>
      <c r="I675" s="32"/>
      <c r="J675" s="32"/>
      <c r="K675" s="32"/>
      <c r="L675" s="32"/>
      <c r="M675" s="32"/>
      <c r="N675" s="32"/>
      <c r="O675" s="32"/>
      <c r="P675" s="32"/>
      <c r="Q675" s="32"/>
      <c r="R675" s="32"/>
      <c r="S675" s="32"/>
      <c r="T675" s="32"/>
      <c r="U675" s="32"/>
      <c r="V675" s="32"/>
      <c r="W675" s="32"/>
      <c r="X675" s="32"/>
      <c r="Y675" s="32"/>
      <c r="Z675" s="32"/>
      <c r="AA675" s="32"/>
      <c r="AB675" s="32"/>
      <c r="AC675" s="32"/>
      <c r="AD675" s="32"/>
      <c r="AE675" s="32"/>
      <c r="AF675" s="32"/>
      <c r="AG675" s="32"/>
      <c r="AH675" s="32"/>
      <c r="AI675" s="32"/>
      <c r="AJ675" s="32"/>
    </row>
    <row r="676">
      <c r="A676" s="32"/>
      <c r="B676" s="32"/>
      <c r="C676" s="32"/>
      <c r="D676" s="32"/>
      <c r="E676" s="32"/>
      <c r="F676" s="32"/>
      <c r="G676" s="32"/>
      <c r="H676" s="32"/>
      <c r="I676" s="32"/>
      <c r="J676" s="32"/>
      <c r="K676" s="32"/>
      <c r="L676" s="32"/>
      <c r="M676" s="32"/>
      <c r="N676" s="32"/>
      <c r="O676" s="32"/>
      <c r="P676" s="32"/>
      <c r="Q676" s="32"/>
      <c r="R676" s="32"/>
      <c r="S676" s="32"/>
      <c r="T676" s="32"/>
      <c r="U676" s="32"/>
      <c r="V676" s="32"/>
      <c r="W676" s="32"/>
      <c r="X676" s="32"/>
      <c r="Y676" s="32"/>
      <c r="Z676" s="32"/>
      <c r="AA676" s="32"/>
      <c r="AB676" s="32"/>
      <c r="AC676" s="32"/>
      <c r="AD676" s="32"/>
      <c r="AE676" s="32"/>
      <c r="AF676" s="32"/>
      <c r="AG676" s="32"/>
      <c r="AH676" s="32"/>
      <c r="AI676" s="32"/>
      <c r="AJ676" s="32"/>
    </row>
    <row r="677">
      <c r="A677" s="32"/>
      <c r="B677" s="32"/>
      <c r="C677" s="32"/>
      <c r="D677" s="32"/>
      <c r="E677" s="32"/>
      <c r="F677" s="32"/>
      <c r="G677" s="32"/>
      <c r="H677" s="32"/>
      <c r="I677" s="32"/>
      <c r="J677" s="32"/>
      <c r="K677" s="32"/>
      <c r="L677" s="32"/>
      <c r="M677" s="32"/>
      <c r="N677" s="32"/>
      <c r="O677" s="32"/>
      <c r="P677" s="32"/>
      <c r="Q677" s="32"/>
      <c r="R677" s="32"/>
      <c r="S677" s="32"/>
      <c r="T677" s="32"/>
      <c r="U677" s="32"/>
      <c r="V677" s="32"/>
      <c r="W677" s="32"/>
      <c r="X677" s="32"/>
      <c r="Y677" s="32"/>
      <c r="Z677" s="32"/>
      <c r="AA677" s="32"/>
      <c r="AB677" s="32"/>
      <c r="AC677" s="32"/>
      <c r="AD677" s="32"/>
      <c r="AE677" s="32"/>
      <c r="AF677" s="32"/>
      <c r="AG677" s="32"/>
      <c r="AH677" s="32"/>
      <c r="AI677" s="32"/>
      <c r="AJ677" s="32"/>
    </row>
    <row r="678">
      <c r="A678" s="32"/>
      <c r="B678" s="32"/>
      <c r="C678" s="32"/>
      <c r="D678" s="32"/>
      <c r="E678" s="32"/>
      <c r="F678" s="32"/>
      <c r="G678" s="32"/>
      <c r="H678" s="32"/>
      <c r="I678" s="32"/>
      <c r="J678" s="32"/>
      <c r="K678" s="32"/>
      <c r="L678" s="32"/>
      <c r="M678" s="32"/>
      <c r="N678" s="32"/>
      <c r="O678" s="32"/>
      <c r="P678" s="32"/>
      <c r="Q678" s="32"/>
      <c r="R678" s="32"/>
      <c r="S678" s="32"/>
      <c r="T678" s="32"/>
      <c r="U678" s="32"/>
      <c r="V678" s="32"/>
      <c r="W678" s="32"/>
      <c r="X678" s="32"/>
      <c r="Y678" s="32"/>
      <c r="Z678" s="32"/>
      <c r="AA678" s="32"/>
      <c r="AB678" s="32"/>
      <c r="AC678" s="32"/>
      <c r="AD678" s="32"/>
      <c r="AE678" s="32"/>
      <c r="AF678" s="32"/>
      <c r="AG678" s="32"/>
      <c r="AH678" s="32"/>
      <c r="AI678" s="32"/>
      <c r="AJ678" s="32"/>
    </row>
    <row r="679">
      <c r="A679" s="32"/>
      <c r="B679" s="32"/>
      <c r="C679" s="32"/>
      <c r="D679" s="32"/>
      <c r="E679" s="32"/>
      <c r="F679" s="32"/>
      <c r="G679" s="32"/>
      <c r="H679" s="32"/>
      <c r="I679" s="32"/>
      <c r="J679" s="32"/>
      <c r="K679" s="32"/>
      <c r="L679" s="32"/>
      <c r="M679" s="32"/>
      <c r="N679" s="32"/>
      <c r="O679" s="32"/>
      <c r="P679" s="32"/>
      <c r="Q679" s="32"/>
      <c r="R679" s="32"/>
      <c r="S679" s="32"/>
      <c r="T679" s="32"/>
      <c r="U679" s="32"/>
      <c r="V679" s="32"/>
      <c r="W679" s="32"/>
      <c r="X679" s="32"/>
      <c r="Y679" s="32"/>
      <c r="Z679" s="32"/>
      <c r="AA679" s="32"/>
      <c r="AB679" s="32"/>
      <c r="AC679" s="32"/>
      <c r="AD679" s="32"/>
      <c r="AE679" s="32"/>
      <c r="AF679" s="32"/>
      <c r="AG679" s="32"/>
      <c r="AH679" s="32"/>
      <c r="AI679" s="32"/>
      <c r="AJ679" s="32"/>
    </row>
    <row r="680">
      <c r="A680" s="32"/>
      <c r="B680" s="32"/>
      <c r="C680" s="32"/>
      <c r="D680" s="32"/>
      <c r="E680" s="32"/>
      <c r="F680" s="32"/>
      <c r="G680" s="32"/>
      <c r="H680" s="32"/>
      <c r="I680" s="32"/>
      <c r="J680" s="32"/>
      <c r="K680" s="32"/>
      <c r="L680" s="32"/>
      <c r="M680" s="32"/>
      <c r="N680" s="32"/>
      <c r="O680" s="32"/>
      <c r="P680" s="32"/>
      <c r="Q680" s="32"/>
      <c r="R680" s="32"/>
      <c r="S680" s="32"/>
      <c r="T680" s="32"/>
      <c r="U680" s="32"/>
      <c r="V680" s="32"/>
      <c r="W680" s="32"/>
      <c r="X680" s="32"/>
      <c r="Y680" s="32"/>
      <c r="Z680" s="32"/>
      <c r="AA680" s="32"/>
      <c r="AB680" s="32"/>
      <c r="AC680" s="32"/>
      <c r="AD680" s="32"/>
      <c r="AE680" s="32"/>
      <c r="AF680" s="32"/>
      <c r="AG680" s="32"/>
      <c r="AH680" s="32"/>
      <c r="AI680" s="32"/>
      <c r="AJ680" s="32"/>
    </row>
    <row r="681">
      <c r="A681" s="32"/>
      <c r="B681" s="32"/>
      <c r="C681" s="32"/>
      <c r="D681" s="32"/>
      <c r="E681" s="32"/>
      <c r="F681" s="32"/>
      <c r="G681" s="32"/>
      <c r="H681" s="32"/>
      <c r="I681" s="32"/>
      <c r="J681" s="32"/>
      <c r="K681" s="32"/>
      <c r="L681" s="32"/>
      <c r="M681" s="32"/>
      <c r="N681" s="32"/>
      <c r="O681" s="32"/>
      <c r="P681" s="32"/>
      <c r="Q681" s="32"/>
      <c r="R681" s="32"/>
      <c r="S681" s="32"/>
      <c r="T681" s="32"/>
      <c r="U681" s="32"/>
      <c r="V681" s="32"/>
      <c r="W681" s="32"/>
      <c r="X681" s="32"/>
      <c r="Y681" s="32"/>
      <c r="Z681" s="32"/>
      <c r="AA681" s="32"/>
      <c r="AB681" s="32"/>
      <c r="AC681" s="32"/>
      <c r="AD681" s="32"/>
      <c r="AE681" s="32"/>
      <c r="AF681" s="32"/>
      <c r="AG681" s="32"/>
      <c r="AH681" s="32"/>
      <c r="AI681" s="32"/>
      <c r="AJ681" s="32"/>
    </row>
    <row r="682">
      <c r="A682" s="32"/>
      <c r="B682" s="32"/>
      <c r="C682" s="32"/>
      <c r="D682" s="32"/>
      <c r="E682" s="32"/>
      <c r="F682" s="32"/>
      <c r="G682" s="32"/>
      <c r="H682" s="32"/>
      <c r="I682" s="32"/>
      <c r="J682" s="32"/>
      <c r="K682" s="32"/>
      <c r="L682" s="32"/>
      <c r="M682" s="32"/>
      <c r="N682" s="32"/>
      <c r="O682" s="32"/>
      <c r="P682" s="32"/>
      <c r="Q682" s="32"/>
      <c r="R682" s="32"/>
      <c r="S682" s="32"/>
      <c r="T682" s="32"/>
      <c r="U682" s="32"/>
      <c r="V682" s="32"/>
      <c r="W682" s="32"/>
      <c r="X682" s="32"/>
      <c r="Y682" s="32"/>
      <c r="Z682" s="32"/>
      <c r="AA682" s="32"/>
      <c r="AB682" s="32"/>
      <c r="AC682" s="32"/>
      <c r="AD682" s="32"/>
      <c r="AE682" s="32"/>
      <c r="AF682" s="32"/>
      <c r="AG682" s="32"/>
      <c r="AH682" s="32"/>
      <c r="AI682" s="32"/>
      <c r="AJ682" s="32"/>
    </row>
    <row r="683">
      <c r="A683" s="32"/>
      <c r="B683" s="32"/>
      <c r="C683" s="32"/>
      <c r="D683" s="32"/>
      <c r="E683" s="32"/>
      <c r="F683" s="32"/>
      <c r="G683" s="32"/>
      <c r="H683" s="32"/>
      <c r="I683" s="32"/>
      <c r="J683" s="32"/>
      <c r="K683" s="32"/>
      <c r="L683" s="32"/>
      <c r="M683" s="32"/>
      <c r="N683" s="32"/>
      <c r="O683" s="32"/>
      <c r="P683" s="32"/>
      <c r="Q683" s="32"/>
      <c r="R683" s="32"/>
      <c r="S683" s="32"/>
      <c r="T683" s="32"/>
      <c r="U683" s="32"/>
      <c r="V683" s="32"/>
      <c r="W683" s="32"/>
      <c r="X683" s="32"/>
      <c r="Y683" s="32"/>
      <c r="Z683" s="32"/>
      <c r="AA683" s="32"/>
      <c r="AB683" s="32"/>
      <c r="AC683" s="32"/>
      <c r="AD683" s="32"/>
      <c r="AE683" s="32"/>
      <c r="AF683" s="32"/>
      <c r="AG683" s="32"/>
      <c r="AH683" s="32"/>
      <c r="AI683" s="32"/>
      <c r="AJ683" s="32"/>
    </row>
    <row r="684">
      <c r="A684" s="32"/>
      <c r="B684" s="32"/>
      <c r="C684" s="32"/>
      <c r="D684" s="32"/>
      <c r="E684" s="32"/>
      <c r="F684" s="32"/>
      <c r="G684" s="32"/>
      <c r="H684" s="32"/>
      <c r="I684" s="32"/>
      <c r="J684" s="32"/>
      <c r="K684" s="32"/>
      <c r="L684" s="32"/>
      <c r="M684" s="32"/>
      <c r="N684" s="32"/>
      <c r="O684" s="32"/>
      <c r="P684" s="32"/>
      <c r="Q684" s="32"/>
      <c r="R684" s="32"/>
      <c r="S684" s="32"/>
      <c r="T684" s="32"/>
      <c r="U684" s="32"/>
      <c r="V684" s="32"/>
      <c r="W684" s="32"/>
      <c r="X684" s="32"/>
      <c r="Y684" s="32"/>
      <c r="Z684" s="32"/>
      <c r="AA684" s="32"/>
      <c r="AB684" s="32"/>
      <c r="AC684" s="32"/>
      <c r="AD684" s="32"/>
      <c r="AE684" s="32"/>
      <c r="AF684" s="32"/>
      <c r="AG684" s="32"/>
      <c r="AH684" s="32"/>
      <c r="AI684" s="32"/>
      <c r="AJ684" s="32"/>
    </row>
    <row r="685">
      <c r="A685" s="32"/>
      <c r="B685" s="32"/>
      <c r="C685" s="32"/>
      <c r="D685" s="32"/>
      <c r="E685" s="32"/>
      <c r="F685" s="32"/>
      <c r="G685" s="32"/>
      <c r="H685" s="32"/>
      <c r="I685" s="32"/>
      <c r="J685" s="32"/>
      <c r="K685" s="32"/>
      <c r="L685" s="32"/>
      <c r="M685" s="32"/>
      <c r="N685" s="32"/>
      <c r="O685" s="32"/>
      <c r="P685" s="32"/>
      <c r="Q685" s="32"/>
      <c r="R685" s="32"/>
      <c r="S685" s="32"/>
      <c r="T685" s="32"/>
      <c r="U685" s="32"/>
      <c r="V685" s="32"/>
      <c r="W685" s="32"/>
      <c r="X685" s="32"/>
      <c r="Y685" s="32"/>
      <c r="Z685" s="32"/>
      <c r="AA685" s="32"/>
      <c r="AB685" s="32"/>
      <c r="AC685" s="32"/>
      <c r="AD685" s="32"/>
      <c r="AE685" s="32"/>
      <c r="AF685" s="32"/>
      <c r="AG685" s="32"/>
      <c r="AH685" s="32"/>
      <c r="AI685" s="32"/>
      <c r="AJ685" s="32"/>
    </row>
    <row r="686">
      <c r="A686" s="32"/>
      <c r="B686" s="32"/>
      <c r="C686" s="32"/>
      <c r="D686" s="32"/>
      <c r="E686" s="32"/>
      <c r="F686" s="32"/>
      <c r="G686" s="32"/>
      <c r="H686" s="32"/>
      <c r="I686" s="32"/>
      <c r="J686" s="32"/>
      <c r="K686" s="32"/>
      <c r="L686" s="32"/>
      <c r="M686" s="32"/>
      <c r="N686" s="32"/>
      <c r="O686" s="32"/>
      <c r="P686" s="32"/>
      <c r="Q686" s="32"/>
      <c r="R686" s="32"/>
      <c r="S686" s="32"/>
      <c r="T686" s="32"/>
      <c r="U686" s="32"/>
      <c r="V686" s="32"/>
      <c r="W686" s="32"/>
      <c r="X686" s="32"/>
      <c r="Y686" s="32"/>
      <c r="Z686" s="32"/>
      <c r="AA686" s="32"/>
      <c r="AB686" s="32"/>
      <c r="AC686" s="32"/>
      <c r="AD686" s="32"/>
      <c r="AE686" s="32"/>
      <c r="AF686" s="32"/>
      <c r="AG686" s="32"/>
      <c r="AH686" s="32"/>
      <c r="AI686" s="32"/>
      <c r="AJ686" s="32"/>
    </row>
    <row r="687">
      <c r="A687" s="32"/>
      <c r="B687" s="32"/>
      <c r="C687" s="32"/>
      <c r="D687" s="32"/>
      <c r="E687" s="32"/>
      <c r="F687" s="32"/>
      <c r="G687" s="32"/>
      <c r="H687" s="32"/>
      <c r="I687" s="32"/>
      <c r="J687" s="32"/>
      <c r="K687" s="32"/>
      <c r="L687" s="32"/>
      <c r="M687" s="32"/>
      <c r="N687" s="32"/>
      <c r="O687" s="32"/>
      <c r="P687" s="32"/>
      <c r="Q687" s="32"/>
      <c r="R687" s="32"/>
      <c r="S687" s="32"/>
      <c r="T687" s="32"/>
      <c r="U687" s="32"/>
      <c r="V687" s="32"/>
      <c r="W687" s="32"/>
      <c r="X687" s="32"/>
      <c r="Y687" s="32"/>
      <c r="Z687" s="32"/>
      <c r="AA687" s="32"/>
      <c r="AB687" s="32"/>
      <c r="AC687" s="32"/>
      <c r="AD687" s="32"/>
      <c r="AE687" s="32"/>
      <c r="AF687" s="32"/>
      <c r="AG687" s="32"/>
      <c r="AH687" s="32"/>
      <c r="AI687" s="32"/>
      <c r="AJ687" s="32"/>
    </row>
    <row r="688">
      <c r="A688" s="32"/>
      <c r="B688" s="32"/>
      <c r="C688" s="32"/>
      <c r="D688" s="32"/>
      <c r="E688" s="32"/>
      <c r="F688" s="32"/>
      <c r="G688" s="32"/>
      <c r="H688" s="32"/>
      <c r="I688" s="32"/>
      <c r="J688" s="32"/>
      <c r="K688" s="32"/>
      <c r="L688" s="32"/>
      <c r="M688" s="32"/>
      <c r="N688" s="32"/>
      <c r="O688" s="32"/>
      <c r="P688" s="32"/>
      <c r="Q688" s="32"/>
      <c r="R688" s="32"/>
      <c r="S688" s="32"/>
      <c r="T688" s="32"/>
      <c r="U688" s="32"/>
      <c r="V688" s="32"/>
      <c r="W688" s="32"/>
      <c r="X688" s="32"/>
      <c r="Y688" s="32"/>
      <c r="Z688" s="32"/>
      <c r="AA688" s="32"/>
      <c r="AB688" s="32"/>
      <c r="AC688" s="32"/>
      <c r="AD688" s="32"/>
      <c r="AE688" s="32"/>
      <c r="AF688" s="32"/>
      <c r="AG688" s="32"/>
      <c r="AH688" s="32"/>
      <c r="AI688" s="32"/>
      <c r="AJ688" s="32"/>
    </row>
    <row r="689">
      <c r="A689" s="32"/>
      <c r="B689" s="32"/>
      <c r="C689" s="32"/>
      <c r="D689" s="32"/>
      <c r="E689" s="32"/>
      <c r="F689" s="32"/>
      <c r="G689" s="32"/>
      <c r="H689" s="32"/>
      <c r="I689" s="32"/>
      <c r="J689" s="32"/>
      <c r="K689" s="32"/>
      <c r="L689" s="32"/>
      <c r="M689" s="32"/>
      <c r="N689" s="32"/>
      <c r="O689" s="32"/>
      <c r="P689" s="32"/>
      <c r="Q689" s="32"/>
      <c r="R689" s="32"/>
      <c r="S689" s="32"/>
      <c r="T689" s="32"/>
      <c r="U689" s="32"/>
      <c r="V689" s="32"/>
      <c r="W689" s="32"/>
      <c r="X689" s="32"/>
      <c r="Y689" s="32"/>
      <c r="Z689" s="32"/>
      <c r="AA689" s="32"/>
      <c r="AB689" s="32"/>
      <c r="AC689" s="32"/>
      <c r="AD689" s="32"/>
      <c r="AE689" s="32"/>
      <c r="AF689" s="32"/>
      <c r="AG689" s="32"/>
      <c r="AH689" s="32"/>
      <c r="AI689" s="32"/>
      <c r="AJ689" s="32"/>
    </row>
    <row r="690">
      <c r="A690" s="32"/>
      <c r="B690" s="32"/>
      <c r="C690" s="32"/>
      <c r="D690" s="32"/>
      <c r="E690" s="32"/>
      <c r="F690" s="32"/>
      <c r="G690" s="32"/>
      <c r="H690" s="32"/>
      <c r="I690" s="32"/>
      <c r="J690" s="32"/>
      <c r="K690" s="32"/>
      <c r="L690" s="32"/>
      <c r="M690" s="32"/>
      <c r="N690" s="32"/>
      <c r="O690" s="32"/>
      <c r="P690" s="32"/>
      <c r="Q690" s="32"/>
      <c r="R690" s="32"/>
      <c r="S690" s="32"/>
      <c r="T690" s="32"/>
      <c r="U690" s="32"/>
      <c r="V690" s="32"/>
      <c r="W690" s="32"/>
      <c r="X690" s="32"/>
      <c r="Y690" s="32"/>
      <c r="Z690" s="32"/>
      <c r="AA690" s="32"/>
      <c r="AB690" s="32"/>
      <c r="AC690" s="32"/>
      <c r="AD690" s="32"/>
      <c r="AE690" s="32"/>
      <c r="AF690" s="32"/>
      <c r="AG690" s="32"/>
      <c r="AH690" s="32"/>
      <c r="AI690" s="32"/>
      <c r="AJ690" s="32"/>
    </row>
    <row r="691">
      <c r="A691" s="32"/>
      <c r="B691" s="32"/>
      <c r="C691" s="32"/>
      <c r="D691" s="32"/>
      <c r="E691" s="32"/>
      <c r="F691" s="32"/>
      <c r="G691" s="32"/>
      <c r="H691" s="32"/>
      <c r="I691" s="32"/>
      <c r="J691" s="32"/>
      <c r="K691" s="32"/>
      <c r="L691" s="32"/>
      <c r="M691" s="32"/>
      <c r="N691" s="32"/>
      <c r="O691" s="32"/>
      <c r="P691" s="32"/>
      <c r="Q691" s="32"/>
      <c r="R691" s="32"/>
      <c r="S691" s="32"/>
      <c r="T691" s="32"/>
      <c r="U691" s="32"/>
      <c r="V691" s="32"/>
      <c r="W691" s="32"/>
      <c r="X691" s="32"/>
      <c r="Y691" s="32"/>
      <c r="Z691" s="32"/>
      <c r="AA691" s="32"/>
      <c r="AB691" s="32"/>
      <c r="AC691" s="32"/>
      <c r="AD691" s="32"/>
      <c r="AE691" s="32"/>
      <c r="AF691" s="32"/>
      <c r="AG691" s="32"/>
      <c r="AH691" s="32"/>
      <c r="AI691" s="32"/>
      <c r="AJ691" s="32"/>
    </row>
    <row r="692">
      <c r="A692" s="32"/>
      <c r="B692" s="32"/>
      <c r="C692" s="32"/>
      <c r="D692" s="32"/>
      <c r="E692" s="32"/>
      <c r="F692" s="32"/>
      <c r="G692" s="32"/>
      <c r="H692" s="32"/>
      <c r="I692" s="32"/>
      <c r="J692" s="32"/>
      <c r="K692" s="32"/>
      <c r="L692" s="32"/>
      <c r="M692" s="32"/>
      <c r="N692" s="32"/>
      <c r="O692" s="32"/>
      <c r="P692" s="32"/>
      <c r="Q692" s="32"/>
      <c r="R692" s="32"/>
      <c r="S692" s="32"/>
      <c r="T692" s="32"/>
      <c r="U692" s="32"/>
      <c r="V692" s="32"/>
      <c r="W692" s="32"/>
      <c r="X692" s="32"/>
      <c r="Y692" s="32"/>
      <c r="Z692" s="32"/>
      <c r="AA692" s="32"/>
      <c r="AB692" s="32"/>
      <c r="AC692" s="32"/>
      <c r="AD692" s="32"/>
      <c r="AE692" s="32"/>
      <c r="AF692" s="32"/>
      <c r="AG692" s="32"/>
      <c r="AH692" s="32"/>
      <c r="AI692" s="32"/>
      <c r="AJ692" s="32"/>
    </row>
    <row r="693">
      <c r="A693" s="32"/>
      <c r="B693" s="32"/>
      <c r="C693" s="32"/>
      <c r="D693" s="32"/>
      <c r="E693" s="32"/>
      <c r="F693" s="32"/>
      <c r="G693" s="32"/>
      <c r="H693" s="32"/>
      <c r="I693" s="32"/>
      <c r="J693" s="32"/>
      <c r="K693" s="32"/>
      <c r="L693" s="32"/>
      <c r="M693" s="32"/>
      <c r="N693" s="32"/>
      <c r="O693" s="32"/>
      <c r="P693" s="32"/>
      <c r="Q693" s="32"/>
      <c r="R693" s="32"/>
      <c r="S693" s="32"/>
      <c r="T693" s="32"/>
      <c r="U693" s="32"/>
      <c r="V693" s="32"/>
      <c r="W693" s="32"/>
      <c r="X693" s="32"/>
      <c r="Y693" s="32"/>
      <c r="Z693" s="32"/>
      <c r="AA693" s="32"/>
      <c r="AB693" s="32"/>
      <c r="AC693" s="32"/>
      <c r="AD693" s="32"/>
      <c r="AE693" s="32"/>
      <c r="AF693" s="32"/>
      <c r="AG693" s="32"/>
      <c r="AH693" s="32"/>
      <c r="AI693" s="32"/>
      <c r="AJ693" s="32"/>
    </row>
    <row r="694">
      <c r="A694" s="32"/>
      <c r="B694" s="32"/>
      <c r="C694" s="32"/>
      <c r="D694" s="32"/>
      <c r="E694" s="32"/>
      <c r="F694" s="32"/>
      <c r="G694" s="32"/>
      <c r="H694" s="32"/>
      <c r="I694" s="32"/>
      <c r="J694" s="32"/>
      <c r="K694" s="32"/>
      <c r="L694" s="32"/>
      <c r="M694" s="32"/>
      <c r="N694" s="32"/>
      <c r="O694" s="32"/>
      <c r="P694" s="32"/>
      <c r="Q694" s="32"/>
      <c r="R694" s="32"/>
      <c r="S694" s="32"/>
      <c r="T694" s="32"/>
      <c r="U694" s="32"/>
      <c r="V694" s="32"/>
      <c r="W694" s="32"/>
      <c r="X694" s="32"/>
      <c r="Y694" s="32"/>
      <c r="Z694" s="32"/>
      <c r="AA694" s="32"/>
      <c r="AB694" s="32"/>
      <c r="AC694" s="32"/>
      <c r="AD694" s="32"/>
      <c r="AE694" s="32"/>
      <c r="AF694" s="32"/>
      <c r="AG694" s="32"/>
      <c r="AH694" s="32"/>
      <c r="AI694" s="32"/>
      <c r="AJ694" s="32"/>
    </row>
    <row r="695">
      <c r="A695" s="32"/>
      <c r="B695" s="32"/>
      <c r="C695" s="32"/>
      <c r="D695" s="32"/>
      <c r="E695" s="32"/>
      <c r="F695" s="32"/>
      <c r="G695" s="32"/>
      <c r="H695" s="32"/>
      <c r="I695" s="32"/>
      <c r="J695" s="32"/>
      <c r="K695" s="32"/>
      <c r="L695" s="32"/>
      <c r="M695" s="32"/>
      <c r="N695" s="32"/>
      <c r="O695" s="32"/>
      <c r="P695" s="32"/>
      <c r="Q695" s="32"/>
      <c r="R695" s="32"/>
      <c r="S695" s="32"/>
      <c r="T695" s="32"/>
      <c r="U695" s="32"/>
      <c r="V695" s="32"/>
      <c r="W695" s="32"/>
      <c r="X695" s="32"/>
      <c r="Y695" s="32"/>
      <c r="Z695" s="32"/>
      <c r="AA695" s="32"/>
      <c r="AB695" s="32"/>
      <c r="AC695" s="32"/>
      <c r="AD695" s="32"/>
      <c r="AE695" s="32"/>
      <c r="AF695" s="32"/>
      <c r="AG695" s="32"/>
      <c r="AH695" s="32"/>
      <c r="AI695" s="32"/>
      <c r="AJ695" s="32"/>
    </row>
    <row r="696">
      <c r="A696" s="32"/>
      <c r="B696" s="32"/>
      <c r="C696" s="32"/>
      <c r="D696" s="32"/>
      <c r="E696" s="32"/>
      <c r="F696" s="32"/>
      <c r="G696" s="32"/>
      <c r="H696" s="32"/>
      <c r="I696" s="32"/>
      <c r="J696" s="32"/>
      <c r="K696" s="32"/>
      <c r="L696" s="32"/>
      <c r="M696" s="32"/>
      <c r="N696" s="32"/>
      <c r="O696" s="32"/>
      <c r="P696" s="32"/>
      <c r="Q696" s="32"/>
      <c r="R696" s="32"/>
      <c r="S696" s="32"/>
      <c r="T696" s="32"/>
      <c r="U696" s="32"/>
      <c r="V696" s="32"/>
      <c r="W696" s="32"/>
      <c r="X696" s="32"/>
      <c r="Y696" s="32"/>
      <c r="Z696" s="32"/>
      <c r="AA696" s="32"/>
      <c r="AB696" s="32"/>
      <c r="AC696" s="32"/>
      <c r="AD696" s="32"/>
      <c r="AE696" s="32"/>
      <c r="AF696" s="32"/>
      <c r="AG696" s="32"/>
      <c r="AH696" s="32"/>
      <c r="AI696" s="32"/>
      <c r="AJ696" s="32"/>
    </row>
    <row r="697">
      <c r="A697" s="32"/>
      <c r="B697" s="32"/>
      <c r="C697" s="32"/>
      <c r="D697" s="32"/>
      <c r="E697" s="32"/>
      <c r="F697" s="32"/>
      <c r="G697" s="32"/>
      <c r="H697" s="32"/>
      <c r="I697" s="32"/>
      <c r="J697" s="32"/>
      <c r="K697" s="32"/>
      <c r="L697" s="32"/>
      <c r="M697" s="32"/>
      <c r="N697" s="32"/>
      <c r="O697" s="32"/>
      <c r="P697" s="32"/>
      <c r="Q697" s="32"/>
      <c r="R697" s="32"/>
      <c r="S697" s="32"/>
      <c r="T697" s="32"/>
      <c r="U697" s="32"/>
      <c r="V697" s="32"/>
      <c r="W697" s="32"/>
      <c r="X697" s="32"/>
      <c r="Y697" s="32"/>
      <c r="Z697" s="32"/>
      <c r="AA697" s="32"/>
      <c r="AB697" s="32"/>
      <c r="AC697" s="32"/>
      <c r="AD697" s="32"/>
      <c r="AE697" s="32"/>
      <c r="AF697" s="32"/>
      <c r="AG697" s="32"/>
      <c r="AH697" s="32"/>
      <c r="AI697" s="32"/>
      <c r="AJ697" s="32"/>
    </row>
    <row r="698">
      <c r="A698" s="32"/>
      <c r="B698" s="32"/>
      <c r="C698" s="32"/>
      <c r="D698" s="32"/>
      <c r="E698" s="32"/>
      <c r="F698" s="32"/>
      <c r="G698" s="32"/>
      <c r="H698" s="32"/>
      <c r="I698" s="32"/>
      <c r="J698" s="32"/>
      <c r="K698" s="32"/>
      <c r="L698" s="32"/>
      <c r="M698" s="32"/>
      <c r="N698" s="32"/>
      <c r="O698" s="32"/>
      <c r="P698" s="32"/>
      <c r="Q698" s="32"/>
      <c r="R698" s="32"/>
      <c r="S698" s="32"/>
      <c r="T698" s="32"/>
      <c r="U698" s="32"/>
      <c r="V698" s="32"/>
      <c r="W698" s="32"/>
      <c r="X698" s="32"/>
      <c r="Y698" s="32"/>
      <c r="Z698" s="32"/>
      <c r="AA698" s="32"/>
      <c r="AB698" s="32"/>
      <c r="AC698" s="32"/>
      <c r="AD698" s="32"/>
      <c r="AE698" s="32"/>
      <c r="AF698" s="32"/>
      <c r="AG698" s="32"/>
      <c r="AH698" s="32"/>
      <c r="AI698" s="32"/>
      <c r="AJ698" s="32"/>
    </row>
    <row r="699">
      <c r="A699" s="32"/>
      <c r="B699" s="32"/>
      <c r="C699" s="32"/>
      <c r="D699" s="32"/>
      <c r="E699" s="32"/>
      <c r="F699" s="32"/>
      <c r="G699" s="32"/>
      <c r="H699" s="32"/>
      <c r="I699" s="32"/>
      <c r="J699" s="32"/>
      <c r="K699" s="32"/>
      <c r="L699" s="32"/>
      <c r="M699" s="32"/>
      <c r="N699" s="32"/>
      <c r="O699" s="32"/>
      <c r="P699" s="32"/>
      <c r="Q699" s="32"/>
      <c r="R699" s="32"/>
      <c r="S699" s="32"/>
      <c r="T699" s="32"/>
      <c r="U699" s="32"/>
      <c r="V699" s="32"/>
      <c r="W699" s="32"/>
      <c r="X699" s="32"/>
      <c r="Y699" s="32"/>
      <c r="Z699" s="32"/>
      <c r="AA699" s="32"/>
      <c r="AB699" s="32"/>
      <c r="AC699" s="32"/>
      <c r="AD699" s="32"/>
      <c r="AE699" s="32"/>
      <c r="AF699" s="32"/>
      <c r="AG699" s="32"/>
      <c r="AH699" s="32"/>
      <c r="AI699" s="32"/>
      <c r="AJ699" s="32"/>
    </row>
    <row r="700">
      <c r="A700" s="32"/>
      <c r="B700" s="32"/>
      <c r="C700" s="32"/>
      <c r="D700" s="32"/>
      <c r="E700" s="32"/>
      <c r="F700" s="32"/>
      <c r="G700" s="32"/>
      <c r="H700" s="32"/>
      <c r="I700" s="32"/>
      <c r="J700" s="32"/>
      <c r="K700" s="32"/>
      <c r="L700" s="32"/>
      <c r="M700" s="32"/>
      <c r="N700" s="32"/>
      <c r="O700" s="32"/>
      <c r="P700" s="32"/>
      <c r="Q700" s="32"/>
      <c r="R700" s="32"/>
      <c r="S700" s="32"/>
      <c r="T700" s="32"/>
      <c r="U700" s="32"/>
      <c r="V700" s="32"/>
      <c r="W700" s="32"/>
      <c r="X700" s="32"/>
      <c r="Y700" s="32"/>
      <c r="Z700" s="32"/>
      <c r="AA700" s="32"/>
      <c r="AB700" s="32"/>
      <c r="AC700" s="32"/>
      <c r="AD700" s="32"/>
      <c r="AE700" s="32"/>
      <c r="AF700" s="32"/>
      <c r="AG700" s="32"/>
      <c r="AH700" s="32"/>
      <c r="AI700" s="32"/>
      <c r="AJ700" s="32"/>
    </row>
    <row r="701">
      <c r="A701" s="32"/>
      <c r="B701" s="32"/>
      <c r="C701" s="32"/>
      <c r="D701" s="32"/>
      <c r="E701" s="32"/>
      <c r="F701" s="32"/>
      <c r="G701" s="32"/>
      <c r="H701" s="32"/>
      <c r="I701" s="32"/>
      <c r="J701" s="32"/>
      <c r="K701" s="32"/>
      <c r="L701" s="32"/>
      <c r="M701" s="32"/>
      <c r="N701" s="32"/>
      <c r="O701" s="32"/>
      <c r="P701" s="32"/>
      <c r="Q701" s="32"/>
      <c r="R701" s="32"/>
      <c r="S701" s="32"/>
      <c r="T701" s="32"/>
      <c r="U701" s="32"/>
      <c r="V701" s="32"/>
      <c r="W701" s="32"/>
      <c r="X701" s="32"/>
      <c r="Y701" s="32"/>
      <c r="Z701" s="32"/>
      <c r="AA701" s="32"/>
      <c r="AB701" s="32"/>
      <c r="AC701" s="32"/>
      <c r="AD701" s="32"/>
      <c r="AE701" s="32"/>
      <c r="AF701" s="32"/>
      <c r="AG701" s="32"/>
      <c r="AH701" s="32"/>
      <c r="AI701" s="32"/>
      <c r="AJ701" s="32"/>
    </row>
    <row r="702">
      <c r="A702" s="32"/>
      <c r="B702" s="32"/>
      <c r="C702" s="32"/>
      <c r="D702" s="32"/>
      <c r="E702" s="32"/>
      <c r="F702" s="32"/>
      <c r="G702" s="32"/>
      <c r="H702" s="32"/>
      <c r="I702" s="32"/>
      <c r="J702" s="32"/>
      <c r="K702" s="32"/>
      <c r="L702" s="32"/>
      <c r="M702" s="32"/>
      <c r="N702" s="32"/>
      <c r="O702" s="32"/>
      <c r="P702" s="32"/>
      <c r="Q702" s="32"/>
      <c r="R702" s="32"/>
      <c r="S702" s="32"/>
      <c r="T702" s="32"/>
      <c r="U702" s="32"/>
      <c r="V702" s="32"/>
      <c r="W702" s="32"/>
      <c r="X702" s="32"/>
      <c r="Y702" s="32"/>
      <c r="Z702" s="32"/>
      <c r="AA702" s="32"/>
      <c r="AB702" s="32"/>
      <c r="AC702" s="32"/>
      <c r="AD702" s="32"/>
      <c r="AE702" s="32"/>
      <c r="AF702" s="32"/>
      <c r="AG702" s="32"/>
      <c r="AH702" s="32"/>
      <c r="AI702" s="32"/>
      <c r="AJ702" s="32"/>
    </row>
    <row r="703">
      <c r="A703" s="32"/>
      <c r="B703" s="32"/>
      <c r="C703" s="32"/>
      <c r="D703" s="32"/>
      <c r="E703" s="32"/>
      <c r="F703" s="32"/>
      <c r="G703" s="32"/>
      <c r="H703" s="32"/>
      <c r="I703" s="32"/>
      <c r="J703" s="32"/>
      <c r="K703" s="32"/>
      <c r="L703" s="32"/>
      <c r="M703" s="32"/>
      <c r="N703" s="32"/>
      <c r="O703" s="32"/>
      <c r="P703" s="32"/>
      <c r="Q703" s="32"/>
      <c r="R703" s="32"/>
      <c r="S703" s="32"/>
      <c r="T703" s="32"/>
      <c r="U703" s="32"/>
      <c r="V703" s="32"/>
      <c r="W703" s="32"/>
      <c r="X703" s="32"/>
      <c r="Y703" s="32"/>
      <c r="Z703" s="32"/>
      <c r="AA703" s="32"/>
      <c r="AB703" s="32"/>
      <c r="AC703" s="32"/>
      <c r="AD703" s="32"/>
      <c r="AE703" s="32"/>
      <c r="AF703" s="32"/>
      <c r="AG703" s="32"/>
      <c r="AH703" s="32"/>
      <c r="AI703" s="32"/>
      <c r="AJ703" s="32"/>
    </row>
    <row r="704">
      <c r="A704" s="32"/>
      <c r="B704" s="32"/>
      <c r="C704" s="32"/>
      <c r="D704" s="32"/>
      <c r="E704" s="32"/>
      <c r="F704" s="32"/>
      <c r="G704" s="32"/>
      <c r="H704" s="32"/>
      <c r="I704" s="32"/>
      <c r="J704" s="32"/>
      <c r="K704" s="32"/>
      <c r="L704" s="32"/>
      <c r="M704" s="32"/>
      <c r="N704" s="32"/>
      <c r="O704" s="32"/>
      <c r="P704" s="32"/>
      <c r="Q704" s="32"/>
      <c r="R704" s="32"/>
      <c r="S704" s="32"/>
      <c r="T704" s="32"/>
      <c r="U704" s="32"/>
      <c r="V704" s="32"/>
      <c r="W704" s="32"/>
      <c r="X704" s="32"/>
      <c r="Y704" s="32"/>
      <c r="Z704" s="32"/>
      <c r="AA704" s="32"/>
      <c r="AB704" s="32"/>
      <c r="AC704" s="32"/>
      <c r="AD704" s="32"/>
      <c r="AE704" s="32"/>
      <c r="AF704" s="32"/>
      <c r="AG704" s="32"/>
      <c r="AH704" s="32"/>
      <c r="AI704" s="32"/>
      <c r="AJ704" s="32"/>
    </row>
    <row r="705">
      <c r="A705" s="32"/>
      <c r="B705" s="32"/>
      <c r="C705" s="32"/>
      <c r="D705" s="32"/>
      <c r="E705" s="32"/>
      <c r="F705" s="32"/>
      <c r="G705" s="32"/>
      <c r="H705" s="32"/>
      <c r="I705" s="32"/>
      <c r="J705" s="32"/>
      <c r="K705" s="32"/>
      <c r="L705" s="32"/>
      <c r="M705" s="32"/>
      <c r="N705" s="32"/>
      <c r="O705" s="32"/>
      <c r="P705" s="32"/>
      <c r="Q705" s="32"/>
      <c r="R705" s="32"/>
      <c r="S705" s="32"/>
      <c r="T705" s="32"/>
      <c r="U705" s="32"/>
      <c r="V705" s="32"/>
      <c r="W705" s="32"/>
      <c r="X705" s="32"/>
      <c r="Y705" s="32"/>
      <c r="Z705" s="32"/>
      <c r="AA705" s="32"/>
      <c r="AB705" s="32"/>
      <c r="AC705" s="32"/>
      <c r="AD705" s="32"/>
      <c r="AE705" s="32"/>
      <c r="AF705" s="32"/>
      <c r="AG705" s="32"/>
      <c r="AH705" s="32"/>
      <c r="AI705" s="32"/>
      <c r="AJ705" s="32"/>
    </row>
    <row r="706">
      <c r="A706" s="32"/>
      <c r="B706" s="32"/>
      <c r="C706" s="32"/>
      <c r="D706" s="32"/>
      <c r="E706" s="32"/>
      <c r="F706" s="32"/>
      <c r="G706" s="32"/>
      <c r="H706" s="32"/>
      <c r="I706" s="32"/>
      <c r="J706" s="32"/>
      <c r="K706" s="32"/>
      <c r="L706" s="32"/>
      <c r="M706" s="32"/>
      <c r="N706" s="32"/>
      <c r="O706" s="32"/>
      <c r="P706" s="32"/>
      <c r="Q706" s="32"/>
      <c r="R706" s="32"/>
      <c r="S706" s="32"/>
      <c r="T706" s="32"/>
      <c r="U706" s="32"/>
      <c r="V706" s="32"/>
      <c r="W706" s="32"/>
      <c r="X706" s="32"/>
      <c r="Y706" s="32"/>
      <c r="Z706" s="32"/>
      <c r="AA706" s="32"/>
      <c r="AB706" s="32"/>
      <c r="AC706" s="32"/>
      <c r="AD706" s="32"/>
      <c r="AE706" s="32"/>
      <c r="AF706" s="32"/>
      <c r="AG706" s="32"/>
      <c r="AH706" s="32"/>
      <c r="AI706" s="32"/>
      <c r="AJ706" s="32"/>
    </row>
    <row r="707">
      <c r="A707" s="32"/>
      <c r="B707" s="32"/>
      <c r="C707" s="32"/>
      <c r="D707" s="32"/>
      <c r="E707" s="32"/>
      <c r="F707" s="32"/>
      <c r="G707" s="32"/>
      <c r="H707" s="32"/>
      <c r="I707" s="32"/>
      <c r="J707" s="32"/>
      <c r="K707" s="32"/>
      <c r="L707" s="32"/>
      <c r="M707" s="32"/>
      <c r="N707" s="32"/>
      <c r="O707" s="32"/>
      <c r="P707" s="32"/>
      <c r="Q707" s="32"/>
      <c r="R707" s="32"/>
      <c r="S707" s="32"/>
      <c r="T707" s="32"/>
      <c r="U707" s="32"/>
      <c r="V707" s="32"/>
      <c r="W707" s="32"/>
      <c r="X707" s="32"/>
      <c r="Y707" s="32"/>
      <c r="Z707" s="32"/>
      <c r="AA707" s="32"/>
      <c r="AB707" s="32"/>
      <c r="AC707" s="32"/>
      <c r="AD707" s="32"/>
      <c r="AE707" s="32"/>
      <c r="AF707" s="32"/>
      <c r="AG707" s="32"/>
      <c r="AH707" s="32"/>
      <c r="AI707" s="32"/>
      <c r="AJ707" s="32"/>
    </row>
    <row r="708">
      <c r="A708" s="32"/>
      <c r="B708" s="32"/>
      <c r="C708" s="32"/>
      <c r="D708" s="32"/>
      <c r="E708" s="32"/>
      <c r="F708" s="32"/>
      <c r="G708" s="32"/>
      <c r="H708" s="32"/>
      <c r="I708" s="32"/>
      <c r="J708" s="32"/>
      <c r="K708" s="32"/>
      <c r="L708" s="32"/>
      <c r="M708" s="32"/>
      <c r="N708" s="32"/>
      <c r="O708" s="32"/>
      <c r="P708" s="32"/>
      <c r="Q708" s="32"/>
      <c r="R708" s="32"/>
      <c r="S708" s="32"/>
      <c r="T708" s="32"/>
      <c r="U708" s="32"/>
      <c r="V708" s="32"/>
      <c r="W708" s="32"/>
      <c r="X708" s="32"/>
      <c r="Y708" s="32"/>
      <c r="Z708" s="32"/>
      <c r="AA708" s="32"/>
      <c r="AB708" s="32"/>
      <c r="AC708" s="32"/>
      <c r="AD708" s="32"/>
      <c r="AE708" s="32"/>
      <c r="AF708" s="32"/>
      <c r="AG708" s="32"/>
      <c r="AH708" s="32"/>
      <c r="AI708" s="32"/>
      <c r="AJ708" s="32"/>
    </row>
    <row r="709">
      <c r="A709" s="32"/>
      <c r="B709" s="32"/>
      <c r="C709" s="32"/>
      <c r="D709" s="32"/>
      <c r="E709" s="32"/>
      <c r="F709" s="32"/>
      <c r="G709" s="32"/>
      <c r="H709" s="32"/>
      <c r="I709" s="32"/>
      <c r="J709" s="32"/>
      <c r="K709" s="32"/>
      <c r="L709" s="32"/>
      <c r="M709" s="32"/>
      <c r="N709" s="32"/>
      <c r="O709" s="32"/>
      <c r="P709" s="32"/>
      <c r="Q709" s="32"/>
      <c r="R709" s="32"/>
      <c r="S709" s="32"/>
      <c r="T709" s="32"/>
      <c r="U709" s="32"/>
      <c r="V709" s="32"/>
      <c r="W709" s="32"/>
      <c r="X709" s="32"/>
      <c r="Y709" s="32"/>
      <c r="Z709" s="32"/>
      <c r="AA709" s="32"/>
      <c r="AB709" s="32"/>
      <c r="AC709" s="32"/>
      <c r="AD709" s="32"/>
      <c r="AE709" s="32"/>
      <c r="AF709" s="32"/>
      <c r="AG709" s="32"/>
      <c r="AH709" s="32"/>
      <c r="AI709" s="32"/>
      <c r="AJ709" s="32"/>
    </row>
    <row r="710">
      <c r="A710" s="32"/>
      <c r="B710" s="32"/>
      <c r="C710" s="32"/>
      <c r="D710" s="32"/>
      <c r="E710" s="32"/>
      <c r="F710" s="32"/>
      <c r="G710" s="32"/>
      <c r="H710" s="32"/>
      <c r="I710" s="32"/>
      <c r="J710" s="32"/>
      <c r="K710" s="32"/>
      <c r="L710" s="32"/>
      <c r="M710" s="32"/>
      <c r="N710" s="32"/>
      <c r="O710" s="32"/>
      <c r="P710" s="32"/>
      <c r="Q710" s="32"/>
      <c r="R710" s="32"/>
      <c r="S710" s="32"/>
      <c r="T710" s="32"/>
      <c r="U710" s="32"/>
      <c r="V710" s="32"/>
      <c r="W710" s="32"/>
      <c r="X710" s="32"/>
      <c r="Y710" s="32"/>
      <c r="Z710" s="32"/>
      <c r="AA710" s="32"/>
      <c r="AB710" s="32"/>
      <c r="AC710" s="32"/>
      <c r="AD710" s="32"/>
      <c r="AE710" s="32"/>
      <c r="AF710" s="32"/>
      <c r="AG710" s="32"/>
      <c r="AH710" s="32"/>
      <c r="AI710" s="32"/>
      <c r="AJ710" s="32"/>
    </row>
    <row r="711">
      <c r="A711" s="32"/>
      <c r="B711" s="32"/>
      <c r="C711" s="32"/>
      <c r="D711" s="32"/>
      <c r="E711" s="32"/>
      <c r="F711" s="32"/>
      <c r="G711" s="32"/>
      <c r="H711" s="32"/>
      <c r="I711" s="32"/>
      <c r="J711" s="32"/>
      <c r="K711" s="32"/>
      <c r="L711" s="32"/>
      <c r="M711" s="32"/>
      <c r="N711" s="32"/>
      <c r="O711" s="32"/>
      <c r="P711" s="32"/>
      <c r="Q711" s="32"/>
      <c r="R711" s="32"/>
      <c r="S711" s="32"/>
      <c r="T711" s="32"/>
      <c r="U711" s="32"/>
      <c r="V711" s="32"/>
      <c r="W711" s="32"/>
      <c r="X711" s="32"/>
      <c r="Y711" s="32"/>
      <c r="Z711" s="32"/>
      <c r="AA711" s="32"/>
      <c r="AB711" s="32"/>
      <c r="AC711" s="32"/>
      <c r="AD711" s="32"/>
      <c r="AE711" s="32"/>
      <c r="AF711" s="32"/>
      <c r="AG711" s="32"/>
      <c r="AH711" s="32"/>
      <c r="AI711" s="32"/>
      <c r="AJ711" s="32"/>
    </row>
    <row r="712">
      <c r="A712" s="32"/>
      <c r="B712" s="32"/>
      <c r="C712" s="32"/>
      <c r="D712" s="32"/>
      <c r="E712" s="32"/>
      <c r="F712" s="32"/>
      <c r="G712" s="32"/>
      <c r="H712" s="32"/>
      <c r="I712" s="32"/>
      <c r="J712" s="32"/>
      <c r="K712" s="32"/>
      <c r="L712" s="32"/>
      <c r="M712" s="32"/>
      <c r="N712" s="32"/>
      <c r="O712" s="32"/>
      <c r="P712" s="32"/>
      <c r="Q712" s="32"/>
      <c r="R712" s="32"/>
      <c r="S712" s="32"/>
      <c r="T712" s="32"/>
      <c r="U712" s="32"/>
      <c r="V712" s="32"/>
      <c r="W712" s="32"/>
      <c r="X712" s="32"/>
      <c r="Y712" s="32"/>
      <c r="Z712" s="32"/>
      <c r="AA712" s="32"/>
      <c r="AB712" s="32"/>
      <c r="AC712" s="32"/>
      <c r="AD712" s="32"/>
      <c r="AE712" s="32"/>
      <c r="AF712" s="32"/>
      <c r="AG712" s="32"/>
      <c r="AH712" s="32"/>
      <c r="AI712" s="32"/>
      <c r="AJ712" s="32"/>
    </row>
    <row r="713">
      <c r="A713" s="32"/>
      <c r="B713" s="32"/>
      <c r="C713" s="32"/>
      <c r="D713" s="32"/>
      <c r="E713" s="32"/>
      <c r="F713" s="32"/>
      <c r="G713" s="32"/>
      <c r="H713" s="32"/>
      <c r="I713" s="32"/>
      <c r="J713" s="32"/>
      <c r="K713" s="32"/>
      <c r="L713" s="32"/>
      <c r="M713" s="32"/>
      <c r="N713" s="32"/>
      <c r="O713" s="32"/>
      <c r="P713" s="32"/>
      <c r="Q713" s="32"/>
      <c r="R713" s="32"/>
      <c r="S713" s="32"/>
      <c r="T713" s="32"/>
      <c r="U713" s="32"/>
      <c r="V713" s="32"/>
      <c r="W713" s="32"/>
      <c r="X713" s="32"/>
      <c r="Y713" s="32"/>
      <c r="Z713" s="32"/>
      <c r="AA713" s="32"/>
      <c r="AB713" s="32"/>
      <c r="AC713" s="32"/>
      <c r="AD713" s="32"/>
      <c r="AE713" s="32"/>
      <c r="AF713" s="32"/>
      <c r="AG713" s="32"/>
      <c r="AH713" s="32"/>
      <c r="AI713" s="32"/>
      <c r="AJ713" s="32"/>
    </row>
    <row r="714">
      <c r="A714" s="32"/>
      <c r="B714" s="32"/>
      <c r="C714" s="32"/>
      <c r="D714" s="32"/>
      <c r="E714" s="32"/>
      <c r="F714" s="32"/>
      <c r="G714" s="32"/>
      <c r="H714" s="32"/>
      <c r="I714" s="32"/>
      <c r="J714" s="32"/>
      <c r="K714" s="32"/>
      <c r="L714" s="32"/>
      <c r="M714" s="32"/>
      <c r="N714" s="32"/>
      <c r="O714" s="32"/>
      <c r="P714" s="32"/>
      <c r="Q714" s="32"/>
      <c r="R714" s="32"/>
      <c r="S714" s="32"/>
      <c r="T714" s="32"/>
      <c r="U714" s="32"/>
      <c r="V714" s="32"/>
      <c r="W714" s="32"/>
      <c r="X714" s="32"/>
      <c r="Y714" s="32"/>
      <c r="Z714" s="32"/>
      <c r="AA714" s="32"/>
      <c r="AB714" s="32"/>
      <c r="AC714" s="32"/>
      <c r="AD714" s="32"/>
      <c r="AE714" s="32"/>
      <c r="AF714" s="32"/>
      <c r="AG714" s="32"/>
      <c r="AH714" s="32"/>
      <c r="AI714" s="32"/>
      <c r="AJ714" s="32"/>
    </row>
    <row r="715">
      <c r="A715" s="32"/>
      <c r="B715" s="32"/>
      <c r="C715" s="32"/>
      <c r="D715" s="32"/>
      <c r="E715" s="32"/>
      <c r="F715" s="32"/>
      <c r="G715" s="32"/>
      <c r="H715" s="32"/>
      <c r="I715" s="32"/>
      <c r="J715" s="32"/>
      <c r="K715" s="32"/>
      <c r="L715" s="32"/>
      <c r="M715" s="32"/>
      <c r="N715" s="32"/>
      <c r="O715" s="32"/>
      <c r="P715" s="32"/>
      <c r="Q715" s="32"/>
      <c r="R715" s="32"/>
      <c r="S715" s="32"/>
      <c r="T715" s="32"/>
      <c r="U715" s="32"/>
      <c r="V715" s="32"/>
      <c r="W715" s="32"/>
      <c r="X715" s="32"/>
      <c r="Y715" s="32"/>
      <c r="Z715" s="32"/>
      <c r="AA715" s="32"/>
      <c r="AB715" s="32"/>
      <c r="AC715" s="32"/>
      <c r="AD715" s="32"/>
      <c r="AE715" s="32"/>
      <c r="AF715" s="32"/>
      <c r="AG715" s="32"/>
      <c r="AH715" s="32"/>
      <c r="AI715" s="32"/>
      <c r="AJ715" s="32"/>
    </row>
    <row r="716">
      <c r="A716" s="32"/>
      <c r="B716" s="32"/>
      <c r="C716" s="32"/>
      <c r="D716" s="32"/>
      <c r="E716" s="32"/>
      <c r="F716" s="32"/>
      <c r="G716" s="32"/>
      <c r="H716" s="32"/>
      <c r="I716" s="32"/>
      <c r="J716" s="32"/>
      <c r="K716" s="32"/>
      <c r="L716" s="32"/>
      <c r="M716" s="32"/>
      <c r="N716" s="32"/>
      <c r="O716" s="32"/>
      <c r="P716" s="32"/>
      <c r="Q716" s="32"/>
      <c r="R716" s="32"/>
      <c r="S716" s="32"/>
      <c r="T716" s="32"/>
      <c r="U716" s="32"/>
      <c r="V716" s="32"/>
      <c r="W716" s="32"/>
      <c r="X716" s="32"/>
      <c r="Y716" s="32"/>
      <c r="Z716" s="32"/>
      <c r="AA716" s="32"/>
      <c r="AB716" s="32"/>
      <c r="AC716" s="32"/>
      <c r="AD716" s="32"/>
      <c r="AE716" s="32"/>
      <c r="AF716" s="32"/>
      <c r="AG716" s="32"/>
      <c r="AH716" s="32"/>
      <c r="AI716" s="32"/>
      <c r="AJ716" s="32"/>
    </row>
    <row r="717">
      <c r="A717" s="32"/>
      <c r="B717" s="32"/>
      <c r="C717" s="32"/>
      <c r="D717" s="32"/>
      <c r="E717" s="32"/>
      <c r="F717" s="32"/>
      <c r="G717" s="32"/>
      <c r="H717" s="32"/>
      <c r="I717" s="32"/>
      <c r="J717" s="32"/>
      <c r="K717" s="32"/>
      <c r="L717" s="32"/>
      <c r="M717" s="32"/>
      <c r="N717" s="32"/>
      <c r="O717" s="32"/>
      <c r="P717" s="32"/>
      <c r="Q717" s="32"/>
      <c r="R717" s="32"/>
      <c r="S717" s="32"/>
      <c r="T717" s="32"/>
      <c r="U717" s="32"/>
      <c r="V717" s="32"/>
      <c r="W717" s="32"/>
      <c r="X717" s="32"/>
      <c r="Y717" s="32"/>
      <c r="Z717" s="32"/>
      <c r="AA717" s="32"/>
      <c r="AB717" s="32"/>
      <c r="AC717" s="32"/>
      <c r="AD717" s="32"/>
      <c r="AE717" s="32"/>
      <c r="AF717" s="32"/>
      <c r="AG717" s="32"/>
      <c r="AH717" s="32"/>
      <c r="AI717" s="32"/>
      <c r="AJ717" s="32"/>
    </row>
    <row r="718">
      <c r="A718" s="32"/>
      <c r="B718" s="32"/>
      <c r="C718" s="32"/>
      <c r="D718" s="32"/>
      <c r="E718" s="32"/>
      <c r="F718" s="32"/>
      <c r="G718" s="32"/>
      <c r="H718" s="32"/>
      <c r="I718" s="32"/>
      <c r="J718" s="32"/>
      <c r="K718" s="32"/>
      <c r="L718" s="32"/>
      <c r="M718" s="32"/>
      <c r="N718" s="32"/>
      <c r="O718" s="32"/>
      <c r="P718" s="32"/>
      <c r="Q718" s="32"/>
      <c r="R718" s="32"/>
      <c r="S718" s="32"/>
      <c r="T718" s="32"/>
      <c r="U718" s="32"/>
      <c r="V718" s="32"/>
      <c r="W718" s="32"/>
      <c r="X718" s="32"/>
      <c r="Y718" s="32"/>
      <c r="Z718" s="32"/>
      <c r="AA718" s="32"/>
      <c r="AB718" s="32"/>
      <c r="AC718" s="32"/>
      <c r="AD718" s="32"/>
      <c r="AE718" s="32"/>
      <c r="AF718" s="32"/>
      <c r="AG718" s="32"/>
      <c r="AH718" s="32"/>
      <c r="AI718" s="32"/>
      <c r="AJ718" s="32"/>
    </row>
    <row r="719">
      <c r="A719" s="32"/>
      <c r="B719" s="32"/>
      <c r="C719" s="32"/>
      <c r="D719" s="32"/>
      <c r="E719" s="32"/>
      <c r="F719" s="32"/>
      <c r="G719" s="32"/>
      <c r="H719" s="32"/>
      <c r="I719" s="32"/>
      <c r="J719" s="32"/>
      <c r="K719" s="32"/>
      <c r="L719" s="32"/>
      <c r="M719" s="32"/>
      <c r="N719" s="32"/>
      <c r="O719" s="32"/>
      <c r="P719" s="32"/>
      <c r="Q719" s="32"/>
      <c r="R719" s="32"/>
      <c r="S719" s="32"/>
      <c r="T719" s="32"/>
      <c r="U719" s="32"/>
      <c r="V719" s="32"/>
      <c r="W719" s="32"/>
      <c r="X719" s="32"/>
      <c r="Y719" s="32"/>
      <c r="Z719" s="32"/>
      <c r="AA719" s="32"/>
      <c r="AB719" s="32"/>
      <c r="AC719" s="32"/>
      <c r="AD719" s="32"/>
      <c r="AE719" s="32"/>
      <c r="AF719" s="32"/>
      <c r="AG719" s="32"/>
      <c r="AH719" s="32"/>
      <c r="AI719" s="32"/>
      <c r="AJ719" s="32"/>
    </row>
    <row r="720">
      <c r="A720" s="32"/>
      <c r="B720" s="32"/>
      <c r="C720" s="32"/>
      <c r="D720" s="32"/>
      <c r="E720" s="32"/>
      <c r="F720" s="32"/>
      <c r="G720" s="32"/>
      <c r="H720" s="32"/>
      <c r="I720" s="32"/>
      <c r="J720" s="32"/>
      <c r="K720" s="32"/>
      <c r="L720" s="32"/>
      <c r="M720" s="32"/>
      <c r="N720" s="32"/>
      <c r="O720" s="32"/>
      <c r="P720" s="32"/>
      <c r="Q720" s="32"/>
      <c r="R720" s="32"/>
      <c r="S720" s="32"/>
      <c r="T720" s="32"/>
      <c r="U720" s="32"/>
      <c r="V720" s="32"/>
      <c r="W720" s="32"/>
      <c r="X720" s="32"/>
      <c r="Y720" s="32"/>
      <c r="Z720" s="32"/>
      <c r="AA720" s="32"/>
      <c r="AB720" s="32"/>
      <c r="AC720" s="32"/>
      <c r="AD720" s="32"/>
      <c r="AE720" s="32"/>
      <c r="AF720" s="32"/>
      <c r="AG720" s="32"/>
      <c r="AH720" s="32"/>
      <c r="AI720" s="32"/>
      <c r="AJ720" s="32"/>
    </row>
    <row r="721">
      <c r="A721" s="32"/>
      <c r="B721" s="32"/>
      <c r="C721" s="32"/>
      <c r="D721" s="32"/>
      <c r="E721" s="32"/>
      <c r="F721" s="32"/>
      <c r="G721" s="32"/>
      <c r="H721" s="32"/>
      <c r="I721" s="32"/>
      <c r="J721" s="32"/>
      <c r="K721" s="32"/>
      <c r="L721" s="32"/>
      <c r="M721" s="32"/>
      <c r="N721" s="32"/>
      <c r="O721" s="32"/>
      <c r="P721" s="32"/>
      <c r="Q721" s="32"/>
      <c r="R721" s="32"/>
      <c r="S721" s="32"/>
      <c r="T721" s="32"/>
      <c r="U721" s="32"/>
      <c r="V721" s="32"/>
      <c r="W721" s="32"/>
      <c r="X721" s="32"/>
      <c r="Y721" s="32"/>
      <c r="Z721" s="32"/>
      <c r="AA721" s="32"/>
      <c r="AB721" s="32"/>
      <c r="AC721" s="32"/>
      <c r="AD721" s="32"/>
      <c r="AE721" s="32"/>
      <c r="AF721" s="32"/>
      <c r="AG721" s="32"/>
      <c r="AH721" s="32"/>
      <c r="AI721" s="32"/>
      <c r="AJ721" s="32"/>
    </row>
    <row r="722">
      <c r="A722" s="32"/>
      <c r="B722" s="32"/>
      <c r="C722" s="32"/>
      <c r="D722" s="32"/>
      <c r="E722" s="32"/>
      <c r="F722" s="32"/>
      <c r="G722" s="32"/>
      <c r="H722" s="32"/>
      <c r="I722" s="32"/>
      <c r="J722" s="32"/>
      <c r="K722" s="32"/>
      <c r="L722" s="32"/>
      <c r="M722" s="32"/>
      <c r="N722" s="32"/>
      <c r="O722" s="32"/>
      <c r="P722" s="32"/>
      <c r="Q722" s="32"/>
      <c r="R722" s="32"/>
      <c r="S722" s="32"/>
      <c r="T722" s="32"/>
      <c r="U722" s="32"/>
      <c r="V722" s="32"/>
      <c r="W722" s="32"/>
      <c r="X722" s="32"/>
      <c r="Y722" s="32"/>
      <c r="Z722" s="32"/>
      <c r="AA722" s="32"/>
      <c r="AB722" s="32"/>
      <c r="AC722" s="32"/>
      <c r="AD722" s="32"/>
      <c r="AE722" s="32"/>
      <c r="AF722" s="32"/>
      <c r="AG722" s="32"/>
      <c r="AH722" s="32"/>
      <c r="AI722" s="32"/>
      <c r="AJ722" s="32"/>
    </row>
    <row r="723">
      <c r="A723" s="32"/>
      <c r="B723" s="32"/>
      <c r="C723" s="32"/>
      <c r="D723" s="32"/>
      <c r="E723" s="32"/>
      <c r="F723" s="32"/>
      <c r="G723" s="32"/>
      <c r="H723" s="32"/>
      <c r="I723" s="32"/>
      <c r="J723" s="32"/>
      <c r="K723" s="32"/>
      <c r="L723" s="32"/>
      <c r="M723" s="32"/>
      <c r="N723" s="32"/>
      <c r="O723" s="32"/>
      <c r="P723" s="32"/>
      <c r="Q723" s="32"/>
      <c r="R723" s="32"/>
      <c r="S723" s="32"/>
      <c r="T723" s="32"/>
      <c r="U723" s="32"/>
      <c r="V723" s="32"/>
      <c r="W723" s="32"/>
      <c r="X723" s="32"/>
      <c r="Y723" s="32"/>
      <c r="Z723" s="32"/>
      <c r="AA723" s="32"/>
      <c r="AB723" s="32"/>
      <c r="AC723" s="32"/>
      <c r="AD723" s="32"/>
      <c r="AE723" s="32"/>
      <c r="AF723" s="32"/>
      <c r="AG723" s="32"/>
      <c r="AH723" s="32"/>
      <c r="AI723" s="32"/>
      <c r="AJ723" s="32"/>
    </row>
    <row r="724">
      <c r="A724" s="32"/>
      <c r="B724" s="32"/>
      <c r="C724" s="32"/>
      <c r="D724" s="32"/>
      <c r="E724" s="32"/>
      <c r="F724" s="32"/>
      <c r="G724" s="32"/>
      <c r="H724" s="32"/>
      <c r="I724" s="32"/>
      <c r="J724" s="32"/>
      <c r="K724" s="32"/>
      <c r="L724" s="32"/>
      <c r="M724" s="32"/>
      <c r="N724" s="32"/>
      <c r="O724" s="32"/>
      <c r="P724" s="32"/>
      <c r="Q724" s="32"/>
      <c r="R724" s="32"/>
      <c r="S724" s="32"/>
      <c r="T724" s="32"/>
      <c r="U724" s="32"/>
      <c r="V724" s="32"/>
      <c r="W724" s="32"/>
      <c r="X724" s="32"/>
      <c r="Y724" s="32"/>
      <c r="Z724" s="32"/>
      <c r="AA724" s="32"/>
      <c r="AB724" s="32"/>
      <c r="AC724" s="32"/>
      <c r="AD724" s="32"/>
      <c r="AE724" s="32"/>
      <c r="AF724" s="32"/>
      <c r="AG724" s="32"/>
      <c r="AH724" s="32"/>
      <c r="AI724" s="32"/>
      <c r="AJ724" s="32"/>
    </row>
    <row r="725">
      <c r="A725" s="32"/>
      <c r="B725" s="32"/>
      <c r="C725" s="32"/>
      <c r="D725" s="32"/>
      <c r="E725" s="32"/>
      <c r="F725" s="32"/>
      <c r="G725" s="32"/>
      <c r="H725" s="32"/>
      <c r="I725" s="32"/>
      <c r="J725" s="32"/>
      <c r="K725" s="32"/>
      <c r="L725" s="32"/>
      <c r="M725" s="32"/>
      <c r="N725" s="32"/>
      <c r="O725" s="32"/>
      <c r="P725" s="32"/>
      <c r="Q725" s="32"/>
      <c r="R725" s="32"/>
      <c r="S725" s="32"/>
      <c r="T725" s="32"/>
      <c r="U725" s="32"/>
      <c r="V725" s="32"/>
      <c r="W725" s="32"/>
      <c r="X725" s="32"/>
      <c r="Y725" s="32"/>
      <c r="Z725" s="32"/>
      <c r="AA725" s="32"/>
      <c r="AB725" s="32"/>
      <c r="AC725" s="32"/>
      <c r="AD725" s="32"/>
      <c r="AE725" s="32"/>
      <c r="AF725" s="32"/>
      <c r="AG725" s="32"/>
      <c r="AH725" s="32"/>
      <c r="AI725" s="32"/>
      <c r="AJ725" s="32"/>
    </row>
    <row r="726">
      <c r="A726" s="32"/>
      <c r="B726" s="32"/>
      <c r="C726" s="32"/>
      <c r="D726" s="32"/>
      <c r="E726" s="32"/>
      <c r="F726" s="32"/>
      <c r="G726" s="32"/>
      <c r="H726" s="32"/>
      <c r="I726" s="32"/>
      <c r="J726" s="32"/>
      <c r="K726" s="32"/>
      <c r="L726" s="32"/>
      <c r="M726" s="32"/>
      <c r="N726" s="32"/>
      <c r="O726" s="32"/>
      <c r="P726" s="32"/>
      <c r="Q726" s="32"/>
      <c r="R726" s="32"/>
      <c r="S726" s="32"/>
      <c r="T726" s="32"/>
      <c r="U726" s="32"/>
      <c r="V726" s="32"/>
      <c r="W726" s="32"/>
      <c r="X726" s="32"/>
      <c r="Y726" s="32"/>
      <c r="Z726" s="32"/>
      <c r="AA726" s="32"/>
      <c r="AB726" s="32"/>
      <c r="AC726" s="32"/>
      <c r="AD726" s="32"/>
      <c r="AE726" s="32"/>
      <c r="AF726" s="32"/>
      <c r="AG726" s="32"/>
      <c r="AH726" s="32"/>
      <c r="AI726" s="32"/>
      <c r="AJ726" s="32"/>
    </row>
    <row r="727">
      <c r="A727" s="32"/>
      <c r="B727" s="32"/>
      <c r="C727" s="32"/>
      <c r="D727" s="32"/>
      <c r="E727" s="32"/>
      <c r="F727" s="32"/>
      <c r="G727" s="32"/>
      <c r="H727" s="32"/>
      <c r="I727" s="32"/>
      <c r="J727" s="32"/>
      <c r="K727" s="32"/>
      <c r="L727" s="32"/>
      <c r="M727" s="32"/>
      <c r="N727" s="32"/>
      <c r="O727" s="32"/>
      <c r="P727" s="32"/>
      <c r="Q727" s="32"/>
      <c r="R727" s="32"/>
      <c r="S727" s="32"/>
      <c r="T727" s="32"/>
      <c r="U727" s="32"/>
      <c r="V727" s="32"/>
      <c r="W727" s="32"/>
      <c r="X727" s="32"/>
      <c r="Y727" s="32"/>
      <c r="Z727" s="32"/>
      <c r="AA727" s="32"/>
      <c r="AB727" s="32"/>
      <c r="AC727" s="32"/>
      <c r="AD727" s="32"/>
      <c r="AE727" s="32"/>
      <c r="AF727" s="32"/>
      <c r="AG727" s="32"/>
      <c r="AH727" s="32"/>
      <c r="AI727" s="32"/>
      <c r="AJ727" s="32"/>
    </row>
    <row r="728">
      <c r="A728" s="32"/>
      <c r="B728" s="32"/>
      <c r="C728" s="32"/>
      <c r="D728" s="32"/>
      <c r="E728" s="32"/>
      <c r="F728" s="32"/>
      <c r="G728" s="32"/>
      <c r="H728" s="32"/>
      <c r="I728" s="32"/>
      <c r="J728" s="32"/>
      <c r="K728" s="32"/>
      <c r="L728" s="32"/>
      <c r="M728" s="32"/>
      <c r="N728" s="32"/>
      <c r="O728" s="32"/>
      <c r="P728" s="32"/>
      <c r="Q728" s="32"/>
      <c r="R728" s="32"/>
      <c r="S728" s="32"/>
      <c r="T728" s="32"/>
      <c r="U728" s="32"/>
      <c r="V728" s="32"/>
      <c r="W728" s="32"/>
      <c r="X728" s="32"/>
      <c r="Y728" s="32"/>
      <c r="Z728" s="32"/>
      <c r="AA728" s="32"/>
      <c r="AB728" s="32"/>
      <c r="AC728" s="32"/>
      <c r="AD728" s="32"/>
      <c r="AE728" s="32"/>
      <c r="AF728" s="32"/>
      <c r="AG728" s="32"/>
      <c r="AH728" s="32"/>
      <c r="AI728" s="32"/>
      <c r="AJ728" s="32"/>
    </row>
    <row r="729">
      <c r="A729" s="32"/>
      <c r="B729" s="32"/>
      <c r="C729" s="32"/>
      <c r="D729" s="32"/>
      <c r="E729" s="32"/>
      <c r="F729" s="32"/>
      <c r="G729" s="32"/>
      <c r="H729" s="32"/>
      <c r="I729" s="32"/>
      <c r="J729" s="32"/>
      <c r="K729" s="32"/>
      <c r="L729" s="32"/>
      <c r="M729" s="32"/>
      <c r="N729" s="32"/>
      <c r="O729" s="32"/>
      <c r="P729" s="32"/>
      <c r="Q729" s="32"/>
      <c r="R729" s="32"/>
      <c r="S729" s="32"/>
      <c r="T729" s="32"/>
      <c r="U729" s="32"/>
      <c r="V729" s="32"/>
      <c r="W729" s="32"/>
      <c r="X729" s="32"/>
      <c r="Y729" s="32"/>
      <c r="Z729" s="32"/>
      <c r="AA729" s="32"/>
      <c r="AB729" s="32"/>
      <c r="AC729" s="32"/>
      <c r="AD729" s="32"/>
      <c r="AE729" s="32"/>
      <c r="AF729" s="32"/>
      <c r="AG729" s="32"/>
      <c r="AH729" s="32"/>
      <c r="AI729" s="32"/>
      <c r="AJ729" s="32"/>
    </row>
    <row r="730">
      <c r="A730" s="32"/>
      <c r="B730" s="32"/>
      <c r="C730" s="32"/>
      <c r="D730" s="32"/>
      <c r="E730" s="32"/>
      <c r="F730" s="32"/>
      <c r="G730" s="32"/>
      <c r="H730" s="32"/>
      <c r="I730" s="32"/>
      <c r="J730" s="32"/>
      <c r="K730" s="32"/>
      <c r="L730" s="32"/>
      <c r="M730" s="32"/>
      <c r="N730" s="32"/>
      <c r="O730" s="32"/>
      <c r="P730" s="32"/>
      <c r="Q730" s="32"/>
      <c r="R730" s="32"/>
      <c r="S730" s="32"/>
      <c r="T730" s="32"/>
      <c r="U730" s="32"/>
      <c r="V730" s="32"/>
      <c r="W730" s="32"/>
      <c r="X730" s="32"/>
      <c r="Y730" s="32"/>
      <c r="Z730" s="32"/>
      <c r="AA730" s="32"/>
      <c r="AB730" s="32"/>
      <c r="AC730" s="32"/>
      <c r="AD730" s="32"/>
      <c r="AE730" s="32"/>
      <c r="AF730" s="32"/>
      <c r="AG730" s="32"/>
      <c r="AH730" s="32"/>
      <c r="AI730" s="32"/>
      <c r="AJ730" s="32"/>
    </row>
    <row r="731">
      <c r="A731" s="32"/>
      <c r="B731" s="32"/>
      <c r="C731" s="32"/>
      <c r="D731" s="32"/>
      <c r="E731" s="32"/>
      <c r="F731" s="32"/>
      <c r="G731" s="32"/>
      <c r="H731" s="32"/>
      <c r="I731" s="32"/>
      <c r="J731" s="32"/>
      <c r="K731" s="32"/>
      <c r="L731" s="32"/>
      <c r="M731" s="32"/>
      <c r="N731" s="32"/>
      <c r="O731" s="32"/>
      <c r="P731" s="32"/>
      <c r="Q731" s="32"/>
      <c r="R731" s="32"/>
      <c r="S731" s="32"/>
      <c r="T731" s="32"/>
      <c r="U731" s="32"/>
      <c r="V731" s="32"/>
      <c r="W731" s="32"/>
      <c r="X731" s="32"/>
      <c r="Y731" s="32"/>
      <c r="Z731" s="32"/>
      <c r="AA731" s="32"/>
      <c r="AB731" s="32"/>
      <c r="AC731" s="32"/>
      <c r="AD731" s="32"/>
      <c r="AE731" s="32"/>
      <c r="AF731" s="32"/>
      <c r="AG731" s="32"/>
      <c r="AH731" s="32"/>
      <c r="AI731" s="32"/>
      <c r="AJ731" s="32"/>
    </row>
    <row r="732">
      <c r="A732" s="32"/>
      <c r="B732" s="32"/>
      <c r="C732" s="32"/>
      <c r="D732" s="32"/>
      <c r="E732" s="32"/>
      <c r="F732" s="32"/>
      <c r="G732" s="32"/>
      <c r="H732" s="32"/>
      <c r="I732" s="32"/>
      <c r="J732" s="32"/>
      <c r="K732" s="32"/>
      <c r="L732" s="32"/>
      <c r="M732" s="32"/>
      <c r="N732" s="32"/>
      <c r="O732" s="32"/>
      <c r="P732" s="32"/>
      <c r="Q732" s="32"/>
      <c r="R732" s="32"/>
      <c r="S732" s="32"/>
      <c r="T732" s="32"/>
      <c r="U732" s="32"/>
      <c r="V732" s="32"/>
      <c r="W732" s="32"/>
      <c r="X732" s="32"/>
      <c r="Y732" s="32"/>
      <c r="Z732" s="32"/>
      <c r="AA732" s="32"/>
      <c r="AB732" s="32"/>
      <c r="AC732" s="32"/>
      <c r="AD732" s="32"/>
      <c r="AE732" s="32"/>
      <c r="AF732" s="32"/>
      <c r="AG732" s="32"/>
      <c r="AH732" s="32"/>
      <c r="AI732" s="32"/>
      <c r="AJ732" s="32"/>
    </row>
    <row r="733">
      <c r="A733" s="32"/>
      <c r="B733" s="32"/>
      <c r="C733" s="32"/>
      <c r="D733" s="32"/>
      <c r="E733" s="32"/>
      <c r="F733" s="32"/>
      <c r="G733" s="32"/>
      <c r="H733" s="32"/>
      <c r="I733" s="32"/>
      <c r="J733" s="32"/>
      <c r="K733" s="32"/>
      <c r="L733" s="32"/>
      <c r="M733" s="32"/>
      <c r="N733" s="32"/>
      <c r="O733" s="32"/>
      <c r="P733" s="32"/>
      <c r="Q733" s="32"/>
      <c r="R733" s="32"/>
      <c r="S733" s="32"/>
      <c r="T733" s="32"/>
      <c r="U733" s="32"/>
      <c r="V733" s="32"/>
      <c r="W733" s="32"/>
      <c r="X733" s="32"/>
      <c r="Y733" s="32"/>
      <c r="Z733" s="32"/>
      <c r="AA733" s="32"/>
      <c r="AB733" s="32"/>
      <c r="AC733" s="32"/>
      <c r="AD733" s="32"/>
      <c r="AE733" s="32"/>
      <c r="AF733" s="32"/>
      <c r="AG733" s="32"/>
      <c r="AH733" s="32"/>
      <c r="AI733" s="32"/>
      <c r="AJ733" s="32"/>
    </row>
    <row r="734">
      <c r="A734" s="32"/>
      <c r="B734" s="32"/>
      <c r="C734" s="32"/>
      <c r="D734" s="32"/>
      <c r="E734" s="32"/>
      <c r="F734" s="32"/>
      <c r="G734" s="32"/>
      <c r="H734" s="32"/>
      <c r="I734" s="32"/>
      <c r="J734" s="32"/>
      <c r="K734" s="32"/>
      <c r="L734" s="32"/>
      <c r="M734" s="32"/>
      <c r="N734" s="32"/>
      <c r="O734" s="32"/>
      <c r="P734" s="32"/>
      <c r="Q734" s="32"/>
      <c r="R734" s="32"/>
      <c r="S734" s="32"/>
      <c r="T734" s="32"/>
      <c r="U734" s="32"/>
      <c r="V734" s="32"/>
      <c r="W734" s="32"/>
      <c r="X734" s="32"/>
      <c r="Y734" s="32"/>
      <c r="Z734" s="32"/>
      <c r="AA734" s="32"/>
      <c r="AB734" s="32"/>
      <c r="AC734" s="32"/>
      <c r="AD734" s="32"/>
      <c r="AE734" s="32"/>
      <c r="AF734" s="32"/>
      <c r="AG734" s="32"/>
      <c r="AH734" s="32"/>
      <c r="AI734" s="32"/>
      <c r="AJ734" s="32"/>
    </row>
    <row r="735">
      <c r="A735" s="32"/>
      <c r="B735" s="32"/>
      <c r="C735" s="32"/>
      <c r="D735" s="32"/>
      <c r="E735" s="32"/>
      <c r="F735" s="32"/>
      <c r="G735" s="32"/>
      <c r="H735" s="32"/>
      <c r="I735" s="32"/>
      <c r="J735" s="32"/>
      <c r="K735" s="32"/>
      <c r="L735" s="32"/>
      <c r="M735" s="32"/>
      <c r="N735" s="32"/>
      <c r="O735" s="32"/>
      <c r="P735" s="32"/>
      <c r="Q735" s="32"/>
      <c r="R735" s="32"/>
      <c r="S735" s="32"/>
      <c r="T735" s="32"/>
      <c r="U735" s="32"/>
      <c r="V735" s="32"/>
      <c r="W735" s="32"/>
      <c r="X735" s="32"/>
      <c r="Y735" s="32"/>
      <c r="Z735" s="32"/>
      <c r="AA735" s="32"/>
      <c r="AB735" s="32"/>
      <c r="AC735" s="32"/>
      <c r="AD735" s="32"/>
      <c r="AE735" s="32"/>
      <c r="AF735" s="32"/>
      <c r="AG735" s="32"/>
      <c r="AH735" s="32"/>
      <c r="AI735" s="32"/>
      <c r="AJ735" s="32"/>
    </row>
    <row r="736">
      <c r="A736" s="32"/>
      <c r="B736" s="32"/>
      <c r="C736" s="32"/>
      <c r="D736" s="32"/>
      <c r="E736" s="32"/>
      <c r="F736" s="32"/>
      <c r="G736" s="32"/>
      <c r="H736" s="32"/>
      <c r="I736" s="32"/>
      <c r="J736" s="32"/>
      <c r="K736" s="32"/>
      <c r="L736" s="32"/>
      <c r="M736" s="32"/>
      <c r="N736" s="32"/>
      <c r="O736" s="32"/>
      <c r="P736" s="32"/>
      <c r="Q736" s="32"/>
      <c r="R736" s="32"/>
      <c r="S736" s="32"/>
      <c r="T736" s="32"/>
      <c r="U736" s="32"/>
      <c r="V736" s="32"/>
      <c r="W736" s="32"/>
      <c r="X736" s="32"/>
      <c r="Y736" s="32"/>
      <c r="Z736" s="32"/>
      <c r="AA736" s="32"/>
      <c r="AB736" s="32"/>
      <c r="AC736" s="32"/>
      <c r="AD736" s="32"/>
      <c r="AE736" s="32"/>
      <c r="AF736" s="32"/>
      <c r="AG736" s="32"/>
      <c r="AH736" s="32"/>
      <c r="AI736" s="32"/>
      <c r="AJ736" s="32"/>
    </row>
    <row r="737">
      <c r="A737" s="32"/>
      <c r="B737" s="32"/>
      <c r="C737" s="32"/>
      <c r="D737" s="32"/>
      <c r="E737" s="32"/>
      <c r="F737" s="32"/>
      <c r="G737" s="32"/>
      <c r="H737" s="32"/>
      <c r="I737" s="32"/>
      <c r="J737" s="32"/>
      <c r="K737" s="32"/>
      <c r="L737" s="32"/>
      <c r="M737" s="32"/>
      <c r="N737" s="32"/>
      <c r="O737" s="32"/>
      <c r="P737" s="32"/>
      <c r="Q737" s="32"/>
      <c r="R737" s="32"/>
      <c r="S737" s="32"/>
      <c r="T737" s="32"/>
      <c r="U737" s="32"/>
      <c r="V737" s="32"/>
      <c r="W737" s="32"/>
      <c r="X737" s="32"/>
      <c r="Y737" s="32"/>
      <c r="Z737" s="32"/>
      <c r="AA737" s="32"/>
      <c r="AB737" s="32"/>
      <c r="AC737" s="32"/>
      <c r="AD737" s="32"/>
      <c r="AE737" s="32"/>
      <c r="AF737" s="32"/>
      <c r="AG737" s="32"/>
      <c r="AH737" s="32"/>
      <c r="AI737" s="32"/>
      <c r="AJ737" s="32"/>
    </row>
    <row r="738">
      <c r="A738" s="32"/>
      <c r="B738" s="32"/>
      <c r="C738" s="32"/>
      <c r="D738" s="32"/>
      <c r="E738" s="32"/>
      <c r="F738" s="32"/>
      <c r="G738" s="32"/>
      <c r="H738" s="32"/>
      <c r="I738" s="32"/>
      <c r="J738" s="32"/>
      <c r="K738" s="32"/>
      <c r="L738" s="32"/>
      <c r="M738" s="32"/>
      <c r="N738" s="32"/>
      <c r="O738" s="32"/>
      <c r="P738" s="32"/>
      <c r="Q738" s="32"/>
      <c r="R738" s="32"/>
      <c r="S738" s="32"/>
      <c r="T738" s="32"/>
      <c r="U738" s="32"/>
      <c r="V738" s="32"/>
      <c r="W738" s="32"/>
      <c r="X738" s="32"/>
      <c r="Y738" s="32"/>
      <c r="Z738" s="32"/>
      <c r="AA738" s="32"/>
      <c r="AB738" s="32"/>
      <c r="AC738" s="32"/>
      <c r="AD738" s="32"/>
      <c r="AE738" s="32"/>
      <c r="AF738" s="32"/>
      <c r="AG738" s="32"/>
      <c r="AH738" s="32"/>
      <c r="AI738" s="32"/>
      <c r="AJ738" s="32"/>
    </row>
    <row r="739">
      <c r="A739" s="32"/>
      <c r="B739" s="32"/>
      <c r="C739" s="32"/>
      <c r="D739" s="32"/>
      <c r="E739" s="32"/>
      <c r="F739" s="32"/>
      <c r="G739" s="32"/>
      <c r="H739" s="32"/>
      <c r="I739" s="32"/>
      <c r="J739" s="32"/>
      <c r="K739" s="32"/>
      <c r="L739" s="32"/>
      <c r="M739" s="32"/>
      <c r="N739" s="32"/>
      <c r="O739" s="32"/>
      <c r="P739" s="32"/>
      <c r="Q739" s="32"/>
      <c r="R739" s="32"/>
      <c r="S739" s="32"/>
      <c r="T739" s="32"/>
      <c r="U739" s="32"/>
      <c r="V739" s="32"/>
      <c r="W739" s="32"/>
      <c r="X739" s="32"/>
      <c r="Y739" s="32"/>
      <c r="Z739" s="32"/>
      <c r="AA739" s="32"/>
      <c r="AB739" s="32"/>
      <c r="AC739" s="32"/>
      <c r="AD739" s="32"/>
      <c r="AE739" s="32"/>
      <c r="AF739" s="32"/>
      <c r="AG739" s="32"/>
      <c r="AH739" s="32"/>
      <c r="AI739" s="32"/>
      <c r="AJ739" s="32"/>
    </row>
    <row r="740">
      <c r="A740" s="32"/>
      <c r="B740" s="32"/>
      <c r="C740" s="32"/>
      <c r="D740" s="32"/>
      <c r="E740" s="32"/>
      <c r="F740" s="32"/>
      <c r="G740" s="32"/>
      <c r="H740" s="32"/>
      <c r="I740" s="32"/>
      <c r="J740" s="32"/>
      <c r="K740" s="32"/>
      <c r="L740" s="32"/>
      <c r="M740" s="32"/>
      <c r="N740" s="32"/>
      <c r="O740" s="32"/>
      <c r="P740" s="32"/>
      <c r="Q740" s="32"/>
      <c r="R740" s="32"/>
      <c r="S740" s="32"/>
      <c r="T740" s="32"/>
      <c r="U740" s="32"/>
      <c r="V740" s="32"/>
      <c r="W740" s="32"/>
      <c r="X740" s="32"/>
      <c r="Y740" s="32"/>
      <c r="Z740" s="32"/>
      <c r="AA740" s="32"/>
      <c r="AB740" s="32"/>
      <c r="AC740" s="32"/>
      <c r="AD740" s="32"/>
      <c r="AE740" s="32"/>
      <c r="AF740" s="32"/>
      <c r="AG740" s="32"/>
      <c r="AH740" s="32"/>
      <c r="AI740" s="32"/>
      <c r="AJ740" s="32"/>
    </row>
    <row r="741">
      <c r="A741" s="32"/>
      <c r="B741" s="32"/>
      <c r="C741" s="32"/>
      <c r="D741" s="32"/>
      <c r="E741" s="32"/>
      <c r="F741" s="32"/>
      <c r="G741" s="32"/>
      <c r="H741" s="32"/>
      <c r="I741" s="32"/>
      <c r="J741" s="32"/>
      <c r="K741" s="32"/>
      <c r="L741" s="32"/>
      <c r="M741" s="32"/>
      <c r="N741" s="32"/>
      <c r="O741" s="32"/>
      <c r="P741" s="32"/>
      <c r="Q741" s="32"/>
      <c r="R741" s="32"/>
      <c r="S741" s="32"/>
      <c r="T741" s="32"/>
      <c r="U741" s="32"/>
      <c r="V741" s="32"/>
      <c r="W741" s="32"/>
      <c r="X741" s="32"/>
      <c r="Y741" s="32"/>
      <c r="Z741" s="32"/>
      <c r="AA741" s="32"/>
      <c r="AB741" s="32"/>
      <c r="AC741" s="32"/>
      <c r="AD741" s="32"/>
      <c r="AE741" s="32"/>
      <c r="AF741" s="32"/>
      <c r="AG741" s="32"/>
      <c r="AH741" s="32"/>
      <c r="AI741" s="32"/>
      <c r="AJ741" s="32"/>
    </row>
    <row r="742">
      <c r="A742" s="32"/>
      <c r="B742" s="32"/>
      <c r="C742" s="32"/>
      <c r="D742" s="32"/>
      <c r="E742" s="32"/>
      <c r="F742" s="32"/>
      <c r="G742" s="32"/>
      <c r="H742" s="32"/>
      <c r="I742" s="32"/>
      <c r="J742" s="32"/>
      <c r="K742" s="32"/>
      <c r="L742" s="32"/>
      <c r="M742" s="32"/>
      <c r="N742" s="32"/>
      <c r="O742" s="32"/>
      <c r="P742" s="32"/>
      <c r="Q742" s="32"/>
      <c r="R742" s="32"/>
      <c r="S742" s="32"/>
      <c r="T742" s="32"/>
      <c r="U742" s="32"/>
      <c r="V742" s="32"/>
      <c r="W742" s="32"/>
      <c r="X742" s="32"/>
      <c r="Y742" s="32"/>
      <c r="Z742" s="32"/>
      <c r="AA742" s="32"/>
      <c r="AB742" s="32"/>
      <c r="AC742" s="32"/>
      <c r="AD742" s="32"/>
      <c r="AE742" s="32"/>
      <c r="AF742" s="32"/>
      <c r="AG742" s="32"/>
      <c r="AH742" s="32"/>
      <c r="AI742" s="32"/>
      <c r="AJ742" s="32"/>
    </row>
    <row r="743">
      <c r="A743" s="32"/>
      <c r="B743" s="32"/>
      <c r="C743" s="32"/>
      <c r="D743" s="32"/>
      <c r="E743" s="32"/>
      <c r="F743" s="32"/>
      <c r="G743" s="32"/>
      <c r="H743" s="32"/>
      <c r="I743" s="32"/>
      <c r="J743" s="32"/>
      <c r="K743" s="32"/>
      <c r="L743" s="32"/>
      <c r="M743" s="32"/>
      <c r="N743" s="32"/>
      <c r="O743" s="32"/>
      <c r="P743" s="32"/>
      <c r="Q743" s="32"/>
      <c r="R743" s="32"/>
      <c r="S743" s="32"/>
      <c r="T743" s="32"/>
      <c r="U743" s="32"/>
      <c r="V743" s="32"/>
      <c r="W743" s="32"/>
      <c r="X743" s="32"/>
      <c r="Y743" s="32"/>
      <c r="Z743" s="32"/>
      <c r="AA743" s="32"/>
      <c r="AB743" s="32"/>
      <c r="AC743" s="32"/>
      <c r="AD743" s="32"/>
      <c r="AE743" s="32"/>
      <c r="AF743" s="32"/>
      <c r="AG743" s="32"/>
      <c r="AH743" s="32"/>
      <c r="AI743" s="32"/>
      <c r="AJ743" s="32"/>
    </row>
    <row r="744">
      <c r="A744" s="32"/>
      <c r="B744" s="32"/>
      <c r="C744" s="32"/>
      <c r="D744" s="32"/>
      <c r="E744" s="32"/>
      <c r="F744" s="32"/>
      <c r="G744" s="32"/>
      <c r="H744" s="32"/>
      <c r="I744" s="32"/>
      <c r="J744" s="32"/>
      <c r="K744" s="32"/>
      <c r="L744" s="32"/>
      <c r="M744" s="32"/>
      <c r="N744" s="32"/>
      <c r="O744" s="32"/>
      <c r="P744" s="32"/>
      <c r="Q744" s="32"/>
      <c r="R744" s="32"/>
      <c r="S744" s="32"/>
      <c r="T744" s="32"/>
      <c r="U744" s="32"/>
      <c r="V744" s="32"/>
      <c r="W744" s="32"/>
      <c r="X744" s="32"/>
      <c r="Y744" s="32"/>
      <c r="Z744" s="32"/>
      <c r="AA744" s="32"/>
      <c r="AB744" s="32"/>
      <c r="AC744" s="32"/>
      <c r="AD744" s="32"/>
      <c r="AE744" s="32"/>
      <c r="AF744" s="32"/>
      <c r="AG744" s="32"/>
      <c r="AH744" s="32"/>
      <c r="AI744" s="32"/>
      <c r="AJ744" s="32"/>
    </row>
    <row r="745">
      <c r="A745" s="32"/>
      <c r="B745" s="32"/>
      <c r="C745" s="32"/>
      <c r="D745" s="32"/>
      <c r="E745" s="32"/>
      <c r="F745" s="32"/>
      <c r="G745" s="32"/>
      <c r="H745" s="32"/>
      <c r="I745" s="32"/>
      <c r="J745" s="32"/>
      <c r="K745" s="32"/>
      <c r="L745" s="32"/>
      <c r="M745" s="32"/>
      <c r="N745" s="32"/>
      <c r="O745" s="32"/>
      <c r="P745" s="32"/>
      <c r="Q745" s="32"/>
      <c r="R745" s="32"/>
      <c r="S745" s="32"/>
      <c r="T745" s="32"/>
      <c r="U745" s="32"/>
      <c r="V745" s="32"/>
      <c r="W745" s="32"/>
      <c r="X745" s="32"/>
      <c r="Y745" s="32"/>
      <c r="Z745" s="32"/>
      <c r="AA745" s="32"/>
      <c r="AB745" s="32"/>
      <c r="AC745" s="32"/>
      <c r="AD745" s="32"/>
      <c r="AE745" s="32"/>
      <c r="AF745" s="32"/>
      <c r="AG745" s="32"/>
      <c r="AH745" s="32"/>
      <c r="AI745" s="32"/>
      <c r="AJ745" s="32"/>
    </row>
    <row r="746">
      <c r="A746" s="32"/>
      <c r="B746" s="32"/>
      <c r="C746" s="32"/>
      <c r="D746" s="32"/>
      <c r="E746" s="32"/>
      <c r="F746" s="32"/>
      <c r="G746" s="32"/>
      <c r="H746" s="32"/>
      <c r="I746" s="32"/>
      <c r="J746" s="32"/>
      <c r="K746" s="32"/>
      <c r="L746" s="32"/>
      <c r="M746" s="32"/>
      <c r="N746" s="32"/>
      <c r="O746" s="32"/>
      <c r="P746" s="32"/>
      <c r="Q746" s="32"/>
      <c r="R746" s="32"/>
      <c r="S746" s="32"/>
      <c r="T746" s="32"/>
      <c r="U746" s="32"/>
      <c r="V746" s="32"/>
      <c r="W746" s="32"/>
      <c r="X746" s="32"/>
      <c r="Y746" s="32"/>
      <c r="Z746" s="32"/>
      <c r="AA746" s="32"/>
      <c r="AB746" s="32"/>
      <c r="AC746" s="32"/>
      <c r="AD746" s="32"/>
      <c r="AE746" s="32"/>
      <c r="AF746" s="32"/>
      <c r="AG746" s="32"/>
      <c r="AH746" s="32"/>
      <c r="AI746" s="32"/>
      <c r="AJ746" s="32"/>
    </row>
    <row r="747">
      <c r="A747" s="32"/>
      <c r="B747" s="32"/>
      <c r="C747" s="32"/>
      <c r="D747" s="32"/>
      <c r="E747" s="32"/>
      <c r="F747" s="32"/>
      <c r="G747" s="32"/>
      <c r="H747" s="32"/>
      <c r="I747" s="32"/>
      <c r="J747" s="32"/>
      <c r="K747" s="32"/>
      <c r="L747" s="32"/>
      <c r="M747" s="32"/>
      <c r="N747" s="32"/>
      <c r="O747" s="32"/>
      <c r="P747" s="32"/>
      <c r="Q747" s="32"/>
      <c r="R747" s="32"/>
      <c r="S747" s="32"/>
      <c r="T747" s="32"/>
      <c r="U747" s="32"/>
      <c r="V747" s="32"/>
      <c r="W747" s="32"/>
      <c r="X747" s="32"/>
      <c r="Y747" s="32"/>
      <c r="Z747" s="32"/>
      <c r="AA747" s="32"/>
      <c r="AB747" s="32"/>
      <c r="AC747" s="32"/>
      <c r="AD747" s="32"/>
      <c r="AE747" s="32"/>
      <c r="AF747" s="32"/>
      <c r="AG747" s="32"/>
      <c r="AH747" s="32"/>
      <c r="AI747" s="32"/>
      <c r="AJ747" s="32"/>
    </row>
    <row r="748">
      <c r="A748" s="32"/>
      <c r="B748" s="32"/>
      <c r="C748" s="32"/>
      <c r="D748" s="32"/>
      <c r="E748" s="32"/>
      <c r="F748" s="32"/>
      <c r="G748" s="32"/>
      <c r="H748" s="32"/>
      <c r="I748" s="32"/>
      <c r="J748" s="32"/>
      <c r="K748" s="32"/>
      <c r="L748" s="32"/>
      <c r="M748" s="32"/>
      <c r="N748" s="32"/>
      <c r="O748" s="32"/>
      <c r="P748" s="32"/>
      <c r="Q748" s="32"/>
      <c r="R748" s="32"/>
      <c r="S748" s="32"/>
      <c r="T748" s="32"/>
      <c r="U748" s="32"/>
      <c r="V748" s="32"/>
      <c r="W748" s="32"/>
      <c r="X748" s="32"/>
      <c r="Y748" s="32"/>
      <c r="Z748" s="32"/>
      <c r="AA748" s="32"/>
      <c r="AB748" s="32"/>
      <c r="AC748" s="32"/>
      <c r="AD748" s="32"/>
      <c r="AE748" s="32"/>
      <c r="AF748" s="32"/>
      <c r="AG748" s="32"/>
      <c r="AH748" s="32"/>
      <c r="AI748" s="32"/>
      <c r="AJ748" s="32"/>
    </row>
    <row r="749">
      <c r="A749" s="32"/>
      <c r="B749" s="32"/>
      <c r="C749" s="32"/>
      <c r="D749" s="32"/>
      <c r="E749" s="32"/>
      <c r="F749" s="32"/>
      <c r="G749" s="32"/>
      <c r="H749" s="32"/>
      <c r="I749" s="32"/>
      <c r="J749" s="32"/>
      <c r="K749" s="32"/>
      <c r="L749" s="32"/>
      <c r="M749" s="32"/>
      <c r="N749" s="32"/>
      <c r="O749" s="32"/>
      <c r="P749" s="32"/>
      <c r="Q749" s="32"/>
      <c r="R749" s="32"/>
      <c r="S749" s="32"/>
      <c r="T749" s="32"/>
      <c r="U749" s="32"/>
      <c r="V749" s="32"/>
      <c r="W749" s="32"/>
      <c r="X749" s="32"/>
      <c r="Y749" s="32"/>
      <c r="Z749" s="32"/>
      <c r="AA749" s="32"/>
      <c r="AB749" s="32"/>
      <c r="AC749" s="32"/>
      <c r="AD749" s="32"/>
      <c r="AE749" s="32"/>
      <c r="AF749" s="32"/>
      <c r="AG749" s="32"/>
      <c r="AH749" s="32"/>
      <c r="AI749" s="32"/>
      <c r="AJ749" s="32"/>
    </row>
    <row r="750">
      <c r="A750" s="32"/>
      <c r="B750" s="32"/>
      <c r="C750" s="32"/>
      <c r="D750" s="32"/>
      <c r="E750" s="32"/>
      <c r="F750" s="32"/>
      <c r="G750" s="32"/>
      <c r="H750" s="32"/>
      <c r="I750" s="32"/>
      <c r="J750" s="32"/>
      <c r="K750" s="32"/>
      <c r="L750" s="32"/>
      <c r="M750" s="32"/>
      <c r="N750" s="32"/>
      <c r="O750" s="32"/>
      <c r="P750" s="32"/>
      <c r="Q750" s="32"/>
      <c r="R750" s="32"/>
      <c r="S750" s="32"/>
      <c r="T750" s="32"/>
      <c r="U750" s="32"/>
      <c r="V750" s="32"/>
      <c r="W750" s="32"/>
      <c r="X750" s="32"/>
      <c r="Y750" s="32"/>
      <c r="Z750" s="32"/>
      <c r="AA750" s="32"/>
      <c r="AB750" s="32"/>
      <c r="AC750" s="32"/>
      <c r="AD750" s="32"/>
      <c r="AE750" s="32"/>
      <c r="AF750" s="32"/>
      <c r="AG750" s="32"/>
      <c r="AH750" s="32"/>
      <c r="AI750" s="32"/>
      <c r="AJ750" s="32"/>
    </row>
    <row r="751">
      <c r="A751" s="32"/>
      <c r="B751" s="32"/>
      <c r="C751" s="32"/>
      <c r="D751" s="32"/>
      <c r="E751" s="32"/>
      <c r="F751" s="32"/>
      <c r="G751" s="32"/>
      <c r="H751" s="32"/>
      <c r="I751" s="32"/>
      <c r="J751" s="32"/>
      <c r="K751" s="32"/>
      <c r="L751" s="32"/>
      <c r="M751" s="32"/>
      <c r="N751" s="32"/>
      <c r="O751" s="32"/>
      <c r="P751" s="32"/>
      <c r="Q751" s="32"/>
      <c r="R751" s="32"/>
      <c r="S751" s="32"/>
      <c r="T751" s="32"/>
      <c r="U751" s="32"/>
      <c r="V751" s="32"/>
      <c r="W751" s="32"/>
      <c r="X751" s="32"/>
      <c r="Y751" s="32"/>
      <c r="Z751" s="32"/>
      <c r="AA751" s="32"/>
      <c r="AB751" s="32"/>
      <c r="AC751" s="32"/>
      <c r="AD751" s="32"/>
      <c r="AE751" s="32"/>
      <c r="AF751" s="32"/>
      <c r="AG751" s="32"/>
      <c r="AH751" s="32"/>
      <c r="AI751" s="32"/>
      <c r="AJ751" s="32"/>
    </row>
    <row r="752">
      <c r="A752" s="32"/>
      <c r="B752" s="32"/>
      <c r="C752" s="32"/>
      <c r="D752" s="32"/>
      <c r="E752" s="32"/>
      <c r="F752" s="32"/>
      <c r="G752" s="32"/>
      <c r="H752" s="32"/>
      <c r="I752" s="32"/>
      <c r="J752" s="32"/>
      <c r="K752" s="32"/>
      <c r="L752" s="32"/>
      <c r="M752" s="32"/>
      <c r="N752" s="32"/>
      <c r="O752" s="32"/>
      <c r="P752" s="32"/>
      <c r="Q752" s="32"/>
      <c r="R752" s="32"/>
      <c r="S752" s="32"/>
      <c r="T752" s="32"/>
      <c r="U752" s="32"/>
      <c r="V752" s="32"/>
      <c r="W752" s="32"/>
      <c r="X752" s="32"/>
      <c r="Y752" s="32"/>
      <c r="Z752" s="32"/>
      <c r="AA752" s="32"/>
      <c r="AB752" s="32"/>
      <c r="AC752" s="32"/>
      <c r="AD752" s="32"/>
      <c r="AE752" s="32"/>
      <c r="AF752" s="32"/>
      <c r="AG752" s="32"/>
      <c r="AH752" s="32"/>
      <c r="AI752" s="32"/>
      <c r="AJ752" s="32"/>
    </row>
    <row r="753">
      <c r="A753" s="32"/>
      <c r="B753" s="32"/>
      <c r="C753" s="32"/>
      <c r="D753" s="32"/>
      <c r="E753" s="32"/>
      <c r="F753" s="32"/>
      <c r="G753" s="32"/>
      <c r="H753" s="32"/>
      <c r="I753" s="32"/>
      <c r="J753" s="32"/>
      <c r="K753" s="32"/>
      <c r="L753" s="32"/>
      <c r="M753" s="32"/>
      <c r="N753" s="32"/>
      <c r="O753" s="32"/>
      <c r="P753" s="32"/>
      <c r="Q753" s="32"/>
      <c r="R753" s="32"/>
      <c r="S753" s="32"/>
      <c r="T753" s="32"/>
      <c r="U753" s="32"/>
      <c r="V753" s="32"/>
      <c r="W753" s="32"/>
      <c r="X753" s="32"/>
      <c r="Y753" s="32"/>
      <c r="Z753" s="32"/>
      <c r="AA753" s="32"/>
      <c r="AB753" s="32"/>
      <c r="AC753" s="32"/>
      <c r="AD753" s="32"/>
      <c r="AE753" s="32"/>
      <c r="AF753" s="32"/>
      <c r="AG753" s="32"/>
      <c r="AH753" s="32"/>
      <c r="AI753" s="32"/>
      <c r="AJ753" s="32"/>
    </row>
    <row r="754">
      <c r="A754" s="32"/>
      <c r="B754" s="32"/>
      <c r="C754" s="32"/>
      <c r="D754" s="32"/>
      <c r="E754" s="32"/>
      <c r="F754" s="32"/>
      <c r="G754" s="32"/>
      <c r="H754" s="32"/>
      <c r="I754" s="32"/>
      <c r="J754" s="32"/>
      <c r="K754" s="32"/>
      <c r="L754" s="32"/>
      <c r="M754" s="32"/>
      <c r="N754" s="32"/>
      <c r="O754" s="32"/>
      <c r="P754" s="32"/>
      <c r="Q754" s="32"/>
      <c r="R754" s="32"/>
      <c r="S754" s="32"/>
      <c r="T754" s="32"/>
      <c r="U754" s="32"/>
      <c r="V754" s="32"/>
      <c r="W754" s="32"/>
      <c r="X754" s="32"/>
      <c r="Y754" s="32"/>
      <c r="Z754" s="32"/>
      <c r="AA754" s="32"/>
      <c r="AB754" s="32"/>
      <c r="AC754" s="32"/>
      <c r="AD754" s="32"/>
      <c r="AE754" s="32"/>
      <c r="AF754" s="32"/>
      <c r="AG754" s="32"/>
      <c r="AH754" s="32"/>
      <c r="AI754" s="32"/>
      <c r="AJ754" s="32"/>
    </row>
    <row r="755">
      <c r="A755" s="32"/>
      <c r="B755" s="32"/>
      <c r="C755" s="32"/>
      <c r="D755" s="32"/>
      <c r="E755" s="32"/>
      <c r="F755" s="32"/>
      <c r="G755" s="32"/>
      <c r="H755" s="32"/>
      <c r="I755" s="32"/>
      <c r="J755" s="32"/>
      <c r="K755" s="32"/>
      <c r="L755" s="32"/>
      <c r="M755" s="32"/>
      <c r="N755" s="32"/>
      <c r="O755" s="32"/>
      <c r="P755" s="32"/>
      <c r="Q755" s="32"/>
      <c r="R755" s="32"/>
      <c r="S755" s="32"/>
      <c r="T755" s="32"/>
      <c r="U755" s="32"/>
      <c r="V755" s="32"/>
      <c r="W755" s="32"/>
      <c r="X755" s="32"/>
      <c r="Y755" s="32"/>
      <c r="Z755" s="32"/>
      <c r="AA755" s="32"/>
      <c r="AB755" s="32"/>
      <c r="AC755" s="32"/>
      <c r="AD755" s="32"/>
      <c r="AE755" s="32"/>
      <c r="AF755" s="32"/>
      <c r="AG755" s="32"/>
      <c r="AH755" s="32"/>
      <c r="AI755" s="32"/>
      <c r="AJ755" s="32"/>
    </row>
    <row r="756">
      <c r="A756" s="32"/>
      <c r="B756" s="32"/>
      <c r="C756" s="32"/>
      <c r="D756" s="32"/>
      <c r="E756" s="32"/>
      <c r="F756" s="32"/>
      <c r="G756" s="32"/>
      <c r="H756" s="32"/>
      <c r="I756" s="32"/>
      <c r="J756" s="32"/>
      <c r="K756" s="32"/>
      <c r="L756" s="32"/>
      <c r="M756" s="32"/>
      <c r="N756" s="32"/>
      <c r="O756" s="32"/>
      <c r="P756" s="32"/>
      <c r="Q756" s="32"/>
      <c r="R756" s="32"/>
      <c r="S756" s="32"/>
      <c r="T756" s="32"/>
      <c r="U756" s="32"/>
      <c r="V756" s="32"/>
      <c r="W756" s="32"/>
      <c r="X756" s="32"/>
      <c r="Y756" s="32"/>
      <c r="Z756" s="32"/>
      <c r="AA756" s="32"/>
      <c r="AB756" s="32"/>
      <c r="AC756" s="32"/>
      <c r="AD756" s="32"/>
      <c r="AE756" s="32"/>
      <c r="AF756" s="32"/>
      <c r="AG756" s="32"/>
      <c r="AH756" s="32"/>
      <c r="AI756" s="32"/>
      <c r="AJ756" s="32"/>
    </row>
    <row r="757">
      <c r="A757" s="32"/>
      <c r="B757" s="32"/>
      <c r="C757" s="32"/>
      <c r="D757" s="32"/>
      <c r="E757" s="32"/>
      <c r="F757" s="32"/>
      <c r="G757" s="32"/>
      <c r="H757" s="32"/>
      <c r="I757" s="32"/>
      <c r="J757" s="32"/>
      <c r="K757" s="32"/>
      <c r="L757" s="32"/>
      <c r="M757" s="32"/>
      <c r="N757" s="32"/>
      <c r="O757" s="32"/>
      <c r="P757" s="32"/>
      <c r="Q757" s="32"/>
      <c r="R757" s="32"/>
      <c r="S757" s="32"/>
      <c r="T757" s="32"/>
      <c r="U757" s="32"/>
      <c r="V757" s="32"/>
      <c r="W757" s="32"/>
      <c r="X757" s="32"/>
      <c r="Y757" s="32"/>
      <c r="Z757" s="32"/>
      <c r="AA757" s="32"/>
      <c r="AB757" s="32"/>
      <c r="AC757" s="32"/>
      <c r="AD757" s="32"/>
      <c r="AE757" s="32"/>
      <c r="AF757" s="32"/>
      <c r="AG757" s="32"/>
      <c r="AH757" s="32"/>
      <c r="AI757" s="32"/>
      <c r="AJ757" s="32"/>
    </row>
    <row r="758">
      <c r="A758" s="32"/>
      <c r="B758" s="32"/>
      <c r="C758" s="32"/>
      <c r="D758" s="32"/>
      <c r="E758" s="32"/>
      <c r="F758" s="32"/>
      <c r="G758" s="32"/>
      <c r="H758" s="32"/>
      <c r="I758" s="32"/>
      <c r="J758" s="32"/>
      <c r="K758" s="32"/>
      <c r="L758" s="32"/>
      <c r="M758" s="32"/>
      <c r="N758" s="32"/>
      <c r="O758" s="32"/>
      <c r="P758" s="32"/>
      <c r="Q758" s="32"/>
      <c r="R758" s="32"/>
      <c r="S758" s="32"/>
      <c r="T758" s="32"/>
      <c r="U758" s="32"/>
      <c r="V758" s="32"/>
      <c r="W758" s="32"/>
      <c r="X758" s="32"/>
      <c r="Y758" s="32"/>
      <c r="Z758" s="32"/>
      <c r="AA758" s="32"/>
      <c r="AB758" s="32"/>
      <c r="AC758" s="32"/>
      <c r="AD758" s="32"/>
      <c r="AE758" s="32"/>
      <c r="AF758" s="32"/>
      <c r="AG758" s="32"/>
      <c r="AH758" s="32"/>
      <c r="AI758" s="32"/>
      <c r="AJ758" s="32"/>
    </row>
    <row r="759">
      <c r="A759" s="32"/>
      <c r="B759" s="32"/>
      <c r="C759" s="32"/>
      <c r="D759" s="32"/>
      <c r="E759" s="32"/>
      <c r="F759" s="32"/>
      <c r="G759" s="32"/>
      <c r="H759" s="32"/>
      <c r="I759" s="32"/>
      <c r="J759" s="32"/>
      <c r="K759" s="32"/>
      <c r="L759" s="32"/>
      <c r="M759" s="32"/>
      <c r="N759" s="32"/>
      <c r="O759" s="32"/>
      <c r="P759" s="32"/>
      <c r="Q759" s="32"/>
      <c r="R759" s="32"/>
      <c r="S759" s="32"/>
      <c r="T759" s="32"/>
      <c r="U759" s="32"/>
      <c r="V759" s="32"/>
      <c r="W759" s="32"/>
      <c r="X759" s="32"/>
      <c r="Y759" s="32"/>
      <c r="Z759" s="32"/>
      <c r="AA759" s="32"/>
      <c r="AB759" s="32"/>
      <c r="AC759" s="32"/>
      <c r="AD759" s="32"/>
      <c r="AE759" s="32"/>
      <c r="AF759" s="32"/>
      <c r="AG759" s="32"/>
      <c r="AH759" s="32"/>
      <c r="AI759" s="32"/>
      <c r="AJ759" s="32"/>
    </row>
    <row r="760">
      <c r="A760" s="32"/>
      <c r="B760" s="32"/>
      <c r="C760" s="32"/>
      <c r="D760" s="32"/>
      <c r="E760" s="32"/>
      <c r="F760" s="32"/>
      <c r="G760" s="32"/>
      <c r="H760" s="32"/>
      <c r="I760" s="32"/>
      <c r="J760" s="32"/>
      <c r="K760" s="32"/>
      <c r="L760" s="32"/>
      <c r="M760" s="32"/>
      <c r="N760" s="32"/>
      <c r="O760" s="32"/>
      <c r="P760" s="32"/>
      <c r="Q760" s="32"/>
      <c r="R760" s="32"/>
      <c r="S760" s="32"/>
      <c r="T760" s="32"/>
      <c r="U760" s="32"/>
      <c r="V760" s="32"/>
      <c r="W760" s="32"/>
      <c r="X760" s="32"/>
      <c r="Y760" s="32"/>
      <c r="Z760" s="32"/>
      <c r="AA760" s="32"/>
      <c r="AB760" s="32"/>
      <c r="AC760" s="32"/>
      <c r="AD760" s="32"/>
      <c r="AE760" s="32"/>
      <c r="AF760" s="32"/>
      <c r="AG760" s="32"/>
      <c r="AH760" s="32"/>
      <c r="AI760" s="32"/>
      <c r="AJ760" s="32"/>
    </row>
    <row r="761">
      <c r="A761" s="32"/>
      <c r="B761" s="32"/>
      <c r="C761" s="32"/>
      <c r="D761" s="32"/>
      <c r="E761" s="32"/>
      <c r="F761" s="32"/>
      <c r="G761" s="32"/>
      <c r="H761" s="32"/>
      <c r="I761" s="32"/>
      <c r="J761" s="32"/>
      <c r="K761" s="32"/>
      <c r="L761" s="32"/>
      <c r="M761" s="32"/>
      <c r="N761" s="32"/>
      <c r="O761" s="32"/>
      <c r="P761" s="32"/>
      <c r="Q761" s="32"/>
      <c r="R761" s="32"/>
      <c r="S761" s="32"/>
      <c r="T761" s="32"/>
      <c r="U761" s="32"/>
      <c r="V761" s="32"/>
      <c r="W761" s="32"/>
      <c r="X761" s="32"/>
      <c r="Y761" s="32"/>
      <c r="Z761" s="32"/>
      <c r="AA761" s="32"/>
      <c r="AB761" s="32"/>
      <c r="AC761" s="32"/>
      <c r="AD761" s="32"/>
      <c r="AE761" s="32"/>
      <c r="AF761" s="32"/>
      <c r="AG761" s="32"/>
      <c r="AH761" s="32"/>
      <c r="AI761" s="32"/>
      <c r="AJ761" s="32"/>
    </row>
    <row r="762">
      <c r="A762" s="32"/>
      <c r="B762" s="32"/>
      <c r="C762" s="32"/>
      <c r="D762" s="32"/>
      <c r="E762" s="32"/>
      <c r="F762" s="32"/>
      <c r="G762" s="32"/>
      <c r="H762" s="32"/>
      <c r="I762" s="32"/>
      <c r="J762" s="32"/>
      <c r="K762" s="32"/>
      <c r="L762" s="32"/>
      <c r="M762" s="32"/>
      <c r="N762" s="32"/>
      <c r="O762" s="32"/>
      <c r="P762" s="32"/>
      <c r="Q762" s="32"/>
      <c r="R762" s="32"/>
      <c r="S762" s="32"/>
      <c r="T762" s="32"/>
      <c r="U762" s="32"/>
      <c r="V762" s="32"/>
      <c r="W762" s="32"/>
      <c r="X762" s="32"/>
      <c r="Y762" s="32"/>
      <c r="Z762" s="32"/>
      <c r="AA762" s="32"/>
      <c r="AB762" s="32"/>
      <c r="AC762" s="32"/>
      <c r="AD762" s="32"/>
      <c r="AE762" s="32"/>
      <c r="AF762" s="32"/>
      <c r="AG762" s="32"/>
      <c r="AH762" s="32"/>
      <c r="AI762" s="32"/>
      <c r="AJ762" s="32"/>
    </row>
    <row r="763">
      <c r="A763" s="32"/>
      <c r="B763" s="32"/>
      <c r="C763" s="32"/>
      <c r="D763" s="32"/>
      <c r="E763" s="32"/>
      <c r="F763" s="32"/>
      <c r="G763" s="32"/>
      <c r="H763" s="32"/>
      <c r="I763" s="32"/>
      <c r="J763" s="32"/>
      <c r="K763" s="32"/>
      <c r="L763" s="32"/>
      <c r="M763" s="32"/>
      <c r="N763" s="32"/>
      <c r="O763" s="32"/>
      <c r="P763" s="32"/>
      <c r="Q763" s="32"/>
      <c r="R763" s="32"/>
      <c r="S763" s="32"/>
      <c r="T763" s="32"/>
      <c r="U763" s="32"/>
      <c r="V763" s="32"/>
      <c r="W763" s="32"/>
      <c r="X763" s="32"/>
      <c r="Y763" s="32"/>
      <c r="Z763" s="32"/>
      <c r="AA763" s="32"/>
      <c r="AB763" s="32"/>
      <c r="AC763" s="32"/>
      <c r="AD763" s="32"/>
      <c r="AE763" s="32"/>
      <c r="AF763" s="32"/>
      <c r="AG763" s="32"/>
      <c r="AH763" s="32"/>
      <c r="AI763" s="32"/>
      <c r="AJ763" s="32"/>
    </row>
    <row r="764">
      <c r="A764" s="32"/>
      <c r="B764" s="32"/>
      <c r="C764" s="32"/>
      <c r="D764" s="32"/>
      <c r="E764" s="32"/>
      <c r="F764" s="32"/>
      <c r="G764" s="32"/>
      <c r="H764" s="32"/>
      <c r="I764" s="32"/>
      <c r="J764" s="32"/>
      <c r="K764" s="32"/>
      <c r="L764" s="32"/>
      <c r="M764" s="32"/>
      <c r="N764" s="32"/>
      <c r="O764" s="32"/>
      <c r="P764" s="32"/>
      <c r="Q764" s="32"/>
      <c r="R764" s="32"/>
      <c r="S764" s="32"/>
      <c r="T764" s="32"/>
      <c r="U764" s="32"/>
      <c r="V764" s="32"/>
      <c r="W764" s="32"/>
      <c r="X764" s="32"/>
      <c r="Y764" s="32"/>
      <c r="Z764" s="32"/>
      <c r="AA764" s="32"/>
      <c r="AB764" s="32"/>
      <c r="AC764" s="32"/>
      <c r="AD764" s="32"/>
      <c r="AE764" s="32"/>
      <c r="AF764" s="32"/>
      <c r="AG764" s="32"/>
      <c r="AH764" s="32"/>
      <c r="AI764" s="32"/>
      <c r="AJ764" s="32"/>
    </row>
    <row r="765">
      <c r="A765" s="32"/>
      <c r="B765" s="32"/>
      <c r="C765" s="32"/>
      <c r="D765" s="32"/>
      <c r="E765" s="32"/>
      <c r="F765" s="32"/>
      <c r="G765" s="32"/>
      <c r="H765" s="32"/>
      <c r="I765" s="32"/>
      <c r="J765" s="32"/>
      <c r="K765" s="32"/>
      <c r="L765" s="32"/>
      <c r="M765" s="32"/>
      <c r="N765" s="32"/>
      <c r="O765" s="32"/>
      <c r="P765" s="32"/>
      <c r="Q765" s="32"/>
      <c r="R765" s="32"/>
      <c r="S765" s="32"/>
      <c r="T765" s="32"/>
      <c r="U765" s="32"/>
      <c r="V765" s="32"/>
      <c r="W765" s="32"/>
      <c r="X765" s="32"/>
      <c r="Y765" s="32"/>
      <c r="Z765" s="32"/>
      <c r="AA765" s="32"/>
      <c r="AB765" s="32"/>
      <c r="AC765" s="32"/>
      <c r="AD765" s="32"/>
      <c r="AE765" s="32"/>
      <c r="AF765" s="32"/>
      <c r="AG765" s="32"/>
      <c r="AH765" s="32"/>
      <c r="AI765" s="32"/>
      <c r="AJ765" s="32"/>
    </row>
    <row r="766">
      <c r="A766" s="32"/>
      <c r="B766" s="32"/>
      <c r="C766" s="32"/>
      <c r="D766" s="32"/>
      <c r="E766" s="32"/>
      <c r="F766" s="32"/>
      <c r="G766" s="32"/>
      <c r="H766" s="32"/>
      <c r="I766" s="32"/>
      <c r="J766" s="32"/>
      <c r="K766" s="32"/>
      <c r="L766" s="32"/>
      <c r="M766" s="32"/>
      <c r="N766" s="32"/>
      <c r="O766" s="32"/>
      <c r="P766" s="32"/>
      <c r="Q766" s="32"/>
      <c r="R766" s="32"/>
      <c r="S766" s="32"/>
      <c r="T766" s="32"/>
      <c r="U766" s="32"/>
      <c r="V766" s="32"/>
      <c r="W766" s="32"/>
      <c r="X766" s="32"/>
      <c r="Y766" s="32"/>
      <c r="Z766" s="32"/>
      <c r="AA766" s="32"/>
      <c r="AB766" s="32"/>
      <c r="AC766" s="32"/>
      <c r="AD766" s="32"/>
      <c r="AE766" s="32"/>
      <c r="AF766" s="32"/>
      <c r="AG766" s="32"/>
      <c r="AH766" s="32"/>
      <c r="AI766" s="32"/>
      <c r="AJ766" s="32"/>
    </row>
    <row r="767">
      <c r="A767" s="32"/>
      <c r="B767" s="32"/>
      <c r="C767" s="32"/>
      <c r="D767" s="32"/>
      <c r="E767" s="32"/>
      <c r="F767" s="32"/>
      <c r="G767" s="32"/>
      <c r="H767" s="32"/>
      <c r="I767" s="32"/>
      <c r="J767" s="32"/>
      <c r="K767" s="32"/>
      <c r="L767" s="32"/>
      <c r="M767" s="32"/>
      <c r="N767" s="32"/>
      <c r="O767" s="32"/>
      <c r="P767" s="32"/>
      <c r="Q767" s="32"/>
      <c r="R767" s="32"/>
      <c r="S767" s="32"/>
      <c r="T767" s="32"/>
      <c r="U767" s="32"/>
      <c r="V767" s="32"/>
      <c r="W767" s="32"/>
      <c r="X767" s="32"/>
      <c r="Y767" s="32"/>
      <c r="Z767" s="32"/>
      <c r="AA767" s="32"/>
      <c r="AB767" s="32"/>
      <c r="AC767" s="32"/>
      <c r="AD767" s="32"/>
      <c r="AE767" s="32"/>
      <c r="AF767" s="32"/>
      <c r="AG767" s="32"/>
      <c r="AH767" s="32"/>
      <c r="AI767" s="32"/>
      <c r="AJ767" s="32"/>
    </row>
    <row r="768">
      <c r="A768" s="32"/>
      <c r="B768" s="32"/>
      <c r="C768" s="32"/>
      <c r="D768" s="32"/>
      <c r="E768" s="32"/>
      <c r="F768" s="32"/>
      <c r="G768" s="32"/>
      <c r="H768" s="32"/>
      <c r="I768" s="32"/>
      <c r="J768" s="32"/>
      <c r="K768" s="32"/>
      <c r="L768" s="32"/>
      <c r="M768" s="32"/>
      <c r="N768" s="32"/>
      <c r="O768" s="32"/>
      <c r="P768" s="32"/>
      <c r="Q768" s="32"/>
      <c r="R768" s="32"/>
      <c r="S768" s="32"/>
      <c r="T768" s="32"/>
      <c r="U768" s="32"/>
      <c r="V768" s="32"/>
      <c r="W768" s="32"/>
      <c r="X768" s="32"/>
      <c r="Y768" s="32"/>
      <c r="Z768" s="32"/>
      <c r="AA768" s="32"/>
      <c r="AB768" s="32"/>
      <c r="AC768" s="32"/>
      <c r="AD768" s="32"/>
      <c r="AE768" s="32"/>
      <c r="AF768" s="32"/>
      <c r="AG768" s="32"/>
      <c r="AH768" s="32"/>
      <c r="AI768" s="32"/>
      <c r="AJ768" s="32"/>
    </row>
    <row r="769">
      <c r="A769" s="32"/>
      <c r="B769" s="32"/>
      <c r="C769" s="32"/>
      <c r="D769" s="32"/>
      <c r="E769" s="32"/>
      <c r="F769" s="32"/>
      <c r="G769" s="32"/>
      <c r="H769" s="32"/>
      <c r="I769" s="32"/>
      <c r="J769" s="32"/>
      <c r="K769" s="32"/>
      <c r="L769" s="32"/>
      <c r="M769" s="32"/>
      <c r="N769" s="32"/>
      <c r="O769" s="32"/>
      <c r="P769" s="32"/>
      <c r="Q769" s="32"/>
      <c r="R769" s="32"/>
      <c r="S769" s="32"/>
      <c r="T769" s="32"/>
      <c r="U769" s="32"/>
      <c r="V769" s="32"/>
      <c r="W769" s="32"/>
      <c r="X769" s="32"/>
      <c r="Y769" s="32"/>
      <c r="Z769" s="32"/>
      <c r="AA769" s="32"/>
      <c r="AB769" s="32"/>
      <c r="AC769" s="32"/>
      <c r="AD769" s="32"/>
      <c r="AE769" s="32"/>
      <c r="AF769" s="32"/>
      <c r="AG769" s="32"/>
      <c r="AH769" s="32"/>
      <c r="AI769" s="32"/>
      <c r="AJ769" s="32"/>
    </row>
    <row r="770">
      <c r="A770" s="32"/>
      <c r="B770" s="32"/>
      <c r="C770" s="32"/>
      <c r="D770" s="32"/>
      <c r="E770" s="32"/>
      <c r="F770" s="32"/>
      <c r="G770" s="32"/>
      <c r="H770" s="32"/>
      <c r="I770" s="32"/>
      <c r="J770" s="32"/>
      <c r="K770" s="32"/>
      <c r="L770" s="32"/>
      <c r="M770" s="32"/>
      <c r="N770" s="32"/>
      <c r="O770" s="32"/>
      <c r="P770" s="32"/>
      <c r="Q770" s="32"/>
      <c r="R770" s="32"/>
      <c r="S770" s="32"/>
      <c r="T770" s="32"/>
      <c r="U770" s="32"/>
      <c r="V770" s="32"/>
      <c r="W770" s="32"/>
      <c r="X770" s="32"/>
      <c r="Y770" s="32"/>
      <c r="Z770" s="32"/>
      <c r="AA770" s="32"/>
      <c r="AB770" s="32"/>
      <c r="AC770" s="32"/>
      <c r="AD770" s="32"/>
      <c r="AE770" s="32"/>
      <c r="AF770" s="32"/>
      <c r="AG770" s="32"/>
      <c r="AH770" s="32"/>
      <c r="AI770" s="32"/>
      <c r="AJ770" s="32"/>
    </row>
    <row r="771">
      <c r="A771" s="32"/>
      <c r="B771" s="32"/>
      <c r="C771" s="32"/>
      <c r="D771" s="32"/>
      <c r="E771" s="32"/>
      <c r="F771" s="32"/>
      <c r="G771" s="32"/>
      <c r="H771" s="32"/>
      <c r="I771" s="32"/>
      <c r="J771" s="32"/>
      <c r="K771" s="32"/>
      <c r="L771" s="32"/>
      <c r="M771" s="32"/>
      <c r="N771" s="32"/>
      <c r="O771" s="32"/>
      <c r="P771" s="32"/>
      <c r="Q771" s="32"/>
      <c r="R771" s="32"/>
      <c r="S771" s="32"/>
      <c r="T771" s="32"/>
      <c r="U771" s="32"/>
      <c r="V771" s="32"/>
      <c r="W771" s="32"/>
      <c r="X771" s="32"/>
      <c r="Y771" s="32"/>
      <c r="Z771" s="32"/>
      <c r="AA771" s="32"/>
      <c r="AB771" s="32"/>
      <c r="AC771" s="32"/>
      <c r="AD771" s="32"/>
      <c r="AE771" s="32"/>
      <c r="AF771" s="32"/>
      <c r="AG771" s="32"/>
      <c r="AH771" s="32"/>
      <c r="AI771" s="32"/>
      <c r="AJ771" s="32"/>
    </row>
    <row r="772">
      <c r="A772" s="32"/>
      <c r="B772" s="32"/>
      <c r="C772" s="32"/>
      <c r="D772" s="32"/>
      <c r="E772" s="32"/>
      <c r="F772" s="32"/>
      <c r="G772" s="32"/>
      <c r="H772" s="32"/>
      <c r="I772" s="32"/>
      <c r="J772" s="32"/>
      <c r="K772" s="32"/>
      <c r="L772" s="32"/>
      <c r="M772" s="32"/>
      <c r="N772" s="32"/>
      <c r="O772" s="32"/>
      <c r="P772" s="32"/>
      <c r="Q772" s="32"/>
      <c r="R772" s="32"/>
      <c r="S772" s="32"/>
      <c r="T772" s="32"/>
      <c r="U772" s="32"/>
      <c r="V772" s="32"/>
      <c r="W772" s="32"/>
      <c r="X772" s="32"/>
      <c r="Y772" s="32"/>
      <c r="Z772" s="32"/>
      <c r="AA772" s="32"/>
      <c r="AB772" s="32"/>
      <c r="AC772" s="32"/>
      <c r="AD772" s="32"/>
      <c r="AE772" s="32"/>
      <c r="AF772" s="32"/>
      <c r="AG772" s="32"/>
      <c r="AH772" s="32"/>
      <c r="AI772" s="32"/>
      <c r="AJ772" s="32"/>
    </row>
    <row r="773">
      <c r="A773" s="32"/>
      <c r="B773" s="32"/>
      <c r="C773" s="32"/>
      <c r="D773" s="32"/>
      <c r="E773" s="32"/>
      <c r="F773" s="32"/>
      <c r="G773" s="32"/>
      <c r="H773" s="32"/>
      <c r="I773" s="32"/>
      <c r="J773" s="32"/>
      <c r="K773" s="32"/>
      <c r="L773" s="32"/>
      <c r="M773" s="32"/>
      <c r="N773" s="32"/>
      <c r="O773" s="32"/>
      <c r="P773" s="32"/>
      <c r="Q773" s="32"/>
      <c r="R773" s="32"/>
      <c r="S773" s="32"/>
      <c r="T773" s="32"/>
      <c r="U773" s="32"/>
      <c r="V773" s="32"/>
      <c r="W773" s="32"/>
      <c r="X773" s="32"/>
      <c r="Y773" s="32"/>
      <c r="Z773" s="32"/>
      <c r="AA773" s="32"/>
      <c r="AB773" s="32"/>
      <c r="AC773" s="32"/>
      <c r="AD773" s="32"/>
      <c r="AE773" s="32"/>
      <c r="AF773" s="32"/>
      <c r="AG773" s="32"/>
      <c r="AH773" s="32"/>
      <c r="AI773" s="32"/>
      <c r="AJ773" s="32"/>
    </row>
    <row r="774">
      <c r="A774" s="32"/>
      <c r="B774" s="32"/>
      <c r="C774" s="32"/>
      <c r="D774" s="32"/>
      <c r="E774" s="32"/>
      <c r="F774" s="32"/>
      <c r="G774" s="32"/>
      <c r="H774" s="32"/>
      <c r="I774" s="32"/>
      <c r="J774" s="32"/>
      <c r="K774" s="32"/>
      <c r="L774" s="32"/>
      <c r="M774" s="32"/>
      <c r="N774" s="32"/>
      <c r="O774" s="32"/>
      <c r="P774" s="32"/>
      <c r="Q774" s="32"/>
      <c r="R774" s="32"/>
      <c r="S774" s="32"/>
      <c r="T774" s="32"/>
      <c r="U774" s="32"/>
      <c r="V774" s="32"/>
      <c r="W774" s="32"/>
      <c r="X774" s="32"/>
      <c r="Y774" s="32"/>
      <c r="Z774" s="32"/>
      <c r="AA774" s="32"/>
      <c r="AB774" s="32"/>
      <c r="AC774" s="32"/>
      <c r="AD774" s="32"/>
      <c r="AE774" s="32"/>
      <c r="AF774" s="32"/>
      <c r="AG774" s="32"/>
      <c r="AH774" s="32"/>
      <c r="AI774" s="32"/>
      <c r="AJ774" s="32"/>
    </row>
    <row r="775">
      <c r="A775" s="32"/>
      <c r="B775" s="32"/>
      <c r="C775" s="32"/>
      <c r="D775" s="32"/>
      <c r="E775" s="32"/>
      <c r="F775" s="32"/>
      <c r="G775" s="32"/>
      <c r="H775" s="32"/>
      <c r="I775" s="32"/>
      <c r="J775" s="32"/>
      <c r="K775" s="32"/>
      <c r="L775" s="32"/>
      <c r="M775" s="32"/>
      <c r="N775" s="32"/>
      <c r="O775" s="32"/>
      <c r="P775" s="32"/>
      <c r="Q775" s="32"/>
      <c r="R775" s="32"/>
      <c r="S775" s="32"/>
      <c r="T775" s="32"/>
      <c r="U775" s="32"/>
      <c r="V775" s="32"/>
      <c r="W775" s="32"/>
      <c r="X775" s="32"/>
      <c r="Y775" s="32"/>
      <c r="Z775" s="32"/>
      <c r="AA775" s="32"/>
      <c r="AB775" s="32"/>
      <c r="AC775" s="32"/>
      <c r="AD775" s="32"/>
      <c r="AE775" s="32"/>
      <c r="AF775" s="32"/>
      <c r="AG775" s="32"/>
      <c r="AH775" s="32"/>
      <c r="AI775" s="32"/>
      <c r="AJ775" s="32"/>
    </row>
    <row r="776">
      <c r="A776" s="32"/>
      <c r="B776" s="32"/>
      <c r="C776" s="32"/>
      <c r="D776" s="32"/>
      <c r="E776" s="32"/>
      <c r="F776" s="32"/>
      <c r="G776" s="32"/>
      <c r="H776" s="32"/>
      <c r="I776" s="32"/>
      <c r="J776" s="32"/>
      <c r="K776" s="32"/>
      <c r="L776" s="32"/>
      <c r="M776" s="32"/>
      <c r="N776" s="32"/>
      <c r="O776" s="32"/>
      <c r="P776" s="32"/>
      <c r="Q776" s="32"/>
      <c r="R776" s="32"/>
      <c r="S776" s="32"/>
      <c r="T776" s="32"/>
      <c r="U776" s="32"/>
      <c r="V776" s="32"/>
      <c r="W776" s="32"/>
      <c r="X776" s="32"/>
      <c r="Y776" s="32"/>
      <c r="Z776" s="32"/>
      <c r="AA776" s="32"/>
      <c r="AB776" s="32"/>
      <c r="AC776" s="32"/>
      <c r="AD776" s="32"/>
      <c r="AE776" s="32"/>
      <c r="AF776" s="32"/>
      <c r="AG776" s="32"/>
      <c r="AH776" s="32"/>
      <c r="AI776" s="32"/>
      <c r="AJ776" s="32"/>
    </row>
    <row r="777">
      <c r="A777" s="32"/>
      <c r="B777" s="32"/>
      <c r="C777" s="32"/>
      <c r="D777" s="32"/>
      <c r="E777" s="32"/>
      <c r="F777" s="32"/>
      <c r="G777" s="32"/>
      <c r="H777" s="32"/>
      <c r="I777" s="32"/>
      <c r="J777" s="32"/>
      <c r="K777" s="32"/>
      <c r="L777" s="32"/>
      <c r="M777" s="32"/>
      <c r="N777" s="32"/>
      <c r="O777" s="32"/>
      <c r="P777" s="32"/>
      <c r="Q777" s="32"/>
      <c r="R777" s="32"/>
      <c r="S777" s="32"/>
      <c r="T777" s="32"/>
      <c r="U777" s="32"/>
      <c r="V777" s="32"/>
      <c r="W777" s="32"/>
      <c r="X777" s="32"/>
      <c r="Y777" s="32"/>
      <c r="Z777" s="32"/>
      <c r="AA777" s="32"/>
      <c r="AB777" s="32"/>
      <c r="AC777" s="32"/>
      <c r="AD777" s="32"/>
      <c r="AE777" s="32"/>
      <c r="AF777" s="32"/>
      <c r="AG777" s="32"/>
      <c r="AH777" s="32"/>
      <c r="AI777" s="32"/>
      <c r="AJ777" s="32"/>
    </row>
    <row r="778">
      <c r="A778" s="32"/>
      <c r="B778" s="32"/>
      <c r="C778" s="32"/>
      <c r="D778" s="32"/>
      <c r="E778" s="32"/>
      <c r="F778" s="32"/>
      <c r="G778" s="32"/>
      <c r="H778" s="32"/>
      <c r="I778" s="32"/>
      <c r="J778" s="32"/>
      <c r="K778" s="32"/>
      <c r="L778" s="32"/>
      <c r="M778" s="32"/>
      <c r="N778" s="32"/>
      <c r="O778" s="32"/>
      <c r="P778" s="32"/>
      <c r="Q778" s="32"/>
      <c r="R778" s="32"/>
      <c r="S778" s="32"/>
      <c r="T778" s="32"/>
      <c r="U778" s="32"/>
      <c r="V778" s="32"/>
      <c r="W778" s="32"/>
      <c r="X778" s="32"/>
      <c r="Y778" s="32"/>
      <c r="Z778" s="32"/>
      <c r="AA778" s="32"/>
      <c r="AB778" s="32"/>
      <c r="AC778" s="32"/>
      <c r="AD778" s="32"/>
      <c r="AE778" s="32"/>
      <c r="AF778" s="32"/>
      <c r="AG778" s="32"/>
      <c r="AH778" s="32"/>
      <c r="AI778" s="32"/>
      <c r="AJ778" s="32"/>
    </row>
    <row r="779">
      <c r="A779" s="32"/>
      <c r="B779" s="32"/>
      <c r="C779" s="32"/>
      <c r="D779" s="32"/>
      <c r="E779" s="32"/>
      <c r="F779" s="32"/>
      <c r="G779" s="32"/>
      <c r="H779" s="32"/>
      <c r="I779" s="32"/>
      <c r="J779" s="32"/>
      <c r="K779" s="32"/>
      <c r="L779" s="32"/>
      <c r="M779" s="32"/>
      <c r="N779" s="32"/>
      <c r="O779" s="32"/>
      <c r="P779" s="32"/>
      <c r="Q779" s="32"/>
      <c r="R779" s="32"/>
      <c r="S779" s="32"/>
      <c r="T779" s="32"/>
      <c r="U779" s="32"/>
      <c r="V779" s="32"/>
      <c r="W779" s="32"/>
      <c r="X779" s="32"/>
      <c r="Y779" s="32"/>
      <c r="Z779" s="32"/>
      <c r="AA779" s="32"/>
      <c r="AB779" s="32"/>
      <c r="AC779" s="32"/>
      <c r="AD779" s="32"/>
      <c r="AE779" s="32"/>
      <c r="AF779" s="32"/>
      <c r="AG779" s="32"/>
      <c r="AH779" s="32"/>
      <c r="AI779" s="32"/>
      <c r="AJ779" s="32"/>
    </row>
    <row r="780">
      <c r="A780" s="32"/>
      <c r="B780" s="32"/>
      <c r="C780" s="32"/>
      <c r="D780" s="32"/>
      <c r="E780" s="32"/>
      <c r="F780" s="32"/>
      <c r="G780" s="32"/>
      <c r="H780" s="32"/>
      <c r="I780" s="32"/>
      <c r="J780" s="32"/>
      <c r="K780" s="32"/>
      <c r="L780" s="32"/>
      <c r="M780" s="32"/>
      <c r="N780" s="32"/>
      <c r="O780" s="32"/>
      <c r="P780" s="32"/>
      <c r="Q780" s="32"/>
      <c r="R780" s="32"/>
      <c r="S780" s="32"/>
      <c r="T780" s="32"/>
      <c r="U780" s="32"/>
      <c r="V780" s="32"/>
      <c r="W780" s="32"/>
      <c r="X780" s="32"/>
      <c r="Y780" s="32"/>
      <c r="Z780" s="32"/>
      <c r="AA780" s="32"/>
      <c r="AB780" s="32"/>
      <c r="AC780" s="32"/>
      <c r="AD780" s="32"/>
      <c r="AE780" s="32"/>
      <c r="AF780" s="32"/>
      <c r="AG780" s="32"/>
      <c r="AH780" s="32"/>
      <c r="AI780" s="32"/>
      <c r="AJ780" s="32"/>
    </row>
    <row r="781">
      <c r="A781" s="32"/>
      <c r="B781" s="32"/>
      <c r="C781" s="32"/>
      <c r="D781" s="32"/>
      <c r="E781" s="32"/>
      <c r="F781" s="32"/>
      <c r="G781" s="32"/>
      <c r="H781" s="32"/>
      <c r="I781" s="32"/>
      <c r="J781" s="32"/>
      <c r="K781" s="32"/>
      <c r="L781" s="32"/>
      <c r="M781" s="32"/>
      <c r="N781" s="32"/>
      <c r="O781" s="32"/>
      <c r="P781" s="32"/>
      <c r="Q781" s="32"/>
      <c r="R781" s="32"/>
      <c r="S781" s="32"/>
      <c r="T781" s="32"/>
      <c r="U781" s="32"/>
      <c r="V781" s="32"/>
      <c r="W781" s="32"/>
      <c r="X781" s="32"/>
      <c r="Y781" s="32"/>
      <c r="Z781" s="32"/>
      <c r="AA781" s="32"/>
      <c r="AB781" s="32"/>
      <c r="AC781" s="32"/>
      <c r="AD781" s="32"/>
      <c r="AE781" s="32"/>
      <c r="AF781" s="32"/>
      <c r="AG781" s="32"/>
      <c r="AH781" s="32"/>
      <c r="AI781" s="32"/>
      <c r="AJ781" s="32"/>
    </row>
    <row r="782">
      <c r="A782" s="32"/>
      <c r="B782" s="32"/>
      <c r="C782" s="32"/>
      <c r="D782" s="32"/>
      <c r="E782" s="32"/>
      <c r="F782" s="32"/>
      <c r="G782" s="32"/>
      <c r="H782" s="32"/>
      <c r="I782" s="32"/>
      <c r="J782" s="32"/>
      <c r="K782" s="32"/>
      <c r="L782" s="32"/>
      <c r="M782" s="32"/>
      <c r="N782" s="32"/>
      <c r="O782" s="32"/>
      <c r="P782" s="32"/>
      <c r="Q782" s="32"/>
      <c r="R782" s="32"/>
      <c r="S782" s="32"/>
      <c r="T782" s="32"/>
      <c r="U782" s="32"/>
      <c r="V782" s="32"/>
      <c r="W782" s="32"/>
      <c r="X782" s="32"/>
      <c r="Y782" s="32"/>
      <c r="Z782" s="32"/>
      <c r="AA782" s="32"/>
      <c r="AB782" s="32"/>
      <c r="AC782" s="32"/>
      <c r="AD782" s="32"/>
      <c r="AE782" s="32"/>
      <c r="AF782" s="32"/>
      <c r="AG782" s="32"/>
      <c r="AH782" s="32"/>
      <c r="AI782" s="32"/>
      <c r="AJ782" s="32"/>
    </row>
    <row r="783">
      <c r="A783" s="32"/>
      <c r="B783" s="32"/>
      <c r="C783" s="32"/>
      <c r="D783" s="32"/>
      <c r="E783" s="32"/>
      <c r="F783" s="32"/>
      <c r="G783" s="32"/>
      <c r="H783" s="32"/>
      <c r="I783" s="32"/>
      <c r="J783" s="32"/>
      <c r="K783" s="32"/>
      <c r="L783" s="32"/>
      <c r="M783" s="32"/>
      <c r="N783" s="32"/>
      <c r="O783" s="32"/>
      <c r="P783" s="32"/>
      <c r="Q783" s="32"/>
      <c r="R783" s="32"/>
      <c r="S783" s="32"/>
      <c r="T783" s="32"/>
      <c r="U783" s="32"/>
      <c r="V783" s="32"/>
      <c r="W783" s="32"/>
      <c r="X783" s="32"/>
      <c r="Y783" s="32"/>
      <c r="Z783" s="32"/>
      <c r="AA783" s="32"/>
      <c r="AB783" s="32"/>
      <c r="AC783" s="32"/>
      <c r="AD783" s="32"/>
      <c r="AE783" s="32"/>
      <c r="AF783" s="32"/>
      <c r="AG783" s="32"/>
      <c r="AH783" s="32"/>
      <c r="AI783" s="32"/>
      <c r="AJ783" s="32"/>
    </row>
    <row r="784">
      <c r="A784" s="32"/>
      <c r="B784" s="32"/>
      <c r="C784" s="32"/>
      <c r="D784" s="32"/>
      <c r="E784" s="32"/>
      <c r="F784" s="32"/>
      <c r="G784" s="32"/>
      <c r="H784" s="32"/>
      <c r="I784" s="32"/>
      <c r="J784" s="32"/>
      <c r="K784" s="32"/>
      <c r="L784" s="32"/>
      <c r="M784" s="32"/>
      <c r="N784" s="32"/>
      <c r="O784" s="32"/>
      <c r="P784" s="32"/>
      <c r="Q784" s="32"/>
      <c r="R784" s="32"/>
      <c r="S784" s="32"/>
      <c r="T784" s="32"/>
      <c r="U784" s="32"/>
      <c r="V784" s="32"/>
      <c r="W784" s="32"/>
      <c r="X784" s="32"/>
      <c r="Y784" s="32"/>
      <c r="Z784" s="32"/>
      <c r="AA784" s="32"/>
      <c r="AB784" s="32"/>
      <c r="AC784" s="32"/>
      <c r="AD784" s="32"/>
      <c r="AE784" s="32"/>
      <c r="AF784" s="32"/>
      <c r="AG784" s="32"/>
      <c r="AH784" s="32"/>
      <c r="AI784" s="32"/>
      <c r="AJ784" s="32"/>
    </row>
    <row r="785">
      <c r="A785" s="32"/>
      <c r="B785" s="32"/>
      <c r="C785" s="32"/>
      <c r="D785" s="32"/>
      <c r="E785" s="32"/>
      <c r="F785" s="32"/>
      <c r="G785" s="32"/>
      <c r="H785" s="32"/>
      <c r="I785" s="32"/>
      <c r="J785" s="32"/>
      <c r="K785" s="32"/>
      <c r="L785" s="32"/>
      <c r="M785" s="32"/>
      <c r="N785" s="32"/>
      <c r="O785" s="32"/>
      <c r="P785" s="32"/>
      <c r="Q785" s="32"/>
      <c r="R785" s="32"/>
      <c r="S785" s="32"/>
      <c r="T785" s="32"/>
      <c r="U785" s="32"/>
      <c r="V785" s="32"/>
      <c r="W785" s="32"/>
      <c r="X785" s="32"/>
      <c r="Y785" s="32"/>
      <c r="Z785" s="32"/>
      <c r="AA785" s="32"/>
      <c r="AB785" s="32"/>
      <c r="AC785" s="32"/>
      <c r="AD785" s="32"/>
      <c r="AE785" s="32"/>
      <c r="AF785" s="32"/>
      <c r="AG785" s="32"/>
      <c r="AH785" s="32"/>
      <c r="AI785" s="32"/>
      <c r="AJ785" s="32"/>
    </row>
    <row r="786">
      <c r="A786" s="32"/>
      <c r="B786" s="32"/>
      <c r="C786" s="32"/>
      <c r="D786" s="32"/>
      <c r="E786" s="32"/>
      <c r="F786" s="32"/>
      <c r="G786" s="32"/>
      <c r="H786" s="32"/>
      <c r="I786" s="32"/>
      <c r="J786" s="32"/>
      <c r="K786" s="32"/>
      <c r="L786" s="32"/>
      <c r="M786" s="32"/>
      <c r="N786" s="32"/>
      <c r="O786" s="32"/>
      <c r="P786" s="32"/>
      <c r="Q786" s="32"/>
      <c r="R786" s="32"/>
      <c r="S786" s="32"/>
      <c r="T786" s="32"/>
      <c r="U786" s="32"/>
      <c r="V786" s="32"/>
      <c r="W786" s="32"/>
      <c r="X786" s="32"/>
      <c r="Y786" s="32"/>
      <c r="Z786" s="32"/>
      <c r="AA786" s="32"/>
      <c r="AB786" s="32"/>
      <c r="AC786" s="32"/>
      <c r="AD786" s="32"/>
      <c r="AE786" s="32"/>
      <c r="AF786" s="32"/>
      <c r="AG786" s="32"/>
      <c r="AH786" s="32"/>
      <c r="AI786" s="32"/>
      <c r="AJ786" s="32"/>
    </row>
    <row r="787">
      <c r="A787" s="32"/>
      <c r="B787" s="32"/>
      <c r="C787" s="32"/>
      <c r="D787" s="32"/>
      <c r="E787" s="32"/>
      <c r="F787" s="32"/>
      <c r="G787" s="32"/>
      <c r="H787" s="32"/>
      <c r="I787" s="32"/>
      <c r="J787" s="32"/>
      <c r="K787" s="32"/>
      <c r="L787" s="32"/>
      <c r="M787" s="32"/>
      <c r="N787" s="32"/>
      <c r="O787" s="32"/>
      <c r="P787" s="32"/>
      <c r="Q787" s="32"/>
      <c r="R787" s="32"/>
      <c r="S787" s="32"/>
      <c r="T787" s="32"/>
      <c r="U787" s="32"/>
      <c r="V787" s="32"/>
      <c r="W787" s="32"/>
      <c r="X787" s="32"/>
      <c r="Y787" s="32"/>
      <c r="Z787" s="32"/>
      <c r="AA787" s="32"/>
      <c r="AB787" s="32"/>
      <c r="AC787" s="32"/>
      <c r="AD787" s="32"/>
      <c r="AE787" s="32"/>
      <c r="AF787" s="32"/>
      <c r="AG787" s="32"/>
      <c r="AH787" s="32"/>
      <c r="AI787" s="32"/>
      <c r="AJ787" s="32"/>
    </row>
    <row r="788">
      <c r="A788" s="32"/>
      <c r="B788" s="32"/>
      <c r="C788" s="32"/>
      <c r="D788" s="32"/>
      <c r="E788" s="32"/>
      <c r="F788" s="32"/>
      <c r="G788" s="32"/>
      <c r="H788" s="32"/>
      <c r="I788" s="32"/>
      <c r="J788" s="32"/>
      <c r="K788" s="32"/>
      <c r="L788" s="32"/>
      <c r="M788" s="32"/>
      <c r="N788" s="32"/>
      <c r="O788" s="32"/>
      <c r="P788" s="32"/>
      <c r="Q788" s="32"/>
      <c r="R788" s="32"/>
      <c r="S788" s="32"/>
      <c r="T788" s="32"/>
      <c r="U788" s="32"/>
      <c r="V788" s="32"/>
      <c r="W788" s="32"/>
      <c r="X788" s="32"/>
      <c r="Y788" s="32"/>
      <c r="Z788" s="32"/>
      <c r="AA788" s="32"/>
      <c r="AB788" s="32"/>
      <c r="AC788" s="32"/>
      <c r="AD788" s="32"/>
      <c r="AE788" s="32"/>
      <c r="AF788" s="32"/>
      <c r="AG788" s="32"/>
      <c r="AH788" s="32"/>
      <c r="AI788" s="32"/>
      <c r="AJ788" s="32"/>
    </row>
    <row r="789">
      <c r="A789" s="32"/>
      <c r="B789" s="32"/>
      <c r="C789" s="32"/>
      <c r="D789" s="32"/>
      <c r="E789" s="32"/>
      <c r="F789" s="32"/>
      <c r="G789" s="32"/>
      <c r="H789" s="32"/>
      <c r="I789" s="32"/>
      <c r="J789" s="32"/>
      <c r="K789" s="32"/>
      <c r="L789" s="32"/>
      <c r="M789" s="32"/>
      <c r="N789" s="32"/>
      <c r="O789" s="32"/>
      <c r="P789" s="32"/>
      <c r="Q789" s="32"/>
      <c r="R789" s="32"/>
      <c r="S789" s="32"/>
      <c r="T789" s="32"/>
      <c r="U789" s="32"/>
      <c r="V789" s="32"/>
      <c r="W789" s="32"/>
      <c r="X789" s="32"/>
      <c r="Y789" s="32"/>
      <c r="Z789" s="32"/>
      <c r="AA789" s="32"/>
      <c r="AB789" s="32"/>
      <c r="AC789" s="32"/>
      <c r="AD789" s="32"/>
      <c r="AE789" s="32"/>
      <c r="AF789" s="32"/>
      <c r="AG789" s="32"/>
      <c r="AH789" s="32"/>
      <c r="AI789" s="32"/>
      <c r="AJ789" s="32"/>
    </row>
    <row r="790">
      <c r="A790" s="32"/>
      <c r="B790" s="32"/>
      <c r="C790" s="32"/>
      <c r="D790" s="32"/>
      <c r="E790" s="32"/>
      <c r="F790" s="32"/>
      <c r="G790" s="32"/>
      <c r="H790" s="32"/>
      <c r="I790" s="32"/>
      <c r="J790" s="32"/>
      <c r="K790" s="32"/>
      <c r="L790" s="32"/>
      <c r="M790" s="32"/>
      <c r="N790" s="32"/>
      <c r="O790" s="32"/>
      <c r="P790" s="32"/>
      <c r="Q790" s="32"/>
      <c r="R790" s="32"/>
      <c r="S790" s="32"/>
      <c r="T790" s="32"/>
      <c r="U790" s="32"/>
      <c r="V790" s="32"/>
      <c r="W790" s="32"/>
      <c r="X790" s="32"/>
      <c r="Y790" s="32"/>
      <c r="Z790" s="32"/>
      <c r="AA790" s="32"/>
      <c r="AB790" s="32"/>
      <c r="AC790" s="32"/>
      <c r="AD790" s="32"/>
      <c r="AE790" s="32"/>
      <c r="AF790" s="32"/>
      <c r="AG790" s="32"/>
      <c r="AH790" s="32"/>
      <c r="AI790" s="32"/>
      <c r="AJ790" s="32"/>
    </row>
    <row r="791">
      <c r="A791" s="32"/>
      <c r="B791" s="32"/>
      <c r="C791" s="32"/>
      <c r="D791" s="32"/>
      <c r="E791" s="32"/>
      <c r="F791" s="32"/>
      <c r="G791" s="32"/>
      <c r="H791" s="32"/>
      <c r="I791" s="32"/>
      <c r="J791" s="32"/>
      <c r="K791" s="32"/>
      <c r="L791" s="32"/>
      <c r="M791" s="32"/>
      <c r="N791" s="32"/>
      <c r="O791" s="32"/>
      <c r="P791" s="32"/>
      <c r="Q791" s="32"/>
      <c r="R791" s="32"/>
      <c r="S791" s="32"/>
      <c r="T791" s="32"/>
      <c r="U791" s="32"/>
      <c r="V791" s="32"/>
      <c r="W791" s="32"/>
      <c r="X791" s="32"/>
      <c r="Y791" s="32"/>
      <c r="Z791" s="32"/>
      <c r="AA791" s="32"/>
      <c r="AB791" s="32"/>
      <c r="AC791" s="32"/>
      <c r="AD791" s="32"/>
      <c r="AE791" s="32"/>
      <c r="AF791" s="32"/>
      <c r="AG791" s="32"/>
      <c r="AH791" s="32"/>
      <c r="AI791" s="32"/>
      <c r="AJ791" s="32"/>
    </row>
    <row r="792">
      <c r="A792" s="32"/>
      <c r="B792" s="32"/>
      <c r="C792" s="32"/>
      <c r="D792" s="32"/>
      <c r="E792" s="32"/>
      <c r="F792" s="32"/>
      <c r="G792" s="32"/>
      <c r="H792" s="32"/>
      <c r="I792" s="32"/>
      <c r="J792" s="32"/>
      <c r="K792" s="32"/>
      <c r="L792" s="32"/>
      <c r="M792" s="32"/>
      <c r="N792" s="32"/>
      <c r="O792" s="32"/>
      <c r="P792" s="32"/>
      <c r="Q792" s="32"/>
      <c r="R792" s="32"/>
      <c r="S792" s="32"/>
      <c r="T792" s="32"/>
      <c r="U792" s="32"/>
      <c r="V792" s="32"/>
      <c r="W792" s="32"/>
      <c r="X792" s="32"/>
      <c r="Y792" s="32"/>
      <c r="Z792" s="32"/>
      <c r="AA792" s="32"/>
      <c r="AB792" s="32"/>
      <c r="AC792" s="32"/>
      <c r="AD792" s="32"/>
      <c r="AE792" s="32"/>
      <c r="AF792" s="32"/>
      <c r="AG792" s="32"/>
      <c r="AH792" s="32"/>
      <c r="AI792" s="32"/>
      <c r="AJ792" s="32"/>
    </row>
    <row r="793">
      <c r="A793" s="32"/>
      <c r="B793" s="32"/>
      <c r="C793" s="32"/>
      <c r="D793" s="32"/>
      <c r="E793" s="32"/>
      <c r="F793" s="32"/>
      <c r="G793" s="32"/>
      <c r="H793" s="32"/>
      <c r="I793" s="32"/>
      <c r="J793" s="32"/>
      <c r="K793" s="32"/>
      <c r="L793" s="32"/>
      <c r="M793" s="32"/>
      <c r="N793" s="32"/>
      <c r="O793" s="32"/>
      <c r="P793" s="32"/>
      <c r="Q793" s="32"/>
      <c r="R793" s="32"/>
      <c r="S793" s="32"/>
      <c r="T793" s="32"/>
      <c r="U793" s="32"/>
      <c r="V793" s="32"/>
      <c r="W793" s="32"/>
      <c r="X793" s="32"/>
      <c r="Y793" s="32"/>
      <c r="Z793" s="32"/>
      <c r="AA793" s="32"/>
      <c r="AB793" s="32"/>
      <c r="AC793" s="32"/>
      <c r="AD793" s="32"/>
      <c r="AE793" s="32"/>
      <c r="AF793" s="32"/>
      <c r="AG793" s="32"/>
      <c r="AH793" s="32"/>
      <c r="AI793" s="32"/>
      <c r="AJ793" s="32"/>
    </row>
    <row r="794">
      <c r="A794" s="32"/>
      <c r="B794" s="32"/>
      <c r="C794" s="32"/>
      <c r="D794" s="32"/>
      <c r="E794" s="32"/>
      <c r="F794" s="32"/>
      <c r="G794" s="32"/>
      <c r="H794" s="32"/>
      <c r="I794" s="32"/>
      <c r="J794" s="32"/>
      <c r="K794" s="32"/>
      <c r="L794" s="32"/>
      <c r="M794" s="32"/>
      <c r="N794" s="32"/>
      <c r="O794" s="32"/>
      <c r="P794" s="32"/>
      <c r="Q794" s="32"/>
      <c r="R794" s="32"/>
      <c r="S794" s="32"/>
      <c r="T794" s="32"/>
      <c r="U794" s="32"/>
      <c r="V794" s="32"/>
      <c r="W794" s="32"/>
      <c r="X794" s="32"/>
      <c r="Y794" s="32"/>
      <c r="Z794" s="32"/>
      <c r="AA794" s="32"/>
      <c r="AB794" s="32"/>
      <c r="AC794" s="32"/>
      <c r="AD794" s="32"/>
      <c r="AE794" s="32"/>
      <c r="AF794" s="32"/>
      <c r="AG794" s="32"/>
      <c r="AH794" s="32"/>
      <c r="AI794" s="32"/>
      <c r="AJ794" s="32"/>
    </row>
    <row r="795">
      <c r="A795" s="32"/>
      <c r="B795" s="32"/>
      <c r="C795" s="32"/>
      <c r="D795" s="32"/>
      <c r="E795" s="32"/>
      <c r="F795" s="32"/>
      <c r="G795" s="32"/>
      <c r="H795" s="32"/>
      <c r="I795" s="32"/>
      <c r="J795" s="32"/>
      <c r="K795" s="32"/>
      <c r="L795" s="32"/>
      <c r="M795" s="32"/>
      <c r="N795" s="32"/>
      <c r="O795" s="32"/>
      <c r="P795" s="32"/>
      <c r="Q795" s="32"/>
      <c r="R795" s="32"/>
      <c r="S795" s="32"/>
      <c r="T795" s="32"/>
      <c r="U795" s="32"/>
      <c r="V795" s="32"/>
      <c r="W795" s="32"/>
      <c r="X795" s="32"/>
      <c r="Y795" s="32"/>
      <c r="Z795" s="32"/>
      <c r="AA795" s="32"/>
      <c r="AB795" s="32"/>
      <c r="AC795" s="32"/>
      <c r="AD795" s="32"/>
      <c r="AE795" s="32"/>
      <c r="AF795" s="32"/>
      <c r="AG795" s="32"/>
      <c r="AH795" s="32"/>
      <c r="AI795" s="32"/>
      <c r="AJ795" s="32"/>
    </row>
    <row r="796">
      <c r="A796" s="32"/>
      <c r="B796" s="32"/>
      <c r="C796" s="32"/>
      <c r="D796" s="32"/>
      <c r="E796" s="32"/>
      <c r="F796" s="32"/>
      <c r="G796" s="32"/>
      <c r="H796" s="32"/>
      <c r="I796" s="32"/>
      <c r="J796" s="32"/>
      <c r="K796" s="32"/>
      <c r="L796" s="32"/>
      <c r="M796" s="32"/>
      <c r="N796" s="32"/>
      <c r="O796" s="32"/>
      <c r="P796" s="32"/>
      <c r="Q796" s="32"/>
      <c r="R796" s="32"/>
      <c r="S796" s="32"/>
      <c r="T796" s="32"/>
      <c r="U796" s="32"/>
      <c r="V796" s="32"/>
      <c r="W796" s="32"/>
      <c r="X796" s="32"/>
      <c r="Y796" s="32"/>
      <c r="Z796" s="32"/>
      <c r="AA796" s="32"/>
      <c r="AB796" s="32"/>
      <c r="AC796" s="32"/>
      <c r="AD796" s="32"/>
      <c r="AE796" s="32"/>
      <c r="AF796" s="32"/>
      <c r="AG796" s="32"/>
      <c r="AH796" s="32"/>
      <c r="AI796" s="32"/>
      <c r="AJ796" s="32"/>
    </row>
    <row r="797">
      <c r="A797" s="32"/>
      <c r="B797" s="32"/>
      <c r="C797" s="32"/>
      <c r="D797" s="32"/>
      <c r="E797" s="32"/>
      <c r="F797" s="32"/>
      <c r="G797" s="32"/>
      <c r="H797" s="32"/>
      <c r="I797" s="32"/>
      <c r="J797" s="32"/>
      <c r="K797" s="32"/>
      <c r="L797" s="32"/>
      <c r="M797" s="32"/>
      <c r="N797" s="32"/>
      <c r="O797" s="32"/>
      <c r="P797" s="32"/>
      <c r="Q797" s="32"/>
      <c r="R797" s="32"/>
      <c r="S797" s="32"/>
      <c r="T797" s="32"/>
      <c r="U797" s="32"/>
      <c r="V797" s="32"/>
      <c r="W797" s="32"/>
      <c r="X797" s="32"/>
      <c r="Y797" s="32"/>
      <c r="Z797" s="32"/>
      <c r="AA797" s="32"/>
      <c r="AB797" s="32"/>
      <c r="AC797" s="32"/>
      <c r="AD797" s="32"/>
      <c r="AE797" s="32"/>
      <c r="AF797" s="32"/>
      <c r="AG797" s="32"/>
      <c r="AH797" s="32"/>
      <c r="AI797" s="32"/>
      <c r="AJ797" s="32"/>
    </row>
    <row r="798">
      <c r="A798" s="32"/>
      <c r="B798" s="32"/>
      <c r="C798" s="32"/>
      <c r="D798" s="32"/>
      <c r="E798" s="32"/>
      <c r="F798" s="32"/>
      <c r="G798" s="32"/>
      <c r="H798" s="32"/>
      <c r="I798" s="32"/>
      <c r="J798" s="32"/>
      <c r="K798" s="32"/>
      <c r="L798" s="32"/>
      <c r="M798" s="32"/>
      <c r="N798" s="32"/>
      <c r="O798" s="32"/>
      <c r="P798" s="32"/>
      <c r="Q798" s="32"/>
      <c r="R798" s="32"/>
      <c r="S798" s="32"/>
      <c r="T798" s="32"/>
      <c r="U798" s="32"/>
      <c r="V798" s="32"/>
      <c r="W798" s="32"/>
      <c r="X798" s="32"/>
      <c r="Y798" s="32"/>
      <c r="Z798" s="32"/>
      <c r="AA798" s="32"/>
      <c r="AB798" s="32"/>
      <c r="AC798" s="32"/>
      <c r="AD798" s="32"/>
      <c r="AE798" s="32"/>
      <c r="AF798" s="32"/>
      <c r="AG798" s="32"/>
      <c r="AH798" s="32"/>
      <c r="AI798" s="32"/>
      <c r="AJ798" s="32"/>
    </row>
    <row r="799">
      <c r="A799" s="32"/>
      <c r="B799" s="32"/>
      <c r="C799" s="32"/>
      <c r="D799" s="32"/>
      <c r="E799" s="32"/>
      <c r="F799" s="32"/>
      <c r="G799" s="32"/>
      <c r="H799" s="32"/>
      <c r="I799" s="32"/>
      <c r="J799" s="32"/>
      <c r="K799" s="32"/>
      <c r="L799" s="32"/>
      <c r="M799" s="32"/>
      <c r="N799" s="32"/>
      <c r="O799" s="32"/>
      <c r="P799" s="32"/>
      <c r="Q799" s="32"/>
      <c r="R799" s="32"/>
      <c r="S799" s="32"/>
      <c r="T799" s="32"/>
      <c r="U799" s="32"/>
      <c r="V799" s="32"/>
      <c r="W799" s="32"/>
      <c r="X799" s="32"/>
      <c r="Y799" s="32"/>
      <c r="Z799" s="32"/>
      <c r="AA799" s="32"/>
      <c r="AB799" s="32"/>
      <c r="AC799" s="32"/>
      <c r="AD799" s="32"/>
      <c r="AE799" s="32"/>
      <c r="AF799" s="32"/>
      <c r="AG799" s="32"/>
      <c r="AH799" s="32"/>
      <c r="AI799" s="32"/>
      <c r="AJ799" s="32"/>
    </row>
    <row r="800">
      <c r="A800" s="32"/>
      <c r="B800" s="32"/>
      <c r="C800" s="32"/>
      <c r="D800" s="32"/>
      <c r="E800" s="32"/>
      <c r="F800" s="32"/>
      <c r="G800" s="32"/>
      <c r="H800" s="32"/>
      <c r="I800" s="32"/>
      <c r="J800" s="32"/>
      <c r="K800" s="32"/>
      <c r="L800" s="32"/>
      <c r="M800" s="32"/>
      <c r="N800" s="32"/>
      <c r="O800" s="32"/>
      <c r="P800" s="32"/>
      <c r="Q800" s="32"/>
      <c r="R800" s="32"/>
      <c r="S800" s="32"/>
      <c r="T800" s="32"/>
      <c r="U800" s="32"/>
      <c r="V800" s="32"/>
      <c r="W800" s="32"/>
      <c r="X800" s="32"/>
      <c r="Y800" s="32"/>
      <c r="Z800" s="32"/>
      <c r="AA800" s="32"/>
      <c r="AB800" s="32"/>
      <c r="AC800" s="32"/>
      <c r="AD800" s="32"/>
      <c r="AE800" s="32"/>
      <c r="AF800" s="32"/>
      <c r="AG800" s="32"/>
      <c r="AH800" s="32"/>
      <c r="AI800" s="32"/>
      <c r="AJ800" s="32"/>
    </row>
    <row r="801">
      <c r="A801" s="32"/>
      <c r="B801" s="32"/>
      <c r="C801" s="32"/>
      <c r="D801" s="32"/>
      <c r="E801" s="32"/>
      <c r="F801" s="32"/>
      <c r="G801" s="32"/>
      <c r="H801" s="32"/>
      <c r="I801" s="32"/>
      <c r="J801" s="32"/>
      <c r="K801" s="32"/>
      <c r="L801" s="32"/>
      <c r="M801" s="32"/>
      <c r="N801" s="32"/>
      <c r="O801" s="32"/>
      <c r="P801" s="32"/>
      <c r="Q801" s="32"/>
      <c r="R801" s="32"/>
      <c r="S801" s="32"/>
      <c r="T801" s="32"/>
      <c r="U801" s="32"/>
      <c r="V801" s="32"/>
      <c r="W801" s="32"/>
      <c r="X801" s="32"/>
      <c r="Y801" s="32"/>
      <c r="Z801" s="32"/>
      <c r="AA801" s="32"/>
      <c r="AB801" s="32"/>
      <c r="AC801" s="32"/>
      <c r="AD801" s="32"/>
      <c r="AE801" s="32"/>
      <c r="AF801" s="32"/>
      <c r="AG801" s="32"/>
      <c r="AH801" s="32"/>
      <c r="AI801" s="32"/>
      <c r="AJ801" s="32"/>
    </row>
    <row r="802">
      <c r="A802" s="32"/>
      <c r="B802" s="32"/>
      <c r="C802" s="32"/>
      <c r="D802" s="32"/>
      <c r="E802" s="32"/>
      <c r="F802" s="32"/>
      <c r="G802" s="32"/>
      <c r="H802" s="32"/>
      <c r="I802" s="32"/>
      <c r="J802" s="32"/>
      <c r="K802" s="32"/>
      <c r="L802" s="32"/>
      <c r="M802" s="32"/>
      <c r="N802" s="32"/>
      <c r="O802" s="32"/>
      <c r="P802" s="32"/>
      <c r="Q802" s="32"/>
      <c r="R802" s="32"/>
      <c r="S802" s="32"/>
      <c r="T802" s="32"/>
      <c r="U802" s="32"/>
      <c r="V802" s="32"/>
      <c r="W802" s="32"/>
      <c r="X802" s="32"/>
      <c r="Y802" s="32"/>
      <c r="Z802" s="32"/>
      <c r="AA802" s="32"/>
      <c r="AB802" s="32"/>
      <c r="AC802" s="32"/>
      <c r="AD802" s="32"/>
      <c r="AE802" s="32"/>
      <c r="AF802" s="32"/>
      <c r="AG802" s="32"/>
      <c r="AH802" s="32"/>
      <c r="AI802" s="32"/>
      <c r="AJ802" s="32"/>
    </row>
    <row r="803">
      <c r="A803" s="32"/>
      <c r="B803" s="32"/>
      <c r="C803" s="32"/>
      <c r="D803" s="32"/>
      <c r="E803" s="32"/>
      <c r="F803" s="32"/>
      <c r="G803" s="32"/>
      <c r="H803" s="32"/>
      <c r="I803" s="32"/>
      <c r="J803" s="32"/>
      <c r="K803" s="32"/>
      <c r="L803" s="32"/>
      <c r="M803" s="32"/>
      <c r="N803" s="32"/>
      <c r="O803" s="32"/>
      <c r="P803" s="32"/>
      <c r="Q803" s="32"/>
      <c r="R803" s="32"/>
      <c r="S803" s="32"/>
      <c r="T803" s="32"/>
      <c r="U803" s="32"/>
      <c r="V803" s="32"/>
      <c r="W803" s="32"/>
      <c r="X803" s="32"/>
      <c r="Y803" s="32"/>
      <c r="Z803" s="32"/>
      <c r="AA803" s="32"/>
      <c r="AB803" s="32"/>
      <c r="AC803" s="32"/>
      <c r="AD803" s="32"/>
      <c r="AE803" s="32"/>
      <c r="AF803" s="32"/>
      <c r="AG803" s="32"/>
      <c r="AH803" s="32"/>
      <c r="AI803" s="32"/>
      <c r="AJ803" s="32"/>
    </row>
    <row r="804">
      <c r="A804" s="32"/>
      <c r="B804" s="32"/>
      <c r="C804" s="32"/>
      <c r="D804" s="32"/>
      <c r="E804" s="32"/>
      <c r="F804" s="32"/>
      <c r="G804" s="32"/>
      <c r="H804" s="32"/>
      <c r="I804" s="32"/>
      <c r="J804" s="32"/>
      <c r="K804" s="32"/>
      <c r="L804" s="32"/>
      <c r="M804" s="32"/>
      <c r="N804" s="32"/>
      <c r="O804" s="32"/>
      <c r="P804" s="32"/>
      <c r="Q804" s="32"/>
      <c r="R804" s="32"/>
      <c r="S804" s="32"/>
      <c r="T804" s="32"/>
      <c r="U804" s="32"/>
      <c r="V804" s="32"/>
      <c r="W804" s="32"/>
      <c r="X804" s="32"/>
      <c r="Y804" s="32"/>
      <c r="Z804" s="32"/>
      <c r="AA804" s="32"/>
      <c r="AB804" s="32"/>
      <c r="AC804" s="32"/>
      <c r="AD804" s="32"/>
      <c r="AE804" s="32"/>
      <c r="AF804" s="32"/>
      <c r="AG804" s="32"/>
      <c r="AH804" s="32"/>
      <c r="AI804" s="32"/>
      <c r="AJ804" s="32"/>
    </row>
    <row r="805">
      <c r="A805" s="32"/>
      <c r="B805" s="32"/>
      <c r="C805" s="32"/>
      <c r="D805" s="32"/>
      <c r="E805" s="32"/>
      <c r="F805" s="32"/>
      <c r="G805" s="32"/>
      <c r="H805" s="32"/>
      <c r="I805" s="32"/>
      <c r="J805" s="32"/>
      <c r="K805" s="32"/>
      <c r="L805" s="32"/>
      <c r="M805" s="32"/>
      <c r="N805" s="32"/>
      <c r="O805" s="32"/>
      <c r="P805" s="32"/>
      <c r="Q805" s="32"/>
      <c r="R805" s="32"/>
      <c r="S805" s="32"/>
      <c r="T805" s="32"/>
      <c r="U805" s="32"/>
      <c r="V805" s="32"/>
      <c r="W805" s="32"/>
      <c r="X805" s="32"/>
      <c r="Y805" s="32"/>
      <c r="Z805" s="32"/>
      <c r="AA805" s="32"/>
      <c r="AB805" s="32"/>
      <c r="AC805" s="32"/>
      <c r="AD805" s="32"/>
      <c r="AE805" s="32"/>
      <c r="AF805" s="32"/>
      <c r="AG805" s="32"/>
      <c r="AH805" s="32"/>
      <c r="AI805" s="32"/>
      <c r="AJ805" s="32"/>
    </row>
    <row r="806">
      <c r="A806" s="32"/>
      <c r="B806" s="32"/>
      <c r="C806" s="32"/>
      <c r="D806" s="32"/>
      <c r="E806" s="32"/>
      <c r="F806" s="32"/>
      <c r="G806" s="32"/>
      <c r="H806" s="32"/>
      <c r="I806" s="32"/>
      <c r="J806" s="32"/>
      <c r="K806" s="32"/>
      <c r="L806" s="32"/>
      <c r="M806" s="32"/>
      <c r="N806" s="32"/>
      <c r="O806" s="32"/>
      <c r="P806" s="32"/>
      <c r="Q806" s="32"/>
      <c r="R806" s="32"/>
      <c r="S806" s="32"/>
      <c r="T806" s="32"/>
      <c r="U806" s="32"/>
      <c r="V806" s="32"/>
      <c r="W806" s="32"/>
      <c r="X806" s="32"/>
      <c r="Y806" s="32"/>
      <c r="Z806" s="32"/>
      <c r="AA806" s="32"/>
      <c r="AB806" s="32"/>
      <c r="AC806" s="32"/>
      <c r="AD806" s="32"/>
      <c r="AE806" s="32"/>
      <c r="AF806" s="32"/>
      <c r="AG806" s="32"/>
      <c r="AH806" s="32"/>
      <c r="AI806" s="32"/>
      <c r="AJ806" s="32"/>
    </row>
    <row r="807">
      <c r="A807" s="32"/>
      <c r="B807" s="32"/>
      <c r="C807" s="32"/>
      <c r="D807" s="32"/>
      <c r="E807" s="32"/>
      <c r="F807" s="32"/>
      <c r="G807" s="32"/>
      <c r="H807" s="32"/>
      <c r="I807" s="32"/>
      <c r="J807" s="32"/>
      <c r="K807" s="32"/>
      <c r="L807" s="32"/>
      <c r="M807" s="32"/>
      <c r="N807" s="32"/>
      <c r="O807" s="32"/>
      <c r="P807" s="32"/>
      <c r="Q807" s="32"/>
      <c r="R807" s="32"/>
      <c r="S807" s="32"/>
      <c r="T807" s="32"/>
      <c r="U807" s="32"/>
      <c r="V807" s="32"/>
      <c r="W807" s="32"/>
      <c r="X807" s="32"/>
      <c r="Y807" s="32"/>
      <c r="Z807" s="32"/>
      <c r="AA807" s="32"/>
      <c r="AB807" s="32"/>
      <c r="AC807" s="32"/>
      <c r="AD807" s="32"/>
      <c r="AE807" s="32"/>
      <c r="AF807" s="32"/>
      <c r="AG807" s="32"/>
      <c r="AH807" s="32"/>
      <c r="AI807" s="32"/>
      <c r="AJ807" s="32"/>
    </row>
    <row r="808">
      <c r="A808" s="32"/>
      <c r="B808" s="32"/>
      <c r="C808" s="32"/>
      <c r="D808" s="32"/>
      <c r="E808" s="32"/>
      <c r="F808" s="32"/>
      <c r="G808" s="32"/>
      <c r="H808" s="32"/>
      <c r="I808" s="32"/>
      <c r="J808" s="32"/>
      <c r="K808" s="32"/>
      <c r="L808" s="32"/>
      <c r="M808" s="32"/>
      <c r="N808" s="32"/>
      <c r="O808" s="32"/>
      <c r="P808" s="32"/>
      <c r="Q808" s="32"/>
      <c r="R808" s="32"/>
      <c r="S808" s="32"/>
      <c r="T808" s="32"/>
      <c r="U808" s="32"/>
      <c r="V808" s="32"/>
      <c r="W808" s="32"/>
      <c r="X808" s="32"/>
      <c r="Y808" s="32"/>
      <c r="Z808" s="32"/>
      <c r="AA808" s="32"/>
      <c r="AB808" s="32"/>
      <c r="AC808" s="32"/>
      <c r="AD808" s="32"/>
      <c r="AE808" s="32"/>
      <c r="AF808" s="32"/>
      <c r="AG808" s="32"/>
      <c r="AH808" s="32"/>
      <c r="AI808" s="32"/>
      <c r="AJ808" s="32"/>
    </row>
    <row r="809">
      <c r="A809" s="32"/>
      <c r="B809" s="32"/>
      <c r="C809" s="32"/>
      <c r="D809" s="32"/>
      <c r="E809" s="32"/>
      <c r="F809" s="32"/>
      <c r="G809" s="32"/>
      <c r="H809" s="32"/>
      <c r="I809" s="32"/>
      <c r="J809" s="32"/>
      <c r="K809" s="32"/>
      <c r="L809" s="32"/>
      <c r="M809" s="32"/>
      <c r="N809" s="32"/>
      <c r="O809" s="32"/>
      <c r="P809" s="32"/>
      <c r="Q809" s="32"/>
      <c r="R809" s="32"/>
      <c r="S809" s="32"/>
      <c r="T809" s="32"/>
      <c r="U809" s="32"/>
      <c r="V809" s="32"/>
      <c r="W809" s="32"/>
      <c r="X809" s="32"/>
      <c r="Y809" s="32"/>
      <c r="Z809" s="32"/>
      <c r="AA809" s="32"/>
      <c r="AB809" s="32"/>
      <c r="AC809" s="32"/>
      <c r="AD809" s="32"/>
      <c r="AE809" s="32"/>
      <c r="AF809" s="32"/>
      <c r="AG809" s="32"/>
      <c r="AH809" s="32"/>
      <c r="AI809" s="32"/>
      <c r="AJ809" s="32"/>
    </row>
    <row r="810">
      <c r="A810" s="32"/>
      <c r="B810" s="32"/>
      <c r="C810" s="32"/>
      <c r="D810" s="32"/>
      <c r="E810" s="32"/>
      <c r="F810" s="32"/>
      <c r="G810" s="32"/>
      <c r="H810" s="32"/>
      <c r="I810" s="32"/>
      <c r="J810" s="32"/>
      <c r="K810" s="32"/>
      <c r="L810" s="32"/>
      <c r="M810" s="32"/>
      <c r="N810" s="32"/>
      <c r="O810" s="32"/>
      <c r="P810" s="32"/>
      <c r="Q810" s="32"/>
      <c r="R810" s="32"/>
      <c r="S810" s="32"/>
      <c r="T810" s="32"/>
      <c r="U810" s="32"/>
      <c r="V810" s="32"/>
      <c r="W810" s="32"/>
      <c r="X810" s="32"/>
      <c r="Y810" s="32"/>
      <c r="Z810" s="32"/>
      <c r="AA810" s="32"/>
      <c r="AB810" s="32"/>
      <c r="AC810" s="32"/>
      <c r="AD810" s="32"/>
      <c r="AE810" s="32"/>
      <c r="AF810" s="32"/>
      <c r="AG810" s="32"/>
      <c r="AH810" s="32"/>
      <c r="AI810" s="32"/>
      <c r="AJ810" s="32"/>
    </row>
    <row r="811">
      <c r="A811" s="32"/>
      <c r="B811" s="32"/>
      <c r="C811" s="32"/>
      <c r="D811" s="32"/>
      <c r="E811" s="32"/>
      <c r="F811" s="32"/>
      <c r="G811" s="32"/>
      <c r="H811" s="32"/>
      <c r="I811" s="32"/>
      <c r="J811" s="32"/>
      <c r="K811" s="32"/>
      <c r="L811" s="32"/>
      <c r="M811" s="32"/>
      <c r="N811" s="32"/>
      <c r="O811" s="32"/>
      <c r="P811" s="32"/>
      <c r="Q811" s="32"/>
      <c r="R811" s="32"/>
      <c r="S811" s="32"/>
      <c r="T811" s="32"/>
      <c r="U811" s="32"/>
      <c r="V811" s="32"/>
      <c r="W811" s="32"/>
      <c r="X811" s="32"/>
      <c r="Y811" s="32"/>
      <c r="Z811" s="32"/>
      <c r="AA811" s="32"/>
      <c r="AB811" s="32"/>
      <c r="AC811" s="32"/>
      <c r="AD811" s="32"/>
      <c r="AE811" s="32"/>
      <c r="AF811" s="32"/>
      <c r="AG811" s="32"/>
      <c r="AH811" s="32"/>
      <c r="AI811" s="32"/>
      <c r="AJ811" s="32"/>
    </row>
    <row r="812">
      <c r="A812" s="32"/>
      <c r="B812" s="32"/>
      <c r="C812" s="32"/>
      <c r="D812" s="32"/>
      <c r="E812" s="32"/>
      <c r="F812" s="32"/>
      <c r="G812" s="32"/>
      <c r="H812" s="32"/>
      <c r="I812" s="32"/>
      <c r="J812" s="32"/>
      <c r="K812" s="32"/>
      <c r="L812" s="32"/>
      <c r="M812" s="32"/>
      <c r="N812" s="32"/>
      <c r="O812" s="32"/>
      <c r="P812" s="32"/>
      <c r="Q812" s="32"/>
      <c r="R812" s="32"/>
      <c r="S812" s="32"/>
      <c r="T812" s="32"/>
      <c r="U812" s="32"/>
      <c r="V812" s="32"/>
      <c r="W812" s="32"/>
      <c r="X812" s="32"/>
      <c r="Y812" s="32"/>
      <c r="Z812" s="32"/>
      <c r="AA812" s="32"/>
      <c r="AB812" s="32"/>
      <c r="AC812" s="32"/>
      <c r="AD812" s="32"/>
      <c r="AE812" s="32"/>
      <c r="AF812" s="32"/>
      <c r="AG812" s="32"/>
      <c r="AH812" s="32"/>
      <c r="AI812" s="32"/>
      <c r="AJ812" s="32"/>
    </row>
    <row r="813">
      <c r="A813" s="32"/>
      <c r="B813" s="32"/>
      <c r="C813" s="32"/>
      <c r="D813" s="32"/>
      <c r="E813" s="32"/>
      <c r="F813" s="32"/>
      <c r="G813" s="32"/>
      <c r="H813" s="32"/>
      <c r="I813" s="32"/>
      <c r="J813" s="32"/>
      <c r="K813" s="32"/>
      <c r="L813" s="32"/>
      <c r="M813" s="32"/>
      <c r="N813" s="32"/>
      <c r="O813" s="32"/>
      <c r="P813" s="32"/>
      <c r="Q813" s="32"/>
      <c r="R813" s="32"/>
      <c r="S813" s="32"/>
      <c r="T813" s="32"/>
      <c r="U813" s="32"/>
      <c r="V813" s="32"/>
      <c r="W813" s="32"/>
      <c r="X813" s="32"/>
      <c r="Y813" s="32"/>
      <c r="Z813" s="32"/>
      <c r="AA813" s="32"/>
      <c r="AB813" s="32"/>
      <c r="AC813" s="32"/>
      <c r="AD813" s="32"/>
      <c r="AE813" s="32"/>
      <c r="AF813" s="32"/>
      <c r="AG813" s="32"/>
      <c r="AH813" s="32"/>
      <c r="AI813" s="32"/>
      <c r="AJ813" s="32"/>
    </row>
    <row r="814">
      <c r="A814" s="32"/>
      <c r="B814" s="32"/>
      <c r="C814" s="32"/>
      <c r="D814" s="32"/>
      <c r="E814" s="32"/>
      <c r="F814" s="32"/>
      <c r="G814" s="32"/>
      <c r="H814" s="32"/>
      <c r="I814" s="32"/>
      <c r="J814" s="32"/>
      <c r="K814" s="32"/>
      <c r="L814" s="32"/>
      <c r="M814" s="32"/>
      <c r="N814" s="32"/>
      <c r="O814" s="32"/>
      <c r="P814" s="32"/>
      <c r="Q814" s="32"/>
      <c r="R814" s="32"/>
      <c r="S814" s="32"/>
      <c r="T814" s="32"/>
      <c r="U814" s="32"/>
      <c r="V814" s="32"/>
      <c r="W814" s="32"/>
      <c r="X814" s="32"/>
      <c r="Y814" s="32"/>
      <c r="Z814" s="32"/>
      <c r="AA814" s="32"/>
      <c r="AB814" s="32"/>
      <c r="AC814" s="32"/>
      <c r="AD814" s="32"/>
      <c r="AE814" s="32"/>
      <c r="AF814" s="32"/>
      <c r="AG814" s="32"/>
      <c r="AH814" s="32"/>
      <c r="AI814" s="32"/>
      <c r="AJ814" s="32"/>
    </row>
    <row r="815">
      <c r="A815" s="32"/>
      <c r="B815" s="32"/>
      <c r="C815" s="32"/>
      <c r="D815" s="32"/>
      <c r="E815" s="32"/>
      <c r="F815" s="32"/>
      <c r="G815" s="32"/>
      <c r="H815" s="32"/>
      <c r="I815" s="32"/>
      <c r="J815" s="32"/>
      <c r="K815" s="32"/>
      <c r="L815" s="32"/>
      <c r="M815" s="32"/>
      <c r="N815" s="32"/>
      <c r="O815" s="32"/>
      <c r="P815" s="32"/>
      <c r="Q815" s="32"/>
      <c r="R815" s="32"/>
      <c r="S815" s="32"/>
      <c r="T815" s="32"/>
      <c r="U815" s="32"/>
      <c r="V815" s="32"/>
      <c r="W815" s="32"/>
      <c r="X815" s="32"/>
      <c r="Y815" s="32"/>
      <c r="Z815" s="32"/>
      <c r="AA815" s="32"/>
      <c r="AB815" s="32"/>
      <c r="AC815" s="32"/>
      <c r="AD815" s="32"/>
      <c r="AE815" s="32"/>
      <c r="AF815" s="32"/>
      <c r="AG815" s="32"/>
      <c r="AH815" s="32"/>
      <c r="AI815" s="32"/>
      <c r="AJ815" s="32"/>
    </row>
    <row r="816">
      <c r="A816" s="32"/>
      <c r="B816" s="32"/>
      <c r="C816" s="32"/>
      <c r="D816" s="32"/>
      <c r="E816" s="32"/>
      <c r="F816" s="32"/>
      <c r="G816" s="32"/>
      <c r="H816" s="32"/>
      <c r="I816" s="32"/>
      <c r="J816" s="32"/>
      <c r="K816" s="32"/>
      <c r="L816" s="32"/>
      <c r="M816" s="32"/>
      <c r="N816" s="32"/>
      <c r="O816" s="32"/>
      <c r="P816" s="32"/>
      <c r="Q816" s="32"/>
      <c r="R816" s="32"/>
      <c r="S816" s="32"/>
      <c r="T816" s="32"/>
      <c r="U816" s="32"/>
      <c r="V816" s="32"/>
      <c r="W816" s="32"/>
      <c r="X816" s="32"/>
      <c r="Y816" s="32"/>
      <c r="Z816" s="32"/>
      <c r="AA816" s="32"/>
      <c r="AB816" s="32"/>
      <c r="AC816" s="32"/>
      <c r="AD816" s="32"/>
      <c r="AE816" s="32"/>
      <c r="AF816" s="32"/>
      <c r="AG816" s="32"/>
      <c r="AH816" s="32"/>
      <c r="AI816" s="32"/>
      <c r="AJ816" s="32"/>
    </row>
    <row r="817">
      <c r="A817" s="32"/>
      <c r="B817" s="32"/>
      <c r="C817" s="32"/>
      <c r="D817" s="32"/>
      <c r="E817" s="32"/>
      <c r="F817" s="32"/>
      <c r="G817" s="32"/>
      <c r="H817" s="32"/>
      <c r="I817" s="32"/>
      <c r="J817" s="32"/>
      <c r="K817" s="32"/>
      <c r="L817" s="32"/>
      <c r="M817" s="32"/>
      <c r="N817" s="32"/>
      <c r="O817" s="32"/>
      <c r="P817" s="32"/>
      <c r="Q817" s="32"/>
      <c r="R817" s="32"/>
      <c r="S817" s="32"/>
      <c r="T817" s="32"/>
      <c r="U817" s="32"/>
      <c r="V817" s="32"/>
      <c r="W817" s="32"/>
      <c r="X817" s="32"/>
      <c r="Y817" s="32"/>
      <c r="Z817" s="32"/>
      <c r="AA817" s="32"/>
      <c r="AB817" s="32"/>
      <c r="AC817" s="32"/>
      <c r="AD817" s="32"/>
      <c r="AE817" s="32"/>
      <c r="AF817" s="32"/>
      <c r="AG817" s="32"/>
      <c r="AH817" s="32"/>
      <c r="AI817" s="32"/>
      <c r="AJ817" s="32"/>
    </row>
    <row r="818">
      <c r="A818" s="32"/>
      <c r="B818" s="32"/>
      <c r="C818" s="32"/>
      <c r="D818" s="32"/>
      <c r="E818" s="32"/>
      <c r="F818" s="32"/>
      <c r="G818" s="32"/>
      <c r="H818" s="32"/>
      <c r="I818" s="32"/>
      <c r="J818" s="32"/>
      <c r="K818" s="32"/>
      <c r="L818" s="32"/>
      <c r="M818" s="32"/>
      <c r="N818" s="32"/>
      <c r="O818" s="32"/>
      <c r="P818" s="32"/>
      <c r="Q818" s="32"/>
      <c r="R818" s="32"/>
      <c r="S818" s="32"/>
      <c r="T818" s="32"/>
      <c r="U818" s="32"/>
      <c r="V818" s="32"/>
      <c r="W818" s="32"/>
      <c r="X818" s="32"/>
      <c r="Y818" s="32"/>
      <c r="Z818" s="32"/>
      <c r="AA818" s="32"/>
      <c r="AB818" s="32"/>
      <c r="AC818" s="32"/>
      <c r="AD818" s="32"/>
      <c r="AE818" s="32"/>
      <c r="AF818" s="32"/>
      <c r="AG818" s="32"/>
      <c r="AH818" s="32"/>
      <c r="AI818" s="32"/>
      <c r="AJ818" s="32"/>
    </row>
    <row r="819">
      <c r="A819" s="32"/>
      <c r="B819" s="32"/>
      <c r="C819" s="32"/>
      <c r="D819" s="32"/>
      <c r="E819" s="32"/>
      <c r="F819" s="32"/>
      <c r="G819" s="32"/>
      <c r="H819" s="32"/>
      <c r="I819" s="32"/>
      <c r="J819" s="32"/>
      <c r="K819" s="32"/>
      <c r="L819" s="32"/>
      <c r="M819" s="32"/>
      <c r="N819" s="32"/>
      <c r="O819" s="32"/>
      <c r="P819" s="32"/>
      <c r="Q819" s="32"/>
      <c r="R819" s="32"/>
      <c r="S819" s="32"/>
      <c r="T819" s="32"/>
      <c r="U819" s="32"/>
      <c r="V819" s="32"/>
      <c r="W819" s="32"/>
      <c r="X819" s="32"/>
      <c r="Y819" s="32"/>
      <c r="Z819" s="32"/>
      <c r="AA819" s="32"/>
      <c r="AB819" s="32"/>
      <c r="AC819" s="32"/>
      <c r="AD819" s="32"/>
      <c r="AE819" s="32"/>
      <c r="AF819" s="32"/>
      <c r="AG819" s="32"/>
      <c r="AH819" s="32"/>
      <c r="AI819" s="32"/>
      <c r="AJ819" s="32"/>
    </row>
    <row r="820">
      <c r="A820" s="32"/>
      <c r="B820" s="32"/>
      <c r="C820" s="32"/>
      <c r="D820" s="32"/>
      <c r="E820" s="32"/>
      <c r="F820" s="32"/>
      <c r="G820" s="32"/>
      <c r="H820" s="32"/>
      <c r="I820" s="32"/>
      <c r="J820" s="32"/>
      <c r="K820" s="32"/>
      <c r="L820" s="32"/>
      <c r="M820" s="32"/>
      <c r="N820" s="32"/>
      <c r="O820" s="32"/>
      <c r="P820" s="32"/>
      <c r="Q820" s="32"/>
      <c r="R820" s="32"/>
      <c r="S820" s="32"/>
      <c r="T820" s="32"/>
      <c r="U820" s="32"/>
      <c r="V820" s="32"/>
      <c r="W820" s="32"/>
      <c r="X820" s="32"/>
      <c r="Y820" s="32"/>
      <c r="Z820" s="32"/>
      <c r="AA820" s="32"/>
      <c r="AB820" s="32"/>
      <c r="AC820" s="32"/>
      <c r="AD820" s="32"/>
      <c r="AE820" s="32"/>
      <c r="AF820" s="32"/>
      <c r="AG820" s="32"/>
      <c r="AH820" s="32"/>
      <c r="AI820" s="32"/>
      <c r="AJ820" s="32"/>
    </row>
    <row r="821">
      <c r="A821" s="32"/>
      <c r="B821" s="32"/>
      <c r="C821" s="32"/>
      <c r="D821" s="32"/>
      <c r="E821" s="32"/>
      <c r="F821" s="32"/>
      <c r="G821" s="32"/>
      <c r="H821" s="32"/>
      <c r="I821" s="32"/>
      <c r="J821" s="32"/>
      <c r="K821" s="32"/>
      <c r="L821" s="32"/>
      <c r="M821" s="32"/>
      <c r="N821" s="32"/>
      <c r="O821" s="32"/>
      <c r="P821" s="32"/>
      <c r="Q821" s="32"/>
      <c r="R821" s="32"/>
      <c r="S821" s="32"/>
      <c r="T821" s="32"/>
      <c r="U821" s="32"/>
      <c r="V821" s="32"/>
      <c r="W821" s="32"/>
      <c r="X821" s="32"/>
      <c r="Y821" s="32"/>
      <c r="Z821" s="32"/>
      <c r="AA821" s="32"/>
      <c r="AB821" s="32"/>
      <c r="AC821" s="32"/>
      <c r="AD821" s="32"/>
      <c r="AE821" s="32"/>
      <c r="AF821" s="32"/>
      <c r="AG821" s="32"/>
      <c r="AH821" s="32"/>
      <c r="AI821" s="32"/>
      <c r="AJ821" s="32"/>
    </row>
    <row r="822">
      <c r="A822" s="32"/>
      <c r="B822" s="32"/>
      <c r="C822" s="32"/>
      <c r="D822" s="32"/>
      <c r="E822" s="32"/>
      <c r="F822" s="32"/>
      <c r="G822" s="32"/>
      <c r="H822" s="32"/>
      <c r="I822" s="32"/>
      <c r="J822" s="32"/>
      <c r="K822" s="32"/>
      <c r="L822" s="32"/>
      <c r="M822" s="32"/>
      <c r="N822" s="32"/>
      <c r="O822" s="32"/>
      <c r="P822" s="32"/>
      <c r="Q822" s="32"/>
      <c r="R822" s="32"/>
      <c r="S822" s="32"/>
      <c r="T822" s="32"/>
      <c r="U822" s="32"/>
      <c r="V822" s="32"/>
      <c r="W822" s="32"/>
      <c r="X822" s="32"/>
      <c r="Y822" s="32"/>
      <c r="Z822" s="32"/>
      <c r="AA822" s="32"/>
      <c r="AB822" s="32"/>
      <c r="AC822" s="32"/>
      <c r="AD822" s="32"/>
      <c r="AE822" s="32"/>
      <c r="AF822" s="32"/>
      <c r="AG822" s="32"/>
      <c r="AH822" s="32"/>
      <c r="AI822" s="32"/>
      <c r="AJ822" s="32"/>
    </row>
    <row r="823">
      <c r="A823" s="32"/>
      <c r="B823" s="32"/>
      <c r="C823" s="32"/>
      <c r="D823" s="32"/>
      <c r="E823" s="32"/>
      <c r="F823" s="32"/>
      <c r="G823" s="32"/>
      <c r="H823" s="32"/>
      <c r="I823" s="32"/>
      <c r="J823" s="32"/>
      <c r="K823" s="32"/>
      <c r="L823" s="32"/>
      <c r="M823" s="32"/>
      <c r="N823" s="32"/>
      <c r="O823" s="32"/>
      <c r="P823" s="32"/>
      <c r="Q823" s="32"/>
      <c r="R823" s="32"/>
      <c r="S823" s="32"/>
      <c r="T823" s="32"/>
      <c r="U823" s="32"/>
      <c r="V823" s="32"/>
      <c r="W823" s="32"/>
      <c r="X823" s="32"/>
      <c r="Y823" s="32"/>
      <c r="Z823" s="32"/>
      <c r="AA823" s="32"/>
      <c r="AB823" s="32"/>
      <c r="AC823" s="32"/>
      <c r="AD823" s="32"/>
      <c r="AE823" s="32"/>
      <c r="AF823" s="32"/>
      <c r="AG823" s="32"/>
      <c r="AH823" s="32"/>
      <c r="AI823" s="32"/>
      <c r="AJ823" s="32"/>
    </row>
    <row r="824">
      <c r="A824" s="32"/>
      <c r="B824" s="32"/>
      <c r="C824" s="32"/>
      <c r="D824" s="32"/>
      <c r="E824" s="32"/>
      <c r="F824" s="32"/>
      <c r="G824" s="32"/>
      <c r="H824" s="32"/>
      <c r="I824" s="32"/>
      <c r="J824" s="32"/>
      <c r="K824" s="32"/>
      <c r="L824" s="32"/>
      <c r="M824" s="32"/>
      <c r="N824" s="32"/>
      <c r="O824" s="32"/>
      <c r="P824" s="32"/>
      <c r="Q824" s="32"/>
      <c r="R824" s="32"/>
      <c r="S824" s="32"/>
      <c r="T824" s="32"/>
      <c r="U824" s="32"/>
      <c r="V824" s="32"/>
      <c r="W824" s="32"/>
      <c r="X824" s="32"/>
      <c r="Y824" s="32"/>
      <c r="Z824" s="32"/>
      <c r="AA824" s="32"/>
      <c r="AB824" s="32"/>
      <c r="AC824" s="32"/>
      <c r="AD824" s="32"/>
      <c r="AE824" s="32"/>
      <c r="AF824" s="32"/>
      <c r="AG824" s="32"/>
      <c r="AH824" s="32"/>
      <c r="AI824" s="32"/>
      <c r="AJ824" s="32"/>
    </row>
    <row r="825">
      <c r="A825" s="32"/>
      <c r="B825" s="32"/>
      <c r="C825" s="32"/>
      <c r="D825" s="32"/>
      <c r="E825" s="32"/>
      <c r="F825" s="32"/>
      <c r="G825" s="32"/>
      <c r="H825" s="32"/>
      <c r="I825" s="32"/>
      <c r="J825" s="32"/>
      <c r="K825" s="32"/>
      <c r="L825" s="32"/>
      <c r="M825" s="32"/>
      <c r="N825" s="32"/>
      <c r="O825" s="32"/>
      <c r="P825" s="32"/>
      <c r="Q825" s="32"/>
      <c r="R825" s="32"/>
      <c r="S825" s="32"/>
      <c r="T825" s="32"/>
      <c r="U825" s="32"/>
      <c r="V825" s="32"/>
      <c r="W825" s="32"/>
      <c r="X825" s="32"/>
      <c r="Y825" s="32"/>
      <c r="Z825" s="32"/>
      <c r="AA825" s="32"/>
      <c r="AB825" s="32"/>
      <c r="AC825" s="32"/>
      <c r="AD825" s="32"/>
      <c r="AE825" s="32"/>
      <c r="AF825" s="32"/>
      <c r="AG825" s="32"/>
      <c r="AH825" s="32"/>
      <c r="AI825" s="32"/>
      <c r="AJ825" s="32"/>
    </row>
    <row r="826">
      <c r="A826" s="32"/>
      <c r="B826" s="32"/>
      <c r="C826" s="32"/>
      <c r="D826" s="32"/>
      <c r="E826" s="32"/>
      <c r="F826" s="32"/>
      <c r="G826" s="32"/>
      <c r="H826" s="32"/>
      <c r="I826" s="32"/>
      <c r="J826" s="32"/>
      <c r="K826" s="32"/>
      <c r="L826" s="32"/>
      <c r="M826" s="32"/>
      <c r="N826" s="32"/>
      <c r="O826" s="32"/>
      <c r="P826" s="32"/>
      <c r="Q826" s="32"/>
      <c r="R826" s="32"/>
      <c r="S826" s="32"/>
      <c r="T826" s="32"/>
      <c r="U826" s="32"/>
      <c r="V826" s="32"/>
      <c r="W826" s="32"/>
      <c r="X826" s="32"/>
      <c r="Y826" s="32"/>
      <c r="Z826" s="32"/>
      <c r="AA826" s="32"/>
      <c r="AB826" s="32"/>
      <c r="AC826" s="32"/>
      <c r="AD826" s="32"/>
      <c r="AE826" s="32"/>
      <c r="AF826" s="32"/>
      <c r="AG826" s="32"/>
      <c r="AH826" s="32"/>
      <c r="AI826" s="32"/>
      <c r="AJ826" s="32"/>
    </row>
    <row r="827">
      <c r="A827" s="32"/>
      <c r="B827" s="32"/>
      <c r="C827" s="32"/>
      <c r="D827" s="32"/>
      <c r="E827" s="32"/>
      <c r="F827" s="32"/>
      <c r="G827" s="32"/>
      <c r="H827" s="32"/>
      <c r="I827" s="32"/>
      <c r="J827" s="32"/>
      <c r="K827" s="32"/>
      <c r="L827" s="32"/>
      <c r="M827" s="32"/>
      <c r="N827" s="32"/>
      <c r="O827" s="32"/>
      <c r="P827" s="32"/>
      <c r="Q827" s="32"/>
      <c r="R827" s="32"/>
      <c r="S827" s="32"/>
      <c r="T827" s="32"/>
      <c r="U827" s="32"/>
      <c r="V827" s="32"/>
      <c r="W827" s="32"/>
      <c r="X827" s="32"/>
      <c r="Y827" s="32"/>
      <c r="Z827" s="32"/>
      <c r="AA827" s="32"/>
      <c r="AB827" s="32"/>
      <c r="AC827" s="32"/>
      <c r="AD827" s="32"/>
      <c r="AE827" s="32"/>
      <c r="AF827" s="32"/>
      <c r="AG827" s="32"/>
      <c r="AH827" s="32"/>
      <c r="AI827" s="32"/>
      <c r="AJ827" s="32"/>
    </row>
    <row r="828">
      <c r="A828" s="32"/>
      <c r="B828" s="32"/>
      <c r="C828" s="32"/>
      <c r="D828" s="32"/>
      <c r="E828" s="32"/>
      <c r="F828" s="32"/>
      <c r="G828" s="32"/>
      <c r="H828" s="32"/>
      <c r="I828" s="32"/>
      <c r="J828" s="32"/>
      <c r="K828" s="32"/>
      <c r="L828" s="32"/>
      <c r="M828" s="32"/>
      <c r="N828" s="32"/>
      <c r="O828" s="32"/>
      <c r="P828" s="32"/>
      <c r="Q828" s="32"/>
      <c r="R828" s="32"/>
      <c r="S828" s="32"/>
      <c r="T828" s="32"/>
      <c r="U828" s="32"/>
      <c r="V828" s="32"/>
      <c r="W828" s="32"/>
      <c r="X828" s="32"/>
      <c r="Y828" s="32"/>
      <c r="Z828" s="32"/>
      <c r="AA828" s="32"/>
      <c r="AB828" s="32"/>
      <c r="AC828" s="32"/>
      <c r="AD828" s="32"/>
      <c r="AE828" s="32"/>
      <c r="AF828" s="32"/>
      <c r="AG828" s="32"/>
      <c r="AH828" s="32"/>
      <c r="AI828" s="32"/>
      <c r="AJ828" s="32"/>
    </row>
    <row r="829">
      <c r="A829" s="32"/>
      <c r="B829" s="32"/>
      <c r="C829" s="32"/>
      <c r="D829" s="32"/>
      <c r="E829" s="32"/>
      <c r="F829" s="32"/>
      <c r="G829" s="32"/>
      <c r="H829" s="32"/>
      <c r="I829" s="32"/>
      <c r="J829" s="32"/>
      <c r="K829" s="32"/>
      <c r="L829" s="32"/>
      <c r="M829" s="32"/>
      <c r="N829" s="32"/>
      <c r="O829" s="32"/>
      <c r="P829" s="32"/>
      <c r="Q829" s="32"/>
      <c r="R829" s="32"/>
      <c r="S829" s="32"/>
      <c r="T829" s="32"/>
      <c r="U829" s="32"/>
      <c r="V829" s="32"/>
      <c r="W829" s="32"/>
      <c r="X829" s="32"/>
      <c r="Y829" s="32"/>
      <c r="Z829" s="32"/>
      <c r="AA829" s="32"/>
      <c r="AB829" s="32"/>
      <c r="AC829" s="32"/>
      <c r="AD829" s="32"/>
      <c r="AE829" s="32"/>
      <c r="AF829" s="32"/>
      <c r="AG829" s="32"/>
      <c r="AH829" s="32"/>
      <c r="AI829" s="32"/>
      <c r="AJ829" s="32"/>
    </row>
    <row r="830">
      <c r="A830" s="32"/>
      <c r="B830" s="32"/>
      <c r="C830" s="32"/>
      <c r="D830" s="32"/>
      <c r="E830" s="32"/>
      <c r="F830" s="32"/>
      <c r="G830" s="32"/>
      <c r="H830" s="32"/>
      <c r="I830" s="32"/>
      <c r="J830" s="32"/>
      <c r="K830" s="32"/>
      <c r="L830" s="32"/>
      <c r="M830" s="32"/>
      <c r="N830" s="32"/>
      <c r="O830" s="32"/>
      <c r="P830" s="32"/>
      <c r="Q830" s="32"/>
      <c r="R830" s="32"/>
      <c r="S830" s="32"/>
      <c r="T830" s="32"/>
      <c r="U830" s="32"/>
      <c r="V830" s="32"/>
      <c r="W830" s="32"/>
      <c r="X830" s="32"/>
      <c r="Y830" s="32"/>
      <c r="Z830" s="32"/>
      <c r="AA830" s="32"/>
      <c r="AB830" s="32"/>
      <c r="AC830" s="32"/>
      <c r="AD830" s="32"/>
      <c r="AE830" s="32"/>
      <c r="AF830" s="32"/>
      <c r="AG830" s="32"/>
      <c r="AH830" s="32"/>
      <c r="AI830" s="32"/>
      <c r="AJ830" s="32"/>
    </row>
    <row r="831">
      <c r="A831" s="32"/>
      <c r="B831" s="32"/>
      <c r="C831" s="32"/>
      <c r="D831" s="32"/>
      <c r="E831" s="32"/>
      <c r="F831" s="32"/>
      <c r="G831" s="32"/>
      <c r="H831" s="32"/>
      <c r="I831" s="32"/>
      <c r="J831" s="32"/>
      <c r="K831" s="32"/>
      <c r="L831" s="32"/>
      <c r="M831" s="32"/>
      <c r="N831" s="32"/>
      <c r="O831" s="32"/>
      <c r="P831" s="32"/>
      <c r="Q831" s="32"/>
      <c r="R831" s="32"/>
      <c r="S831" s="32"/>
      <c r="T831" s="32"/>
      <c r="U831" s="32"/>
      <c r="V831" s="32"/>
      <c r="W831" s="32"/>
      <c r="X831" s="32"/>
      <c r="Y831" s="32"/>
      <c r="Z831" s="32"/>
      <c r="AA831" s="32"/>
      <c r="AB831" s="32"/>
      <c r="AC831" s="32"/>
      <c r="AD831" s="32"/>
      <c r="AE831" s="32"/>
      <c r="AF831" s="32"/>
      <c r="AG831" s="32"/>
      <c r="AH831" s="32"/>
      <c r="AI831" s="32"/>
      <c r="AJ831" s="32"/>
    </row>
    <row r="832">
      <c r="A832" s="32"/>
      <c r="B832" s="32"/>
      <c r="C832" s="32"/>
      <c r="D832" s="32"/>
      <c r="E832" s="32"/>
      <c r="F832" s="32"/>
      <c r="G832" s="32"/>
      <c r="H832" s="32"/>
      <c r="I832" s="32"/>
      <c r="J832" s="32"/>
      <c r="K832" s="32"/>
      <c r="L832" s="32"/>
      <c r="M832" s="32"/>
      <c r="N832" s="32"/>
      <c r="O832" s="32"/>
      <c r="P832" s="32"/>
      <c r="Q832" s="32"/>
      <c r="R832" s="32"/>
      <c r="S832" s="32"/>
      <c r="T832" s="32"/>
      <c r="U832" s="32"/>
      <c r="V832" s="32"/>
      <c r="W832" s="32"/>
      <c r="X832" s="32"/>
      <c r="Y832" s="32"/>
      <c r="Z832" s="32"/>
      <c r="AA832" s="32"/>
      <c r="AB832" s="32"/>
      <c r="AC832" s="32"/>
      <c r="AD832" s="32"/>
      <c r="AE832" s="32"/>
      <c r="AF832" s="32"/>
      <c r="AG832" s="32"/>
      <c r="AH832" s="32"/>
      <c r="AI832" s="32"/>
      <c r="AJ832" s="32"/>
    </row>
    <row r="833">
      <c r="A833" s="32"/>
      <c r="B833" s="32"/>
      <c r="C833" s="32"/>
      <c r="D833" s="32"/>
      <c r="E833" s="32"/>
      <c r="F833" s="32"/>
      <c r="G833" s="32"/>
      <c r="H833" s="32"/>
      <c r="I833" s="32"/>
      <c r="J833" s="32"/>
      <c r="K833" s="32"/>
      <c r="L833" s="32"/>
      <c r="M833" s="32"/>
      <c r="N833" s="32"/>
      <c r="O833" s="32"/>
      <c r="P833" s="32"/>
      <c r="Q833" s="32"/>
      <c r="R833" s="32"/>
      <c r="S833" s="32"/>
      <c r="T833" s="32"/>
      <c r="U833" s="32"/>
      <c r="V833" s="32"/>
      <c r="W833" s="32"/>
      <c r="X833" s="32"/>
      <c r="Y833" s="32"/>
      <c r="Z833" s="32"/>
      <c r="AA833" s="32"/>
      <c r="AB833" s="32"/>
      <c r="AC833" s="32"/>
      <c r="AD833" s="32"/>
      <c r="AE833" s="32"/>
      <c r="AF833" s="32"/>
      <c r="AG833" s="32"/>
      <c r="AH833" s="32"/>
      <c r="AI833" s="32"/>
      <c r="AJ833" s="32"/>
    </row>
    <row r="834">
      <c r="A834" s="32"/>
      <c r="B834" s="32"/>
      <c r="C834" s="32"/>
      <c r="D834" s="32"/>
      <c r="E834" s="32"/>
      <c r="F834" s="32"/>
      <c r="G834" s="32"/>
      <c r="H834" s="32"/>
      <c r="I834" s="32"/>
      <c r="J834" s="32"/>
      <c r="K834" s="32"/>
      <c r="L834" s="32"/>
      <c r="M834" s="32"/>
      <c r="N834" s="32"/>
      <c r="O834" s="32"/>
      <c r="P834" s="32"/>
      <c r="Q834" s="32"/>
      <c r="R834" s="32"/>
      <c r="S834" s="32"/>
      <c r="T834" s="32"/>
      <c r="U834" s="32"/>
      <c r="V834" s="32"/>
      <c r="W834" s="32"/>
      <c r="X834" s="32"/>
      <c r="Y834" s="32"/>
      <c r="Z834" s="32"/>
      <c r="AA834" s="32"/>
      <c r="AB834" s="32"/>
      <c r="AC834" s="32"/>
      <c r="AD834" s="32"/>
      <c r="AE834" s="32"/>
      <c r="AF834" s="32"/>
      <c r="AG834" s="32"/>
      <c r="AH834" s="32"/>
      <c r="AI834" s="32"/>
      <c r="AJ834" s="32"/>
    </row>
    <row r="835">
      <c r="A835" s="32"/>
      <c r="B835" s="32"/>
      <c r="C835" s="32"/>
      <c r="D835" s="32"/>
      <c r="E835" s="32"/>
      <c r="F835" s="32"/>
      <c r="G835" s="32"/>
      <c r="H835" s="32"/>
      <c r="I835" s="32"/>
      <c r="J835" s="32"/>
      <c r="K835" s="32"/>
      <c r="L835" s="32"/>
      <c r="M835" s="32"/>
      <c r="N835" s="32"/>
      <c r="O835" s="32"/>
      <c r="P835" s="32"/>
      <c r="Q835" s="32"/>
      <c r="R835" s="32"/>
      <c r="S835" s="32"/>
      <c r="T835" s="32"/>
      <c r="U835" s="32"/>
      <c r="V835" s="32"/>
      <c r="W835" s="32"/>
      <c r="X835" s="32"/>
      <c r="Y835" s="32"/>
      <c r="Z835" s="32"/>
      <c r="AA835" s="32"/>
      <c r="AB835" s="32"/>
      <c r="AC835" s="32"/>
      <c r="AD835" s="32"/>
      <c r="AE835" s="32"/>
      <c r="AF835" s="32"/>
      <c r="AG835" s="32"/>
      <c r="AH835" s="32"/>
      <c r="AI835" s="32"/>
      <c r="AJ835" s="32"/>
    </row>
    <row r="836">
      <c r="A836" s="32"/>
      <c r="B836" s="32"/>
      <c r="C836" s="32"/>
      <c r="D836" s="32"/>
      <c r="E836" s="32"/>
      <c r="F836" s="32"/>
      <c r="G836" s="32"/>
      <c r="H836" s="32"/>
      <c r="I836" s="32"/>
      <c r="J836" s="32"/>
      <c r="K836" s="32"/>
      <c r="L836" s="32"/>
      <c r="M836" s="32"/>
      <c r="N836" s="32"/>
      <c r="O836" s="32"/>
      <c r="P836" s="32"/>
      <c r="Q836" s="32"/>
      <c r="R836" s="32"/>
      <c r="S836" s="32"/>
      <c r="T836" s="32"/>
      <c r="U836" s="32"/>
      <c r="V836" s="32"/>
      <c r="W836" s="32"/>
      <c r="X836" s="32"/>
      <c r="Y836" s="32"/>
      <c r="Z836" s="32"/>
      <c r="AA836" s="32"/>
      <c r="AB836" s="32"/>
      <c r="AC836" s="32"/>
      <c r="AD836" s="32"/>
      <c r="AE836" s="32"/>
      <c r="AF836" s="32"/>
      <c r="AG836" s="32"/>
      <c r="AH836" s="32"/>
      <c r="AI836" s="32"/>
      <c r="AJ836" s="32"/>
    </row>
    <row r="837">
      <c r="A837" s="32"/>
      <c r="B837" s="32"/>
      <c r="C837" s="32"/>
      <c r="D837" s="32"/>
      <c r="E837" s="32"/>
      <c r="F837" s="32"/>
      <c r="G837" s="32"/>
      <c r="H837" s="32"/>
      <c r="I837" s="32"/>
      <c r="J837" s="32"/>
      <c r="K837" s="32"/>
      <c r="L837" s="32"/>
      <c r="M837" s="32"/>
      <c r="N837" s="32"/>
      <c r="O837" s="32"/>
      <c r="P837" s="32"/>
      <c r="Q837" s="32"/>
      <c r="R837" s="32"/>
      <c r="S837" s="32"/>
      <c r="T837" s="32"/>
      <c r="U837" s="32"/>
      <c r="V837" s="32"/>
      <c r="W837" s="32"/>
      <c r="X837" s="32"/>
      <c r="Y837" s="32"/>
      <c r="Z837" s="32"/>
      <c r="AA837" s="32"/>
      <c r="AB837" s="32"/>
      <c r="AC837" s="32"/>
      <c r="AD837" s="32"/>
      <c r="AE837" s="32"/>
      <c r="AF837" s="32"/>
      <c r="AG837" s="32"/>
      <c r="AH837" s="32"/>
      <c r="AI837" s="32"/>
      <c r="AJ837" s="32"/>
    </row>
    <row r="838">
      <c r="A838" s="32"/>
      <c r="B838" s="32"/>
      <c r="C838" s="32"/>
      <c r="D838" s="32"/>
      <c r="E838" s="32"/>
      <c r="F838" s="32"/>
      <c r="G838" s="32"/>
      <c r="H838" s="32"/>
      <c r="I838" s="32"/>
      <c r="J838" s="32"/>
      <c r="K838" s="32"/>
      <c r="L838" s="32"/>
      <c r="M838" s="32"/>
      <c r="N838" s="32"/>
      <c r="O838" s="32"/>
      <c r="P838" s="32"/>
      <c r="Q838" s="32"/>
      <c r="R838" s="32"/>
      <c r="S838" s="32"/>
      <c r="T838" s="32"/>
      <c r="U838" s="32"/>
      <c r="V838" s="32"/>
      <c r="W838" s="32"/>
      <c r="X838" s="32"/>
      <c r="Y838" s="32"/>
      <c r="Z838" s="32"/>
      <c r="AA838" s="32"/>
      <c r="AB838" s="32"/>
      <c r="AC838" s="32"/>
      <c r="AD838" s="32"/>
      <c r="AE838" s="32"/>
      <c r="AF838" s="32"/>
      <c r="AG838" s="32"/>
      <c r="AH838" s="32"/>
      <c r="AI838" s="32"/>
      <c r="AJ838" s="32"/>
    </row>
    <row r="839">
      <c r="A839" s="32"/>
      <c r="B839" s="32"/>
      <c r="C839" s="32"/>
      <c r="D839" s="32"/>
      <c r="E839" s="32"/>
      <c r="F839" s="32"/>
      <c r="G839" s="32"/>
      <c r="H839" s="32"/>
      <c r="I839" s="32"/>
      <c r="J839" s="32"/>
      <c r="K839" s="32"/>
      <c r="L839" s="32"/>
      <c r="M839" s="32"/>
      <c r="N839" s="32"/>
      <c r="O839" s="32"/>
      <c r="P839" s="32"/>
      <c r="Q839" s="32"/>
      <c r="R839" s="32"/>
      <c r="S839" s="32"/>
      <c r="T839" s="32"/>
      <c r="U839" s="32"/>
      <c r="V839" s="32"/>
      <c r="W839" s="32"/>
      <c r="X839" s="32"/>
      <c r="Y839" s="32"/>
      <c r="Z839" s="32"/>
      <c r="AA839" s="32"/>
      <c r="AB839" s="32"/>
      <c r="AC839" s="32"/>
      <c r="AD839" s="32"/>
      <c r="AE839" s="32"/>
      <c r="AF839" s="32"/>
      <c r="AG839" s="32"/>
      <c r="AH839" s="32"/>
      <c r="AI839" s="32"/>
      <c r="AJ839" s="32"/>
    </row>
    <row r="840">
      <c r="A840" s="32"/>
      <c r="B840" s="32"/>
      <c r="C840" s="32"/>
      <c r="D840" s="32"/>
      <c r="E840" s="32"/>
      <c r="F840" s="32"/>
      <c r="G840" s="32"/>
      <c r="H840" s="32"/>
      <c r="I840" s="32"/>
      <c r="J840" s="32"/>
      <c r="K840" s="32"/>
      <c r="L840" s="32"/>
      <c r="M840" s="32"/>
      <c r="N840" s="32"/>
      <c r="O840" s="32"/>
      <c r="P840" s="32"/>
      <c r="Q840" s="32"/>
      <c r="R840" s="32"/>
      <c r="S840" s="32"/>
      <c r="T840" s="32"/>
      <c r="U840" s="32"/>
      <c r="V840" s="32"/>
      <c r="W840" s="32"/>
      <c r="X840" s="32"/>
      <c r="Y840" s="32"/>
      <c r="Z840" s="32"/>
      <c r="AA840" s="32"/>
      <c r="AB840" s="32"/>
      <c r="AC840" s="32"/>
      <c r="AD840" s="32"/>
      <c r="AE840" s="32"/>
      <c r="AF840" s="32"/>
      <c r="AG840" s="32"/>
      <c r="AH840" s="32"/>
      <c r="AI840" s="32"/>
      <c r="AJ840" s="32"/>
    </row>
    <row r="841">
      <c r="A841" s="32"/>
      <c r="B841" s="32"/>
      <c r="C841" s="32"/>
      <c r="D841" s="32"/>
      <c r="E841" s="32"/>
      <c r="F841" s="32"/>
      <c r="G841" s="32"/>
      <c r="H841" s="32"/>
      <c r="I841" s="32"/>
      <c r="J841" s="32"/>
      <c r="K841" s="32"/>
      <c r="L841" s="32"/>
      <c r="M841" s="32"/>
      <c r="N841" s="32"/>
      <c r="O841" s="32"/>
      <c r="P841" s="32"/>
      <c r="Q841" s="32"/>
      <c r="R841" s="32"/>
      <c r="S841" s="32"/>
      <c r="T841" s="32"/>
      <c r="U841" s="32"/>
      <c r="V841" s="32"/>
      <c r="W841" s="32"/>
      <c r="X841" s="32"/>
      <c r="Y841" s="32"/>
      <c r="Z841" s="32"/>
      <c r="AA841" s="32"/>
      <c r="AB841" s="32"/>
      <c r="AC841" s="32"/>
      <c r="AD841" s="32"/>
      <c r="AE841" s="32"/>
      <c r="AF841" s="32"/>
      <c r="AG841" s="32"/>
      <c r="AH841" s="32"/>
      <c r="AI841" s="32"/>
      <c r="AJ841" s="32"/>
    </row>
    <row r="842">
      <c r="A842" s="32"/>
      <c r="B842" s="32"/>
      <c r="C842" s="32"/>
      <c r="D842" s="32"/>
      <c r="E842" s="32"/>
      <c r="F842" s="32"/>
      <c r="G842" s="32"/>
      <c r="H842" s="32"/>
      <c r="I842" s="32"/>
      <c r="J842" s="32"/>
      <c r="K842" s="32"/>
      <c r="L842" s="32"/>
      <c r="M842" s="32"/>
      <c r="N842" s="32"/>
      <c r="O842" s="32"/>
      <c r="P842" s="32"/>
      <c r="Q842" s="32"/>
      <c r="R842" s="32"/>
      <c r="S842" s="32"/>
      <c r="T842" s="32"/>
      <c r="U842" s="32"/>
      <c r="V842" s="32"/>
      <c r="W842" s="32"/>
      <c r="X842" s="32"/>
      <c r="Y842" s="32"/>
      <c r="Z842" s="32"/>
      <c r="AA842" s="32"/>
      <c r="AB842" s="32"/>
      <c r="AC842" s="32"/>
      <c r="AD842" s="32"/>
      <c r="AE842" s="32"/>
      <c r="AF842" s="32"/>
      <c r="AG842" s="32"/>
      <c r="AH842" s="32"/>
      <c r="AI842" s="32"/>
      <c r="AJ842" s="32"/>
    </row>
    <row r="843">
      <c r="A843" s="32"/>
      <c r="B843" s="32"/>
      <c r="C843" s="32"/>
      <c r="D843" s="32"/>
      <c r="E843" s="32"/>
      <c r="F843" s="32"/>
      <c r="G843" s="32"/>
      <c r="H843" s="32"/>
      <c r="I843" s="32"/>
      <c r="J843" s="32"/>
      <c r="K843" s="32"/>
      <c r="L843" s="32"/>
      <c r="M843" s="32"/>
      <c r="N843" s="32"/>
      <c r="O843" s="32"/>
      <c r="P843" s="32"/>
      <c r="Q843" s="32"/>
      <c r="R843" s="32"/>
      <c r="S843" s="32"/>
      <c r="T843" s="32"/>
      <c r="U843" s="32"/>
      <c r="V843" s="32"/>
      <c r="W843" s="32"/>
      <c r="X843" s="32"/>
      <c r="Y843" s="32"/>
      <c r="Z843" s="32"/>
      <c r="AA843" s="32"/>
      <c r="AB843" s="32"/>
      <c r="AC843" s="32"/>
      <c r="AD843" s="32"/>
      <c r="AE843" s="32"/>
      <c r="AF843" s="32"/>
      <c r="AG843" s="32"/>
      <c r="AH843" s="32"/>
      <c r="AI843" s="32"/>
      <c r="AJ843" s="32"/>
    </row>
    <row r="844">
      <c r="A844" s="32"/>
      <c r="B844" s="32"/>
      <c r="C844" s="32"/>
      <c r="D844" s="32"/>
      <c r="E844" s="32"/>
      <c r="F844" s="32"/>
      <c r="G844" s="32"/>
      <c r="H844" s="32"/>
      <c r="I844" s="32"/>
      <c r="J844" s="32"/>
      <c r="K844" s="32"/>
      <c r="L844" s="32"/>
      <c r="M844" s="32"/>
      <c r="N844" s="32"/>
      <c r="O844" s="32"/>
      <c r="P844" s="32"/>
      <c r="Q844" s="32"/>
      <c r="R844" s="32"/>
      <c r="S844" s="32"/>
      <c r="T844" s="32"/>
      <c r="U844" s="32"/>
      <c r="V844" s="32"/>
      <c r="W844" s="32"/>
      <c r="X844" s="32"/>
      <c r="Y844" s="32"/>
      <c r="Z844" s="32"/>
      <c r="AA844" s="32"/>
      <c r="AB844" s="32"/>
      <c r="AC844" s="32"/>
      <c r="AD844" s="32"/>
      <c r="AE844" s="32"/>
      <c r="AF844" s="32"/>
      <c r="AG844" s="32"/>
      <c r="AH844" s="32"/>
      <c r="AI844" s="32"/>
      <c r="AJ844" s="32"/>
    </row>
    <row r="845">
      <c r="A845" s="32"/>
      <c r="B845" s="32"/>
      <c r="C845" s="32"/>
      <c r="D845" s="32"/>
      <c r="E845" s="32"/>
      <c r="F845" s="32"/>
      <c r="G845" s="32"/>
      <c r="H845" s="32"/>
      <c r="I845" s="32"/>
      <c r="J845" s="32"/>
      <c r="K845" s="32"/>
      <c r="L845" s="32"/>
      <c r="M845" s="32"/>
      <c r="N845" s="32"/>
      <c r="O845" s="32"/>
      <c r="P845" s="32"/>
      <c r="Q845" s="32"/>
      <c r="R845" s="32"/>
      <c r="S845" s="32"/>
      <c r="T845" s="32"/>
      <c r="U845" s="32"/>
      <c r="V845" s="32"/>
      <c r="W845" s="32"/>
      <c r="X845" s="32"/>
      <c r="Y845" s="32"/>
      <c r="Z845" s="32"/>
      <c r="AA845" s="32"/>
      <c r="AB845" s="32"/>
      <c r="AC845" s="32"/>
      <c r="AD845" s="32"/>
      <c r="AE845" s="32"/>
      <c r="AF845" s="32"/>
      <c r="AG845" s="32"/>
      <c r="AH845" s="32"/>
      <c r="AI845" s="32"/>
      <c r="AJ845" s="32"/>
    </row>
    <row r="846">
      <c r="A846" s="32"/>
      <c r="B846" s="32"/>
      <c r="C846" s="32"/>
      <c r="D846" s="32"/>
      <c r="E846" s="32"/>
      <c r="F846" s="32"/>
      <c r="G846" s="32"/>
      <c r="H846" s="32"/>
      <c r="I846" s="32"/>
      <c r="J846" s="32"/>
      <c r="K846" s="32"/>
      <c r="L846" s="32"/>
      <c r="M846" s="32"/>
      <c r="N846" s="32"/>
      <c r="O846" s="32"/>
      <c r="P846" s="32"/>
      <c r="Q846" s="32"/>
      <c r="R846" s="32"/>
      <c r="S846" s="32"/>
      <c r="T846" s="32"/>
      <c r="U846" s="32"/>
      <c r="V846" s="32"/>
      <c r="W846" s="32"/>
      <c r="X846" s="32"/>
      <c r="Y846" s="32"/>
      <c r="Z846" s="32"/>
      <c r="AA846" s="32"/>
      <c r="AB846" s="32"/>
      <c r="AC846" s="32"/>
      <c r="AD846" s="32"/>
      <c r="AE846" s="32"/>
      <c r="AF846" s="32"/>
      <c r="AG846" s="32"/>
      <c r="AH846" s="32"/>
      <c r="AI846" s="32"/>
      <c r="AJ846" s="32"/>
    </row>
    <row r="847">
      <c r="A847" s="32"/>
      <c r="B847" s="32"/>
      <c r="C847" s="32"/>
      <c r="D847" s="32"/>
      <c r="E847" s="32"/>
      <c r="F847" s="32"/>
      <c r="G847" s="32"/>
      <c r="H847" s="32"/>
      <c r="I847" s="32"/>
      <c r="J847" s="32"/>
      <c r="K847" s="32"/>
      <c r="L847" s="32"/>
      <c r="M847" s="32"/>
      <c r="N847" s="32"/>
      <c r="O847" s="32"/>
      <c r="P847" s="32"/>
      <c r="Q847" s="32"/>
      <c r="R847" s="32"/>
      <c r="S847" s="32"/>
      <c r="T847" s="32"/>
      <c r="U847" s="32"/>
      <c r="V847" s="32"/>
      <c r="W847" s="32"/>
      <c r="X847" s="32"/>
      <c r="Y847" s="32"/>
      <c r="Z847" s="32"/>
      <c r="AA847" s="32"/>
      <c r="AB847" s="32"/>
      <c r="AC847" s="32"/>
      <c r="AD847" s="32"/>
      <c r="AE847" s="32"/>
      <c r="AF847" s="32"/>
      <c r="AG847" s="32"/>
      <c r="AH847" s="32"/>
      <c r="AI847" s="32"/>
      <c r="AJ847" s="32"/>
    </row>
    <row r="848">
      <c r="A848" s="32"/>
      <c r="B848" s="32"/>
      <c r="C848" s="32"/>
      <c r="D848" s="32"/>
      <c r="E848" s="32"/>
      <c r="F848" s="32"/>
      <c r="G848" s="32"/>
      <c r="H848" s="32"/>
      <c r="I848" s="32"/>
      <c r="J848" s="32"/>
      <c r="K848" s="32"/>
      <c r="L848" s="32"/>
      <c r="M848" s="32"/>
      <c r="N848" s="32"/>
      <c r="O848" s="32"/>
      <c r="P848" s="32"/>
      <c r="Q848" s="32"/>
      <c r="R848" s="32"/>
      <c r="S848" s="32"/>
      <c r="T848" s="32"/>
      <c r="U848" s="32"/>
      <c r="V848" s="32"/>
      <c r="W848" s="32"/>
      <c r="X848" s="32"/>
      <c r="Y848" s="32"/>
      <c r="Z848" s="32"/>
      <c r="AA848" s="32"/>
      <c r="AB848" s="32"/>
      <c r="AC848" s="32"/>
      <c r="AD848" s="32"/>
      <c r="AE848" s="32"/>
      <c r="AF848" s="32"/>
      <c r="AG848" s="32"/>
      <c r="AH848" s="32"/>
      <c r="AI848" s="32"/>
      <c r="AJ848" s="32"/>
    </row>
    <row r="849">
      <c r="A849" s="32"/>
      <c r="B849" s="32"/>
      <c r="C849" s="32"/>
      <c r="D849" s="32"/>
      <c r="E849" s="32"/>
      <c r="F849" s="32"/>
      <c r="G849" s="32"/>
      <c r="H849" s="32"/>
      <c r="I849" s="32"/>
      <c r="J849" s="32"/>
      <c r="K849" s="32"/>
      <c r="L849" s="32"/>
      <c r="M849" s="32"/>
      <c r="N849" s="32"/>
      <c r="O849" s="32"/>
      <c r="P849" s="32"/>
      <c r="Q849" s="32"/>
      <c r="R849" s="32"/>
      <c r="S849" s="32"/>
      <c r="T849" s="32"/>
      <c r="U849" s="32"/>
      <c r="V849" s="32"/>
      <c r="W849" s="32"/>
      <c r="X849" s="32"/>
      <c r="Y849" s="32"/>
      <c r="Z849" s="32"/>
      <c r="AA849" s="32"/>
      <c r="AB849" s="32"/>
      <c r="AC849" s="32"/>
      <c r="AD849" s="32"/>
      <c r="AE849" s="32"/>
      <c r="AF849" s="32"/>
      <c r="AG849" s="32"/>
      <c r="AH849" s="32"/>
      <c r="AI849" s="32"/>
      <c r="AJ849" s="32"/>
    </row>
    <row r="850">
      <c r="A850" s="32"/>
      <c r="B850" s="32"/>
      <c r="C850" s="32"/>
      <c r="D850" s="32"/>
      <c r="E850" s="32"/>
      <c r="F850" s="32"/>
      <c r="G850" s="32"/>
      <c r="H850" s="32"/>
      <c r="I850" s="32"/>
      <c r="J850" s="32"/>
      <c r="K850" s="32"/>
      <c r="L850" s="32"/>
      <c r="M850" s="32"/>
      <c r="N850" s="32"/>
      <c r="O850" s="32"/>
      <c r="P850" s="32"/>
      <c r="Q850" s="32"/>
      <c r="R850" s="32"/>
      <c r="S850" s="32"/>
      <c r="T850" s="32"/>
      <c r="U850" s="32"/>
      <c r="V850" s="32"/>
      <c r="W850" s="32"/>
      <c r="X850" s="32"/>
      <c r="Y850" s="32"/>
      <c r="Z850" s="32"/>
      <c r="AA850" s="32"/>
      <c r="AB850" s="32"/>
      <c r="AC850" s="32"/>
      <c r="AD850" s="32"/>
      <c r="AE850" s="32"/>
      <c r="AF850" s="32"/>
      <c r="AG850" s="32"/>
      <c r="AH850" s="32"/>
      <c r="AI850" s="32"/>
      <c r="AJ850" s="32"/>
    </row>
    <row r="851">
      <c r="A851" s="32"/>
      <c r="B851" s="32"/>
      <c r="C851" s="32"/>
      <c r="D851" s="32"/>
      <c r="E851" s="32"/>
      <c r="F851" s="32"/>
      <c r="G851" s="32"/>
      <c r="H851" s="32"/>
      <c r="I851" s="32"/>
      <c r="J851" s="32"/>
      <c r="K851" s="32"/>
      <c r="L851" s="32"/>
      <c r="M851" s="32"/>
      <c r="N851" s="32"/>
      <c r="O851" s="32"/>
      <c r="P851" s="32"/>
      <c r="Q851" s="32"/>
      <c r="R851" s="32"/>
      <c r="S851" s="32"/>
      <c r="T851" s="32"/>
      <c r="U851" s="32"/>
      <c r="V851" s="32"/>
      <c r="W851" s="32"/>
      <c r="X851" s="32"/>
      <c r="Y851" s="32"/>
      <c r="Z851" s="32"/>
      <c r="AA851" s="32"/>
      <c r="AB851" s="32"/>
      <c r="AC851" s="32"/>
      <c r="AD851" s="32"/>
      <c r="AE851" s="32"/>
      <c r="AF851" s="32"/>
      <c r="AG851" s="32"/>
      <c r="AH851" s="32"/>
      <c r="AI851" s="32"/>
      <c r="AJ851" s="32"/>
    </row>
    <row r="852">
      <c r="A852" s="32"/>
      <c r="B852" s="32"/>
      <c r="C852" s="32"/>
      <c r="D852" s="32"/>
      <c r="E852" s="32"/>
      <c r="F852" s="32"/>
      <c r="G852" s="32"/>
      <c r="H852" s="32"/>
      <c r="I852" s="32"/>
      <c r="J852" s="32"/>
      <c r="K852" s="32"/>
      <c r="L852" s="32"/>
      <c r="M852" s="32"/>
      <c r="N852" s="32"/>
      <c r="O852" s="32"/>
      <c r="P852" s="32"/>
      <c r="Q852" s="32"/>
      <c r="R852" s="32"/>
      <c r="S852" s="32"/>
      <c r="T852" s="32"/>
      <c r="U852" s="32"/>
      <c r="V852" s="32"/>
      <c r="W852" s="32"/>
      <c r="X852" s="32"/>
      <c r="Y852" s="32"/>
      <c r="Z852" s="32"/>
      <c r="AA852" s="32"/>
      <c r="AB852" s="32"/>
      <c r="AC852" s="32"/>
      <c r="AD852" s="32"/>
      <c r="AE852" s="32"/>
      <c r="AF852" s="32"/>
      <c r="AG852" s="32"/>
      <c r="AH852" s="32"/>
      <c r="AI852" s="32"/>
      <c r="AJ852" s="32"/>
    </row>
    <row r="853">
      <c r="A853" s="32"/>
      <c r="B853" s="32"/>
      <c r="C853" s="32"/>
      <c r="D853" s="32"/>
      <c r="E853" s="32"/>
      <c r="F853" s="32"/>
      <c r="G853" s="32"/>
      <c r="H853" s="32"/>
      <c r="I853" s="32"/>
      <c r="J853" s="32"/>
      <c r="K853" s="32"/>
      <c r="L853" s="32"/>
      <c r="M853" s="32"/>
      <c r="N853" s="32"/>
      <c r="O853" s="32"/>
      <c r="P853" s="32"/>
      <c r="Q853" s="32"/>
      <c r="R853" s="32"/>
      <c r="S853" s="32"/>
      <c r="T853" s="32"/>
      <c r="U853" s="32"/>
      <c r="V853" s="32"/>
      <c r="W853" s="32"/>
      <c r="X853" s="32"/>
      <c r="Y853" s="32"/>
      <c r="Z853" s="32"/>
      <c r="AA853" s="32"/>
      <c r="AB853" s="32"/>
      <c r="AC853" s="32"/>
      <c r="AD853" s="32"/>
      <c r="AE853" s="32"/>
      <c r="AF853" s="32"/>
      <c r="AG853" s="32"/>
      <c r="AH853" s="32"/>
      <c r="AI853" s="32"/>
      <c r="AJ853" s="32"/>
    </row>
    <row r="854">
      <c r="A854" s="32"/>
      <c r="B854" s="32"/>
      <c r="C854" s="32"/>
      <c r="D854" s="32"/>
      <c r="E854" s="32"/>
      <c r="F854" s="32"/>
      <c r="G854" s="32"/>
      <c r="H854" s="32"/>
      <c r="I854" s="32"/>
      <c r="J854" s="32"/>
      <c r="K854" s="32"/>
      <c r="L854" s="32"/>
      <c r="M854" s="32"/>
      <c r="N854" s="32"/>
      <c r="O854" s="32"/>
      <c r="P854" s="32"/>
      <c r="Q854" s="32"/>
      <c r="R854" s="32"/>
      <c r="S854" s="32"/>
      <c r="T854" s="32"/>
      <c r="U854" s="32"/>
      <c r="V854" s="32"/>
      <c r="W854" s="32"/>
      <c r="X854" s="32"/>
      <c r="Y854" s="32"/>
      <c r="Z854" s="32"/>
      <c r="AA854" s="32"/>
      <c r="AB854" s="32"/>
      <c r="AC854" s="32"/>
      <c r="AD854" s="32"/>
      <c r="AE854" s="32"/>
      <c r="AF854" s="32"/>
      <c r="AG854" s="32"/>
      <c r="AH854" s="32"/>
      <c r="AI854" s="32"/>
      <c r="AJ854" s="32"/>
    </row>
    <row r="855">
      <c r="A855" s="32"/>
      <c r="B855" s="32"/>
      <c r="C855" s="32"/>
      <c r="D855" s="32"/>
      <c r="E855" s="32"/>
      <c r="F855" s="32"/>
      <c r="G855" s="32"/>
      <c r="H855" s="32"/>
      <c r="I855" s="32"/>
      <c r="J855" s="32"/>
      <c r="K855" s="32"/>
      <c r="L855" s="32"/>
      <c r="M855" s="32"/>
      <c r="N855" s="32"/>
      <c r="O855" s="32"/>
      <c r="P855" s="32"/>
      <c r="Q855" s="32"/>
      <c r="R855" s="32"/>
      <c r="S855" s="32"/>
      <c r="T855" s="32"/>
      <c r="U855" s="32"/>
      <c r="V855" s="32"/>
      <c r="W855" s="32"/>
      <c r="X855" s="32"/>
      <c r="Y855" s="32"/>
      <c r="Z855" s="32"/>
      <c r="AA855" s="32"/>
      <c r="AB855" s="32"/>
      <c r="AC855" s="32"/>
      <c r="AD855" s="32"/>
      <c r="AE855" s="32"/>
      <c r="AF855" s="32"/>
      <c r="AG855" s="32"/>
      <c r="AH855" s="32"/>
      <c r="AI855" s="32"/>
      <c r="AJ855" s="32"/>
    </row>
    <row r="856">
      <c r="A856" s="32"/>
      <c r="B856" s="32"/>
      <c r="C856" s="32"/>
      <c r="D856" s="32"/>
      <c r="E856" s="32"/>
      <c r="F856" s="32"/>
      <c r="G856" s="32"/>
      <c r="H856" s="32"/>
      <c r="I856" s="32"/>
      <c r="J856" s="32"/>
      <c r="K856" s="32"/>
      <c r="L856" s="32"/>
      <c r="M856" s="32"/>
      <c r="N856" s="32"/>
      <c r="O856" s="32"/>
      <c r="P856" s="32"/>
      <c r="Q856" s="32"/>
      <c r="R856" s="32"/>
      <c r="S856" s="32"/>
      <c r="T856" s="32"/>
      <c r="U856" s="32"/>
      <c r="V856" s="32"/>
      <c r="W856" s="32"/>
      <c r="X856" s="32"/>
      <c r="Y856" s="32"/>
      <c r="Z856" s="32"/>
      <c r="AA856" s="32"/>
      <c r="AB856" s="32"/>
      <c r="AC856" s="32"/>
      <c r="AD856" s="32"/>
      <c r="AE856" s="32"/>
      <c r="AF856" s="32"/>
      <c r="AG856" s="32"/>
      <c r="AH856" s="32"/>
      <c r="AI856" s="32"/>
      <c r="AJ856" s="32"/>
    </row>
    <row r="857">
      <c r="A857" s="32"/>
      <c r="B857" s="32"/>
      <c r="C857" s="32"/>
      <c r="D857" s="32"/>
      <c r="E857" s="32"/>
      <c r="F857" s="32"/>
      <c r="G857" s="32"/>
      <c r="H857" s="32"/>
      <c r="I857" s="32"/>
      <c r="J857" s="32"/>
      <c r="K857" s="32"/>
      <c r="L857" s="32"/>
      <c r="M857" s="32"/>
      <c r="N857" s="32"/>
      <c r="O857" s="32"/>
      <c r="P857" s="32"/>
      <c r="Q857" s="32"/>
      <c r="R857" s="32"/>
      <c r="S857" s="32"/>
      <c r="T857" s="32"/>
      <c r="U857" s="32"/>
      <c r="V857" s="32"/>
      <c r="W857" s="32"/>
      <c r="X857" s="32"/>
      <c r="Y857" s="32"/>
      <c r="Z857" s="32"/>
      <c r="AA857" s="32"/>
      <c r="AB857" s="32"/>
      <c r="AC857" s="32"/>
      <c r="AD857" s="32"/>
      <c r="AE857" s="32"/>
      <c r="AF857" s="32"/>
      <c r="AG857" s="32"/>
      <c r="AH857" s="32"/>
      <c r="AI857" s="32"/>
      <c r="AJ857" s="32"/>
    </row>
    <row r="858">
      <c r="A858" s="32"/>
      <c r="B858" s="32"/>
      <c r="C858" s="32"/>
      <c r="D858" s="32"/>
      <c r="E858" s="32"/>
      <c r="F858" s="32"/>
      <c r="G858" s="32"/>
      <c r="H858" s="32"/>
      <c r="I858" s="32"/>
      <c r="J858" s="32"/>
      <c r="K858" s="32"/>
      <c r="L858" s="32"/>
      <c r="M858" s="32"/>
      <c r="N858" s="32"/>
      <c r="O858" s="32"/>
      <c r="P858" s="32"/>
      <c r="Q858" s="32"/>
      <c r="R858" s="32"/>
      <c r="S858" s="32"/>
      <c r="T858" s="32"/>
      <c r="U858" s="32"/>
      <c r="V858" s="32"/>
      <c r="W858" s="32"/>
      <c r="X858" s="32"/>
      <c r="Y858" s="32"/>
      <c r="Z858" s="32"/>
      <c r="AA858" s="32"/>
      <c r="AB858" s="32"/>
      <c r="AC858" s="32"/>
      <c r="AD858" s="32"/>
      <c r="AE858" s="32"/>
      <c r="AF858" s="32"/>
      <c r="AG858" s="32"/>
      <c r="AH858" s="32"/>
      <c r="AI858" s="32"/>
      <c r="AJ858" s="32"/>
    </row>
    <row r="859">
      <c r="A859" s="32"/>
      <c r="B859" s="32"/>
      <c r="C859" s="32"/>
      <c r="D859" s="32"/>
      <c r="E859" s="32"/>
      <c r="F859" s="32"/>
      <c r="G859" s="32"/>
      <c r="H859" s="32"/>
      <c r="I859" s="32"/>
      <c r="J859" s="32"/>
      <c r="K859" s="32"/>
      <c r="L859" s="32"/>
      <c r="M859" s="32"/>
      <c r="N859" s="32"/>
      <c r="O859" s="32"/>
      <c r="P859" s="32"/>
      <c r="Q859" s="32"/>
      <c r="R859" s="32"/>
      <c r="S859" s="32"/>
      <c r="T859" s="32"/>
      <c r="U859" s="32"/>
      <c r="V859" s="32"/>
      <c r="W859" s="32"/>
      <c r="X859" s="32"/>
      <c r="Y859" s="32"/>
      <c r="Z859" s="32"/>
      <c r="AA859" s="32"/>
      <c r="AB859" s="32"/>
      <c r="AC859" s="32"/>
      <c r="AD859" s="32"/>
      <c r="AE859" s="32"/>
      <c r="AF859" s="32"/>
      <c r="AG859" s="32"/>
      <c r="AH859" s="32"/>
      <c r="AI859" s="32"/>
      <c r="AJ859" s="32"/>
    </row>
    <row r="860">
      <c r="A860" s="32"/>
      <c r="B860" s="32"/>
      <c r="C860" s="32"/>
      <c r="D860" s="32"/>
      <c r="E860" s="32"/>
      <c r="F860" s="32"/>
      <c r="G860" s="32"/>
      <c r="H860" s="32"/>
      <c r="I860" s="32"/>
      <c r="J860" s="32"/>
      <c r="K860" s="32"/>
      <c r="L860" s="32"/>
      <c r="M860" s="32"/>
      <c r="N860" s="32"/>
      <c r="O860" s="32"/>
      <c r="P860" s="32"/>
      <c r="Q860" s="32"/>
      <c r="R860" s="32"/>
      <c r="S860" s="32"/>
      <c r="T860" s="32"/>
      <c r="U860" s="32"/>
      <c r="V860" s="32"/>
      <c r="W860" s="32"/>
      <c r="X860" s="32"/>
      <c r="Y860" s="32"/>
      <c r="Z860" s="32"/>
      <c r="AA860" s="32"/>
      <c r="AB860" s="32"/>
      <c r="AC860" s="32"/>
      <c r="AD860" s="32"/>
      <c r="AE860" s="32"/>
      <c r="AF860" s="32"/>
      <c r="AG860" s="32"/>
      <c r="AH860" s="32"/>
      <c r="AI860" s="32"/>
      <c r="AJ860" s="32"/>
    </row>
    <row r="861">
      <c r="A861" s="32"/>
      <c r="B861" s="32"/>
      <c r="C861" s="32"/>
      <c r="D861" s="32"/>
      <c r="E861" s="32"/>
      <c r="F861" s="32"/>
      <c r="G861" s="32"/>
      <c r="H861" s="32"/>
      <c r="I861" s="32"/>
      <c r="J861" s="32"/>
      <c r="K861" s="32"/>
      <c r="L861" s="32"/>
      <c r="M861" s="32"/>
      <c r="N861" s="32"/>
      <c r="O861" s="32"/>
      <c r="P861" s="32"/>
      <c r="Q861" s="32"/>
      <c r="R861" s="32"/>
      <c r="S861" s="32"/>
      <c r="T861" s="32"/>
      <c r="U861" s="32"/>
      <c r="V861" s="32"/>
      <c r="W861" s="32"/>
      <c r="X861" s="32"/>
      <c r="Y861" s="32"/>
      <c r="Z861" s="32"/>
      <c r="AA861" s="32"/>
      <c r="AB861" s="32"/>
      <c r="AC861" s="32"/>
      <c r="AD861" s="32"/>
      <c r="AE861" s="32"/>
      <c r="AF861" s="32"/>
      <c r="AG861" s="32"/>
      <c r="AH861" s="32"/>
      <c r="AI861" s="32"/>
      <c r="AJ861" s="32"/>
    </row>
    <row r="862">
      <c r="A862" s="32"/>
      <c r="B862" s="32"/>
      <c r="C862" s="32"/>
      <c r="D862" s="32"/>
      <c r="E862" s="32"/>
      <c r="F862" s="32"/>
      <c r="G862" s="32"/>
      <c r="H862" s="32"/>
      <c r="I862" s="32"/>
      <c r="J862" s="32"/>
      <c r="K862" s="32"/>
      <c r="L862" s="32"/>
      <c r="M862" s="32"/>
      <c r="N862" s="32"/>
      <c r="O862" s="32"/>
      <c r="P862" s="32"/>
      <c r="Q862" s="32"/>
      <c r="R862" s="32"/>
      <c r="S862" s="32"/>
      <c r="T862" s="32"/>
      <c r="U862" s="32"/>
      <c r="V862" s="32"/>
      <c r="W862" s="32"/>
      <c r="X862" s="32"/>
      <c r="Y862" s="32"/>
      <c r="Z862" s="32"/>
      <c r="AA862" s="32"/>
      <c r="AB862" s="32"/>
      <c r="AC862" s="32"/>
      <c r="AD862" s="32"/>
      <c r="AE862" s="32"/>
      <c r="AF862" s="32"/>
      <c r="AG862" s="32"/>
      <c r="AH862" s="32"/>
      <c r="AI862" s="32"/>
      <c r="AJ862" s="32"/>
    </row>
    <row r="863">
      <c r="A863" s="32"/>
      <c r="B863" s="32"/>
      <c r="C863" s="32"/>
      <c r="D863" s="32"/>
      <c r="E863" s="32"/>
      <c r="F863" s="32"/>
      <c r="G863" s="32"/>
      <c r="H863" s="32"/>
      <c r="I863" s="32"/>
      <c r="J863" s="32"/>
      <c r="K863" s="32"/>
      <c r="L863" s="32"/>
      <c r="M863" s="32"/>
      <c r="N863" s="32"/>
      <c r="O863" s="32"/>
      <c r="P863" s="32"/>
      <c r="Q863" s="32"/>
      <c r="R863" s="32"/>
      <c r="S863" s="32"/>
      <c r="T863" s="32"/>
      <c r="U863" s="32"/>
      <c r="V863" s="32"/>
      <c r="W863" s="32"/>
      <c r="X863" s="32"/>
      <c r="Y863" s="32"/>
      <c r="Z863" s="32"/>
      <c r="AA863" s="32"/>
      <c r="AB863" s="32"/>
      <c r="AC863" s="32"/>
      <c r="AD863" s="32"/>
      <c r="AE863" s="32"/>
      <c r="AF863" s="32"/>
      <c r="AG863" s="32"/>
      <c r="AH863" s="32"/>
      <c r="AI863" s="32"/>
      <c r="AJ863" s="32"/>
    </row>
    <row r="864">
      <c r="A864" s="32"/>
      <c r="B864" s="32"/>
      <c r="C864" s="32"/>
      <c r="D864" s="32"/>
      <c r="E864" s="32"/>
      <c r="F864" s="32"/>
      <c r="G864" s="32"/>
      <c r="H864" s="32"/>
      <c r="I864" s="32"/>
      <c r="J864" s="32"/>
      <c r="K864" s="32"/>
      <c r="L864" s="32"/>
      <c r="M864" s="32"/>
      <c r="N864" s="32"/>
      <c r="O864" s="32"/>
      <c r="P864" s="32"/>
      <c r="Q864" s="32"/>
      <c r="R864" s="32"/>
      <c r="S864" s="32"/>
      <c r="T864" s="32"/>
      <c r="U864" s="32"/>
      <c r="V864" s="32"/>
      <c r="W864" s="32"/>
      <c r="X864" s="32"/>
      <c r="Y864" s="32"/>
      <c r="Z864" s="32"/>
      <c r="AA864" s="32"/>
      <c r="AB864" s="32"/>
      <c r="AC864" s="32"/>
      <c r="AD864" s="32"/>
      <c r="AE864" s="32"/>
      <c r="AF864" s="32"/>
      <c r="AG864" s="32"/>
      <c r="AH864" s="32"/>
      <c r="AI864" s="32"/>
      <c r="AJ864" s="32"/>
    </row>
    <row r="865">
      <c r="A865" s="32"/>
      <c r="B865" s="32"/>
      <c r="C865" s="32"/>
      <c r="D865" s="32"/>
      <c r="E865" s="32"/>
      <c r="F865" s="32"/>
      <c r="G865" s="32"/>
      <c r="H865" s="32"/>
      <c r="I865" s="32"/>
      <c r="J865" s="32"/>
      <c r="K865" s="32"/>
      <c r="L865" s="32"/>
      <c r="M865" s="32"/>
      <c r="N865" s="32"/>
      <c r="O865" s="32"/>
      <c r="P865" s="32"/>
      <c r="Q865" s="32"/>
      <c r="R865" s="32"/>
      <c r="S865" s="32"/>
      <c r="T865" s="32"/>
      <c r="U865" s="32"/>
      <c r="V865" s="32"/>
      <c r="W865" s="32"/>
      <c r="X865" s="32"/>
      <c r="Y865" s="32"/>
      <c r="Z865" s="32"/>
      <c r="AA865" s="32"/>
      <c r="AB865" s="32"/>
      <c r="AC865" s="32"/>
      <c r="AD865" s="32"/>
      <c r="AE865" s="32"/>
      <c r="AF865" s="32"/>
      <c r="AG865" s="32"/>
      <c r="AH865" s="32"/>
      <c r="AI865" s="32"/>
      <c r="AJ865" s="32"/>
    </row>
    <row r="866">
      <c r="A866" s="32"/>
      <c r="B866" s="32"/>
      <c r="C866" s="32"/>
      <c r="D866" s="32"/>
      <c r="E866" s="32"/>
      <c r="F866" s="32"/>
      <c r="G866" s="32"/>
      <c r="H866" s="32"/>
      <c r="I866" s="32"/>
      <c r="J866" s="32"/>
      <c r="K866" s="32"/>
      <c r="L866" s="32"/>
      <c r="M866" s="32"/>
      <c r="N866" s="32"/>
      <c r="O866" s="32"/>
      <c r="P866" s="32"/>
      <c r="Q866" s="32"/>
      <c r="R866" s="32"/>
      <c r="S866" s="32"/>
      <c r="T866" s="32"/>
      <c r="U866" s="32"/>
      <c r="V866" s="32"/>
      <c r="W866" s="32"/>
      <c r="X866" s="32"/>
      <c r="Y866" s="32"/>
      <c r="Z866" s="32"/>
      <c r="AA866" s="32"/>
      <c r="AB866" s="32"/>
      <c r="AC866" s="32"/>
      <c r="AD866" s="32"/>
      <c r="AE866" s="32"/>
      <c r="AF866" s="32"/>
      <c r="AG866" s="32"/>
      <c r="AH866" s="32"/>
      <c r="AI866" s="32"/>
      <c r="AJ866" s="32"/>
    </row>
    <row r="867">
      <c r="A867" s="32"/>
      <c r="B867" s="32"/>
      <c r="C867" s="32"/>
      <c r="D867" s="32"/>
      <c r="E867" s="32"/>
      <c r="F867" s="32"/>
      <c r="G867" s="32"/>
      <c r="H867" s="32"/>
      <c r="I867" s="32"/>
      <c r="J867" s="32"/>
      <c r="K867" s="32"/>
      <c r="L867" s="32"/>
      <c r="M867" s="32"/>
      <c r="N867" s="32"/>
      <c r="O867" s="32"/>
      <c r="P867" s="32"/>
      <c r="Q867" s="32"/>
      <c r="R867" s="32"/>
      <c r="S867" s="32"/>
      <c r="T867" s="32"/>
      <c r="U867" s="32"/>
      <c r="V867" s="32"/>
      <c r="W867" s="32"/>
      <c r="X867" s="32"/>
      <c r="Y867" s="32"/>
      <c r="Z867" s="32"/>
      <c r="AA867" s="32"/>
      <c r="AB867" s="32"/>
      <c r="AC867" s="32"/>
      <c r="AD867" s="32"/>
      <c r="AE867" s="32"/>
      <c r="AF867" s="32"/>
      <c r="AG867" s="32"/>
      <c r="AH867" s="32"/>
      <c r="AI867" s="32"/>
      <c r="AJ867" s="32"/>
    </row>
    <row r="868">
      <c r="A868" s="32"/>
      <c r="B868" s="32"/>
      <c r="C868" s="32"/>
      <c r="D868" s="32"/>
      <c r="E868" s="32"/>
      <c r="F868" s="32"/>
      <c r="G868" s="32"/>
      <c r="H868" s="32"/>
      <c r="I868" s="32"/>
      <c r="J868" s="32"/>
      <c r="K868" s="32"/>
      <c r="L868" s="32"/>
      <c r="M868" s="32"/>
      <c r="N868" s="32"/>
      <c r="O868" s="32"/>
      <c r="P868" s="32"/>
      <c r="Q868" s="32"/>
      <c r="R868" s="32"/>
      <c r="S868" s="32"/>
      <c r="T868" s="32"/>
      <c r="U868" s="32"/>
      <c r="V868" s="32"/>
      <c r="W868" s="32"/>
      <c r="X868" s="32"/>
      <c r="Y868" s="32"/>
      <c r="Z868" s="32"/>
      <c r="AA868" s="32"/>
      <c r="AB868" s="32"/>
      <c r="AC868" s="32"/>
      <c r="AD868" s="32"/>
      <c r="AE868" s="32"/>
      <c r="AF868" s="32"/>
      <c r="AG868" s="32"/>
      <c r="AH868" s="32"/>
      <c r="AI868" s="32"/>
      <c r="AJ868" s="32"/>
    </row>
    <row r="869">
      <c r="A869" s="32"/>
      <c r="B869" s="32"/>
      <c r="C869" s="32"/>
      <c r="D869" s="32"/>
      <c r="E869" s="32"/>
      <c r="F869" s="32"/>
      <c r="G869" s="32"/>
      <c r="H869" s="32"/>
      <c r="I869" s="32"/>
      <c r="J869" s="32"/>
      <c r="K869" s="32"/>
      <c r="L869" s="32"/>
      <c r="M869" s="32"/>
      <c r="N869" s="32"/>
      <c r="O869" s="32"/>
      <c r="P869" s="32"/>
      <c r="Q869" s="32"/>
      <c r="R869" s="32"/>
      <c r="S869" s="32"/>
      <c r="T869" s="32"/>
      <c r="U869" s="32"/>
      <c r="V869" s="32"/>
      <c r="W869" s="32"/>
      <c r="X869" s="32"/>
      <c r="Y869" s="32"/>
      <c r="Z869" s="32"/>
      <c r="AA869" s="32"/>
      <c r="AB869" s="32"/>
      <c r="AC869" s="32"/>
      <c r="AD869" s="32"/>
      <c r="AE869" s="32"/>
      <c r="AF869" s="32"/>
      <c r="AG869" s="32"/>
      <c r="AH869" s="32"/>
      <c r="AI869" s="32"/>
      <c r="AJ869" s="32"/>
    </row>
    <row r="870">
      <c r="A870" s="32"/>
      <c r="B870" s="32"/>
      <c r="C870" s="32"/>
      <c r="D870" s="32"/>
      <c r="E870" s="32"/>
      <c r="F870" s="32"/>
      <c r="G870" s="32"/>
      <c r="H870" s="32"/>
      <c r="I870" s="32"/>
      <c r="J870" s="32"/>
      <c r="K870" s="32"/>
      <c r="L870" s="32"/>
      <c r="M870" s="32"/>
      <c r="N870" s="32"/>
      <c r="O870" s="32"/>
      <c r="P870" s="32"/>
      <c r="Q870" s="32"/>
      <c r="R870" s="32"/>
      <c r="S870" s="32"/>
      <c r="T870" s="32"/>
      <c r="U870" s="32"/>
      <c r="V870" s="32"/>
      <c r="W870" s="32"/>
      <c r="X870" s="32"/>
      <c r="Y870" s="32"/>
      <c r="Z870" s="32"/>
      <c r="AA870" s="32"/>
      <c r="AB870" s="32"/>
      <c r="AC870" s="32"/>
      <c r="AD870" s="32"/>
      <c r="AE870" s="32"/>
      <c r="AF870" s="32"/>
      <c r="AG870" s="32"/>
      <c r="AH870" s="32"/>
      <c r="AI870" s="32"/>
      <c r="AJ870" s="32"/>
    </row>
    <row r="871">
      <c r="A871" s="32"/>
      <c r="B871" s="32"/>
      <c r="C871" s="32"/>
      <c r="D871" s="32"/>
      <c r="E871" s="32"/>
      <c r="F871" s="32"/>
      <c r="G871" s="32"/>
      <c r="H871" s="32"/>
      <c r="I871" s="32"/>
      <c r="J871" s="32"/>
      <c r="K871" s="32"/>
      <c r="L871" s="32"/>
      <c r="M871" s="32"/>
      <c r="N871" s="32"/>
      <c r="O871" s="32"/>
      <c r="P871" s="32"/>
      <c r="Q871" s="32"/>
      <c r="R871" s="32"/>
      <c r="S871" s="32"/>
      <c r="T871" s="32"/>
      <c r="U871" s="32"/>
      <c r="V871" s="32"/>
      <c r="W871" s="32"/>
      <c r="X871" s="32"/>
      <c r="Y871" s="32"/>
      <c r="Z871" s="32"/>
      <c r="AA871" s="32"/>
      <c r="AB871" s="32"/>
      <c r="AC871" s="32"/>
      <c r="AD871" s="32"/>
      <c r="AE871" s="32"/>
      <c r="AF871" s="32"/>
      <c r="AG871" s="32"/>
      <c r="AH871" s="32"/>
      <c r="AI871" s="32"/>
      <c r="AJ871" s="32"/>
    </row>
    <row r="872">
      <c r="A872" s="32"/>
      <c r="B872" s="32"/>
      <c r="C872" s="32"/>
      <c r="D872" s="32"/>
      <c r="E872" s="32"/>
      <c r="F872" s="32"/>
      <c r="G872" s="32"/>
      <c r="H872" s="32"/>
      <c r="I872" s="32"/>
      <c r="J872" s="32"/>
      <c r="K872" s="32"/>
      <c r="L872" s="32"/>
      <c r="M872" s="32"/>
      <c r="N872" s="32"/>
      <c r="O872" s="32"/>
      <c r="P872" s="32"/>
      <c r="Q872" s="32"/>
      <c r="R872" s="32"/>
      <c r="S872" s="32"/>
      <c r="T872" s="32"/>
      <c r="U872" s="32"/>
      <c r="V872" s="32"/>
      <c r="W872" s="32"/>
      <c r="X872" s="32"/>
      <c r="Y872" s="32"/>
      <c r="Z872" s="32"/>
      <c r="AA872" s="32"/>
      <c r="AB872" s="32"/>
      <c r="AC872" s="32"/>
      <c r="AD872" s="32"/>
      <c r="AE872" s="32"/>
      <c r="AF872" s="32"/>
      <c r="AG872" s="32"/>
      <c r="AH872" s="32"/>
      <c r="AI872" s="32"/>
      <c r="AJ872" s="32"/>
    </row>
    <row r="873">
      <c r="A873" s="32"/>
      <c r="B873" s="32"/>
      <c r="C873" s="32"/>
      <c r="D873" s="32"/>
      <c r="E873" s="32"/>
      <c r="F873" s="32"/>
      <c r="G873" s="32"/>
      <c r="H873" s="32"/>
      <c r="I873" s="32"/>
      <c r="J873" s="32"/>
      <c r="K873" s="32"/>
      <c r="L873" s="32"/>
      <c r="M873" s="32"/>
      <c r="N873" s="32"/>
      <c r="O873" s="32"/>
      <c r="P873" s="32"/>
      <c r="Q873" s="32"/>
      <c r="R873" s="32"/>
      <c r="S873" s="32"/>
      <c r="T873" s="32"/>
      <c r="U873" s="32"/>
      <c r="V873" s="32"/>
      <c r="W873" s="32"/>
      <c r="X873" s="32"/>
      <c r="Y873" s="32"/>
      <c r="Z873" s="32"/>
      <c r="AA873" s="32"/>
      <c r="AB873" s="32"/>
      <c r="AC873" s="32"/>
      <c r="AD873" s="32"/>
      <c r="AE873" s="32"/>
      <c r="AF873" s="32"/>
      <c r="AG873" s="32"/>
      <c r="AH873" s="32"/>
      <c r="AI873" s="32"/>
      <c r="AJ873" s="32"/>
    </row>
    <row r="874">
      <c r="A874" s="32"/>
      <c r="B874" s="32"/>
      <c r="C874" s="32"/>
      <c r="D874" s="32"/>
      <c r="E874" s="32"/>
      <c r="F874" s="32"/>
      <c r="G874" s="32"/>
      <c r="H874" s="32"/>
      <c r="I874" s="32"/>
      <c r="J874" s="32"/>
      <c r="K874" s="32"/>
      <c r="L874" s="32"/>
      <c r="M874" s="32"/>
      <c r="N874" s="32"/>
      <c r="O874" s="32"/>
      <c r="P874" s="32"/>
      <c r="Q874" s="32"/>
      <c r="R874" s="32"/>
      <c r="S874" s="32"/>
      <c r="T874" s="32"/>
      <c r="U874" s="32"/>
      <c r="V874" s="32"/>
      <c r="W874" s="32"/>
      <c r="X874" s="32"/>
      <c r="Y874" s="32"/>
      <c r="Z874" s="32"/>
      <c r="AA874" s="32"/>
      <c r="AB874" s="32"/>
      <c r="AC874" s="32"/>
      <c r="AD874" s="32"/>
      <c r="AE874" s="32"/>
      <c r="AF874" s="32"/>
      <c r="AG874" s="32"/>
      <c r="AH874" s="32"/>
      <c r="AI874" s="32"/>
      <c r="AJ874" s="32"/>
    </row>
    <row r="875">
      <c r="A875" s="32"/>
      <c r="B875" s="32"/>
      <c r="C875" s="32"/>
      <c r="D875" s="32"/>
      <c r="E875" s="32"/>
      <c r="F875" s="32"/>
      <c r="G875" s="32"/>
      <c r="H875" s="32"/>
      <c r="I875" s="32"/>
      <c r="J875" s="32"/>
      <c r="K875" s="32"/>
      <c r="L875" s="32"/>
      <c r="M875" s="32"/>
      <c r="N875" s="32"/>
      <c r="O875" s="32"/>
      <c r="P875" s="32"/>
      <c r="Q875" s="32"/>
      <c r="R875" s="32"/>
      <c r="S875" s="32"/>
      <c r="T875" s="32"/>
      <c r="U875" s="32"/>
      <c r="V875" s="32"/>
      <c r="W875" s="32"/>
      <c r="X875" s="32"/>
      <c r="Y875" s="32"/>
      <c r="Z875" s="32"/>
      <c r="AA875" s="32"/>
      <c r="AB875" s="32"/>
      <c r="AC875" s="32"/>
      <c r="AD875" s="32"/>
      <c r="AE875" s="32"/>
      <c r="AF875" s="32"/>
      <c r="AG875" s="32"/>
      <c r="AH875" s="32"/>
      <c r="AI875" s="32"/>
      <c r="AJ875" s="32"/>
    </row>
    <row r="876">
      <c r="A876" s="32"/>
      <c r="B876" s="32"/>
      <c r="C876" s="32"/>
      <c r="D876" s="32"/>
      <c r="E876" s="32"/>
      <c r="F876" s="32"/>
      <c r="G876" s="32"/>
      <c r="H876" s="32"/>
      <c r="I876" s="32"/>
      <c r="J876" s="32"/>
      <c r="K876" s="32"/>
      <c r="L876" s="32"/>
      <c r="M876" s="32"/>
      <c r="N876" s="32"/>
      <c r="O876" s="32"/>
      <c r="P876" s="32"/>
      <c r="Q876" s="32"/>
      <c r="R876" s="32"/>
      <c r="S876" s="32"/>
      <c r="T876" s="32"/>
      <c r="U876" s="32"/>
      <c r="V876" s="32"/>
      <c r="W876" s="32"/>
      <c r="X876" s="32"/>
      <c r="Y876" s="32"/>
      <c r="Z876" s="32"/>
      <c r="AA876" s="32"/>
      <c r="AB876" s="32"/>
      <c r="AC876" s="32"/>
      <c r="AD876" s="32"/>
      <c r="AE876" s="32"/>
      <c r="AF876" s="32"/>
      <c r="AG876" s="32"/>
      <c r="AH876" s="32"/>
      <c r="AI876" s="32"/>
      <c r="AJ876" s="32"/>
    </row>
    <row r="877">
      <c r="A877" s="32"/>
      <c r="B877" s="32"/>
      <c r="C877" s="32"/>
      <c r="D877" s="32"/>
      <c r="E877" s="32"/>
      <c r="F877" s="32"/>
      <c r="G877" s="32"/>
      <c r="H877" s="32"/>
      <c r="I877" s="32"/>
      <c r="J877" s="32"/>
      <c r="K877" s="32"/>
      <c r="L877" s="32"/>
      <c r="M877" s="32"/>
      <c r="N877" s="32"/>
      <c r="O877" s="32"/>
      <c r="P877" s="32"/>
      <c r="Q877" s="32"/>
      <c r="R877" s="32"/>
      <c r="S877" s="32"/>
      <c r="T877" s="32"/>
      <c r="U877" s="32"/>
      <c r="V877" s="32"/>
      <c r="W877" s="32"/>
      <c r="X877" s="32"/>
      <c r="Y877" s="32"/>
      <c r="Z877" s="32"/>
      <c r="AA877" s="32"/>
      <c r="AB877" s="32"/>
      <c r="AC877" s="32"/>
      <c r="AD877" s="32"/>
      <c r="AE877" s="32"/>
      <c r="AF877" s="32"/>
      <c r="AG877" s="32"/>
      <c r="AH877" s="32"/>
      <c r="AI877" s="32"/>
      <c r="AJ877" s="32"/>
    </row>
    <row r="878">
      <c r="A878" s="32"/>
      <c r="B878" s="32"/>
      <c r="C878" s="32"/>
      <c r="D878" s="32"/>
      <c r="E878" s="32"/>
      <c r="F878" s="32"/>
      <c r="G878" s="32"/>
      <c r="H878" s="32"/>
      <c r="I878" s="32"/>
      <c r="J878" s="32"/>
      <c r="K878" s="32"/>
      <c r="L878" s="32"/>
      <c r="M878" s="32"/>
      <c r="N878" s="32"/>
      <c r="O878" s="32"/>
      <c r="P878" s="32"/>
      <c r="Q878" s="32"/>
      <c r="R878" s="32"/>
      <c r="S878" s="32"/>
      <c r="T878" s="32"/>
      <c r="U878" s="32"/>
      <c r="V878" s="32"/>
      <c r="W878" s="32"/>
      <c r="X878" s="32"/>
      <c r="Y878" s="32"/>
      <c r="Z878" s="32"/>
      <c r="AA878" s="32"/>
      <c r="AB878" s="32"/>
      <c r="AC878" s="32"/>
      <c r="AD878" s="32"/>
      <c r="AE878" s="32"/>
      <c r="AF878" s="32"/>
      <c r="AG878" s="32"/>
      <c r="AH878" s="32"/>
      <c r="AI878" s="32"/>
      <c r="AJ878" s="32"/>
    </row>
    <row r="879">
      <c r="A879" s="32"/>
      <c r="B879" s="32"/>
      <c r="C879" s="32"/>
      <c r="D879" s="32"/>
      <c r="E879" s="32"/>
      <c r="F879" s="32"/>
      <c r="G879" s="32"/>
      <c r="H879" s="32"/>
      <c r="I879" s="32"/>
      <c r="J879" s="32"/>
      <c r="K879" s="32"/>
      <c r="L879" s="32"/>
      <c r="M879" s="32"/>
      <c r="N879" s="32"/>
      <c r="O879" s="32"/>
      <c r="P879" s="32"/>
      <c r="Q879" s="32"/>
      <c r="R879" s="32"/>
      <c r="S879" s="32"/>
      <c r="T879" s="32"/>
      <c r="U879" s="32"/>
      <c r="V879" s="32"/>
      <c r="W879" s="32"/>
      <c r="X879" s="32"/>
      <c r="Y879" s="32"/>
      <c r="Z879" s="32"/>
      <c r="AA879" s="32"/>
      <c r="AB879" s="32"/>
      <c r="AC879" s="32"/>
      <c r="AD879" s="32"/>
      <c r="AE879" s="32"/>
      <c r="AF879" s="32"/>
      <c r="AG879" s="32"/>
      <c r="AH879" s="32"/>
      <c r="AI879" s="32"/>
      <c r="AJ879" s="32"/>
    </row>
    <row r="880">
      <c r="A880" s="32"/>
      <c r="B880" s="32"/>
      <c r="C880" s="32"/>
      <c r="D880" s="32"/>
      <c r="E880" s="32"/>
      <c r="F880" s="32"/>
      <c r="G880" s="32"/>
      <c r="H880" s="32"/>
      <c r="I880" s="32"/>
      <c r="J880" s="32"/>
      <c r="K880" s="32"/>
      <c r="L880" s="32"/>
      <c r="M880" s="32"/>
      <c r="N880" s="32"/>
      <c r="O880" s="32"/>
      <c r="P880" s="32"/>
      <c r="Q880" s="32"/>
      <c r="R880" s="32"/>
      <c r="S880" s="32"/>
      <c r="T880" s="32"/>
      <c r="U880" s="32"/>
      <c r="V880" s="32"/>
      <c r="W880" s="32"/>
      <c r="X880" s="32"/>
      <c r="Y880" s="32"/>
      <c r="Z880" s="32"/>
      <c r="AA880" s="32"/>
      <c r="AB880" s="32"/>
      <c r="AC880" s="32"/>
      <c r="AD880" s="32"/>
      <c r="AE880" s="32"/>
      <c r="AF880" s="32"/>
      <c r="AG880" s="32"/>
      <c r="AH880" s="32"/>
      <c r="AI880" s="32"/>
      <c r="AJ880" s="32"/>
    </row>
    <row r="881">
      <c r="A881" s="32"/>
      <c r="B881" s="32"/>
      <c r="C881" s="32"/>
      <c r="D881" s="32"/>
      <c r="E881" s="32"/>
      <c r="F881" s="32"/>
      <c r="G881" s="32"/>
      <c r="H881" s="32"/>
      <c r="I881" s="32"/>
      <c r="J881" s="32"/>
      <c r="K881" s="32"/>
      <c r="L881" s="32"/>
      <c r="M881" s="32"/>
      <c r="N881" s="32"/>
      <c r="O881" s="32"/>
      <c r="P881" s="32"/>
      <c r="Q881" s="32"/>
      <c r="R881" s="32"/>
      <c r="S881" s="32"/>
      <c r="T881" s="32"/>
      <c r="U881" s="32"/>
      <c r="V881" s="32"/>
      <c r="W881" s="32"/>
      <c r="X881" s="32"/>
      <c r="Y881" s="32"/>
      <c r="Z881" s="32"/>
      <c r="AA881" s="32"/>
      <c r="AB881" s="32"/>
      <c r="AC881" s="32"/>
      <c r="AD881" s="32"/>
      <c r="AE881" s="32"/>
      <c r="AF881" s="32"/>
      <c r="AG881" s="32"/>
      <c r="AH881" s="32"/>
      <c r="AI881" s="32"/>
      <c r="AJ881" s="32"/>
    </row>
    <row r="882">
      <c r="A882" s="32"/>
      <c r="B882" s="32"/>
      <c r="C882" s="32"/>
      <c r="D882" s="32"/>
      <c r="E882" s="32"/>
      <c r="F882" s="32"/>
      <c r="G882" s="32"/>
      <c r="H882" s="32"/>
      <c r="I882" s="32"/>
      <c r="J882" s="32"/>
      <c r="K882" s="32"/>
      <c r="L882" s="32"/>
      <c r="M882" s="32"/>
      <c r="N882" s="32"/>
      <c r="O882" s="32"/>
      <c r="P882" s="32"/>
      <c r="Q882" s="32"/>
      <c r="R882" s="32"/>
      <c r="S882" s="32"/>
      <c r="T882" s="32"/>
      <c r="U882" s="32"/>
      <c r="V882" s="32"/>
      <c r="W882" s="32"/>
      <c r="X882" s="32"/>
      <c r="Y882" s="32"/>
      <c r="Z882" s="32"/>
      <c r="AA882" s="32"/>
      <c r="AB882" s="32"/>
      <c r="AC882" s="32"/>
      <c r="AD882" s="32"/>
      <c r="AE882" s="32"/>
      <c r="AF882" s="32"/>
      <c r="AG882" s="32"/>
      <c r="AH882" s="32"/>
      <c r="AI882" s="32"/>
      <c r="AJ882" s="32"/>
    </row>
    <row r="883">
      <c r="A883" s="32"/>
      <c r="B883" s="32"/>
      <c r="C883" s="32"/>
      <c r="D883" s="32"/>
      <c r="E883" s="32"/>
      <c r="F883" s="32"/>
      <c r="G883" s="32"/>
      <c r="H883" s="32"/>
      <c r="I883" s="32"/>
      <c r="J883" s="32"/>
      <c r="K883" s="32"/>
      <c r="L883" s="32"/>
      <c r="M883" s="32"/>
      <c r="N883" s="32"/>
      <c r="O883" s="32"/>
      <c r="P883" s="32"/>
      <c r="Q883" s="32"/>
      <c r="R883" s="32"/>
      <c r="S883" s="32"/>
      <c r="T883" s="32"/>
      <c r="U883" s="32"/>
      <c r="V883" s="32"/>
      <c r="W883" s="32"/>
      <c r="X883" s="32"/>
      <c r="Y883" s="32"/>
      <c r="Z883" s="32"/>
      <c r="AA883" s="32"/>
      <c r="AB883" s="32"/>
      <c r="AC883" s="32"/>
      <c r="AD883" s="32"/>
      <c r="AE883" s="32"/>
      <c r="AF883" s="32"/>
      <c r="AG883" s="32"/>
      <c r="AH883" s="32"/>
      <c r="AI883" s="32"/>
      <c r="AJ883" s="32"/>
    </row>
    <row r="884">
      <c r="A884" s="32"/>
      <c r="B884" s="32"/>
      <c r="C884" s="32"/>
      <c r="D884" s="32"/>
      <c r="E884" s="32"/>
      <c r="F884" s="32"/>
      <c r="G884" s="32"/>
      <c r="H884" s="32"/>
      <c r="I884" s="32"/>
      <c r="J884" s="32"/>
      <c r="K884" s="32"/>
      <c r="L884" s="32"/>
      <c r="M884" s="32"/>
      <c r="N884" s="32"/>
      <c r="O884" s="32"/>
      <c r="P884" s="32"/>
      <c r="Q884" s="32"/>
      <c r="R884" s="32"/>
      <c r="S884" s="32"/>
      <c r="T884" s="32"/>
      <c r="U884" s="32"/>
      <c r="V884" s="32"/>
      <c r="W884" s="32"/>
      <c r="X884" s="32"/>
      <c r="Y884" s="32"/>
      <c r="Z884" s="32"/>
      <c r="AA884" s="32"/>
      <c r="AB884" s="32"/>
      <c r="AC884" s="32"/>
      <c r="AD884" s="32"/>
      <c r="AE884" s="32"/>
      <c r="AF884" s="32"/>
      <c r="AG884" s="32"/>
      <c r="AH884" s="32"/>
      <c r="AI884" s="32"/>
      <c r="AJ884" s="32"/>
    </row>
    <row r="885">
      <c r="A885" s="32"/>
      <c r="B885" s="32"/>
      <c r="C885" s="32"/>
      <c r="D885" s="32"/>
      <c r="E885" s="32"/>
      <c r="F885" s="32"/>
      <c r="G885" s="32"/>
      <c r="H885" s="32"/>
      <c r="I885" s="32"/>
      <c r="J885" s="32"/>
      <c r="K885" s="32"/>
      <c r="L885" s="32"/>
      <c r="M885" s="32"/>
      <c r="N885" s="32"/>
      <c r="O885" s="32"/>
      <c r="P885" s="32"/>
      <c r="Q885" s="32"/>
      <c r="R885" s="32"/>
      <c r="S885" s="32"/>
      <c r="T885" s="32"/>
      <c r="U885" s="32"/>
      <c r="V885" s="32"/>
      <c r="W885" s="32"/>
      <c r="X885" s="32"/>
      <c r="Y885" s="32"/>
      <c r="Z885" s="32"/>
      <c r="AA885" s="32"/>
      <c r="AB885" s="32"/>
      <c r="AC885" s="32"/>
      <c r="AD885" s="32"/>
      <c r="AE885" s="32"/>
      <c r="AF885" s="32"/>
      <c r="AG885" s="32"/>
      <c r="AH885" s="32"/>
      <c r="AI885" s="32"/>
      <c r="AJ885" s="32"/>
    </row>
    <row r="886">
      <c r="A886" s="32"/>
      <c r="B886" s="32"/>
      <c r="C886" s="32"/>
      <c r="D886" s="32"/>
      <c r="E886" s="32"/>
      <c r="F886" s="32"/>
      <c r="G886" s="32"/>
      <c r="H886" s="32"/>
      <c r="I886" s="32"/>
      <c r="J886" s="32"/>
      <c r="K886" s="32"/>
      <c r="L886" s="32"/>
      <c r="M886" s="32"/>
      <c r="N886" s="32"/>
      <c r="O886" s="32"/>
      <c r="P886" s="32"/>
      <c r="Q886" s="32"/>
      <c r="R886" s="32"/>
      <c r="S886" s="32"/>
      <c r="T886" s="32"/>
      <c r="U886" s="32"/>
      <c r="V886" s="32"/>
      <c r="W886" s="32"/>
      <c r="X886" s="32"/>
      <c r="Y886" s="32"/>
      <c r="Z886" s="32"/>
      <c r="AA886" s="32"/>
      <c r="AB886" s="32"/>
      <c r="AC886" s="32"/>
      <c r="AD886" s="32"/>
      <c r="AE886" s="32"/>
      <c r="AF886" s="32"/>
      <c r="AG886" s="32"/>
      <c r="AH886" s="32"/>
      <c r="AI886" s="32"/>
      <c r="AJ886" s="32"/>
    </row>
    <row r="887">
      <c r="A887" s="32"/>
      <c r="B887" s="32"/>
      <c r="C887" s="32"/>
      <c r="D887" s="32"/>
      <c r="E887" s="32"/>
      <c r="F887" s="32"/>
      <c r="G887" s="32"/>
      <c r="H887" s="32"/>
      <c r="I887" s="32"/>
      <c r="J887" s="32"/>
      <c r="K887" s="32"/>
      <c r="L887" s="32"/>
      <c r="M887" s="32"/>
      <c r="N887" s="32"/>
      <c r="O887" s="32"/>
      <c r="P887" s="32"/>
      <c r="Q887" s="32"/>
      <c r="R887" s="32"/>
      <c r="S887" s="32"/>
      <c r="T887" s="32"/>
      <c r="U887" s="32"/>
      <c r="V887" s="32"/>
      <c r="W887" s="32"/>
      <c r="X887" s="32"/>
      <c r="Y887" s="32"/>
      <c r="Z887" s="32"/>
      <c r="AA887" s="32"/>
      <c r="AB887" s="32"/>
      <c r="AC887" s="32"/>
      <c r="AD887" s="32"/>
      <c r="AE887" s="32"/>
      <c r="AF887" s="32"/>
      <c r="AG887" s="32"/>
      <c r="AH887" s="32"/>
      <c r="AI887" s="32"/>
      <c r="AJ887" s="32"/>
    </row>
    <row r="888">
      <c r="A888" s="32"/>
      <c r="B888" s="32"/>
      <c r="C888" s="32"/>
      <c r="D888" s="32"/>
      <c r="E888" s="32"/>
      <c r="F888" s="32"/>
      <c r="G888" s="32"/>
      <c r="H888" s="32"/>
      <c r="I888" s="32"/>
      <c r="J888" s="32"/>
      <c r="K888" s="32"/>
      <c r="L888" s="32"/>
      <c r="M888" s="32"/>
      <c r="N888" s="32"/>
      <c r="O888" s="32"/>
      <c r="P888" s="32"/>
      <c r="Q888" s="32"/>
      <c r="R888" s="32"/>
      <c r="S888" s="32"/>
      <c r="T888" s="32"/>
      <c r="U888" s="32"/>
      <c r="V888" s="32"/>
      <c r="W888" s="32"/>
      <c r="X888" s="32"/>
      <c r="Y888" s="32"/>
      <c r="Z888" s="32"/>
      <c r="AA888" s="32"/>
      <c r="AB888" s="32"/>
      <c r="AC888" s="32"/>
      <c r="AD888" s="32"/>
      <c r="AE888" s="32"/>
      <c r="AF888" s="32"/>
      <c r="AG888" s="32"/>
      <c r="AH888" s="32"/>
      <c r="AI888" s="32"/>
      <c r="AJ888" s="32"/>
    </row>
    <row r="889">
      <c r="A889" s="32"/>
      <c r="B889" s="32"/>
      <c r="C889" s="32"/>
      <c r="D889" s="32"/>
      <c r="E889" s="32"/>
      <c r="F889" s="32"/>
      <c r="G889" s="32"/>
      <c r="H889" s="32"/>
      <c r="I889" s="32"/>
      <c r="J889" s="32"/>
      <c r="K889" s="32"/>
      <c r="L889" s="32"/>
      <c r="M889" s="32"/>
      <c r="N889" s="32"/>
      <c r="O889" s="32"/>
      <c r="P889" s="32"/>
      <c r="Q889" s="32"/>
      <c r="R889" s="32"/>
      <c r="S889" s="32"/>
      <c r="T889" s="32"/>
      <c r="U889" s="32"/>
      <c r="V889" s="32"/>
      <c r="W889" s="32"/>
      <c r="X889" s="32"/>
      <c r="Y889" s="32"/>
      <c r="Z889" s="32"/>
      <c r="AA889" s="32"/>
      <c r="AB889" s="32"/>
      <c r="AC889" s="32"/>
      <c r="AD889" s="32"/>
      <c r="AE889" s="32"/>
      <c r="AF889" s="32"/>
      <c r="AG889" s="32"/>
      <c r="AH889" s="32"/>
      <c r="AI889" s="32"/>
      <c r="AJ889" s="32"/>
    </row>
    <row r="890">
      <c r="A890" s="32"/>
      <c r="B890" s="32"/>
      <c r="C890" s="32"/>
      <c r="D890" s="32"/>
      <c r="E890" s="32"/>
      <c r="F890" s="32"/>
      <c r="G890" s="32"/>
      <c r="H890" s="32"/>
      <c r="I890" s="32"/>
      <c r="J890" s="32"/>
      <c r="K890" s="32"/>
      <c r="L890" s="32"/>
      <c r="M890" s="32"/>
      <c r="N890" s="32"/>
      <c r="O890" s="32"/>
      <c r="P890" s="32"/>
      <c r="Q890" s="32"/>
      <c r="R890" s="32"/>
      <c r="S890" s="32"/>
      <c r="T890" s="32"/>
      <c r="U890" s="32"/>
      <c r="V890" s="32"/>
      <c r="W890" s="32"/>
      <c r="X890" s="32"/>
      <c r="Y890" s="32"/>
      <c r="Z890" s="32"/>
      <c r="AA890" s="32"/>
      <c r="AB890" s="32"/>
      <c r="AC890" s="32"/>
      <c r="AD890" s="32"/>
      <c r="AE890" s="32"/>
      <c r="AF890" s="32"/>
      <c r="AG890" s="32"/>
      <c r="AH890" s="32"/>
      <c r="AI890" s="32"/>
      <c r="AJ890" s="32"/>
    </row>
    <row r="891">
      <c r="A891" s="32"/>
      <c r="B891" s="32"/>
      <c r="C891" s="32"/>
      <c r="D891" s="32"/>
      <c r="E891" s="32"/>
      <c r="F891" s="32"/>
      <c r="G891" s="32"/>
      <c r="H891" s="32"/>
      <c r="I891" s="32"/>
      <c r="J891" s="32"/>
      <c r="K891" s="32"/>
      <c r="L891" s="32"/>
      <c r="M891" s="32"/>
      <c r="N891" s="32"/>
      <c r="O891" s="32"/>
      <c r="P891" s="32"/>
      <c r="Q891" s="32"/>
      <c r="R891" s="32"/>
      <c r="S891" s="32"/>
      <c r="T891" s="32"/>
      <c r="U891" s="32"/>
      <c r="V891" s="32"/>
      <c r="W891" s="32"/>
      <c r="X891" s="32"/>
      <c r="Y891" s="32"/>
      <c r="Z891" s="32"/>
      <c r="AA891" s="32"/>
      <c r="AB891" s="32"/>
      <c r="AC891" s="32"/>
      <c r="AD891" s="32"/>
      <c r="AE891" s="32"/>
      <c r="AF891" s="32"/>
      <c r="AG891" s="32"/>
      <c r="AH891" s="32"/>
      <c r="AI891" s="32"/>
      <c r="AJ891" s="32"/>
    </row>
    <row r="892">
      <c r="A892" s="32"/>
      <c r="B892" s="32"/>
      <c r="C892" s="32"/>
      <c r="D892" s="32"/>
      <c r="E892" s="32"/>
      <c r="F892" s="32"/>
      <c r="G892" s="32"/>
      <c r="H892" s="32"/>
      <c r="I892" s="32"/>
      <c r="J892" s="32"/>
      <c r="K892" s="32"/>
      <c r="L892" s="32"/>
      <c r="M892" s="32"/>
      <c r="N892" s="32"/>
      <c r="O892" s="32"/>
      <c r="P892" s="32"/>
      <c r="Q892" s="32"/>
      <c r="R892" s="32"/>
      <c r="S892" s="32"/>
      <c r="T892" s="32"/>
      <c r="U892" s="32"/>
      <c r="V892" s="32"/>
      <c r="W892" s="32"/>
      <c r="X892" s="32"/>
      <c r="Y892" s="32"/>
      <c r="Z892" s="32"/>
      <c r="AA892" s="32"/>
      <c r="AB892" s="32"/>
      <c r="AC892" s="32"/>
      <c r="AD892" s="32"/>
      <c r="AE892" s="32"/>
      <c r="AF892" s="32"/>
      <c r="AG892" s="32"/>
      <c r="AH892" s="32"/>
      <c r="AI892" s="32"/>
      <c r="AJ892" s="32"/>
    </row>
    <row r="893">
      <c r="A893" s="32"/>
      <c r="B893" s="32"/>
      <c r="C893" s="32"/>
      <c r="D893" s="32"/>
      <c r="E893" s="32"/>
      <c r="F893" s="32"/>
      <c r="G893" s="32"/>
      <c r="H893" s="32"/>
      <c r="I893" s="32"/>
      <c r="J893" s="32"/>
      <c r="K893" s="32"/>
      <c r="L893" s="32"/>
      <c r="M893" s="32"/>
      <c r="N893" s="32"/>
      <c r="O893" s="32"/>
      <c r="P893" s="32"/>
      <c r="Q893" s="32"/>
      <c r="R893" s="32"/>
      <c r="S893" s="32"/>
      <c r="T893" s="32"/>
      <c r="U893" s="32"/>
      <c r="V893" s="32"/>
      <c r="W893" s="32"/>
      <c r="X893" s="32"/>
      <c r="Y893" s="32"/>
      <c r="Z893" s="32"/>
      <c r="AA893" s="32"/>
      <c r="AB893" s="32"/>
      <c r="AC893" s="32"/>
      <c r="AD893" s="32"/>
      <c r="AE893" s="32"/>
      <c r="AF893" s="32"/>
      <c r="AG893" s="32"/>
      <c r="AH893" s="32"/>
      <c r="AI893" s="32"/>
      <c r="AJ893" s="32"/>
    </row>
    <row r="894">
      <c r="A894" s="32"/>
      <c r="B894" s="32"/>
      <c r="C894" s="32"/>
      <c r="D894" s="32"/>
      <c r="E894" s="32"/>
      <c r="F894" s="32"/>
      <c r="G894" s="32"/>
      <c r="H894" s="32"/>
      <c r="I894" s="32"/>
      <c r="J894" s="32"/>
      <c r="K894" s="32"/>
      <c r="L894" s="32"/>
      <c r="M894" s="32"/>
      <c r="N894" s="32"/>
      <c r="O894" s="32"/>
      <c r="P894" s="32"/>
      <c r="Q894" s="32"/>
      <c r="R894" s="32"/>
      <c r="S894" s="32"/>
      <c r="T894" s="32"/>
      <c r="U894" s="32"/>
      <c r="V894" s="32"/>
      <c r="W894" s="32"/>
      <c r="X894" s="32"/>
      <c r="Y894" s="32"/>
      <c r="Z894" s="32"/>
      <c r="AA894" s="32"/>
      <c r="AB894" s="32"/>
      <c r="AC894" s="32"/>
      <c r="AD894" s="32"/>
      <c r="AE894" s="32"/>
      <c r="AF894" s="32"/>
      <c r="AG894" s="32"/>
      <c r="AH894" s="32"/>
      <c r="AI894" s="32"/>
      <c r="AJ894" s="32"/>
    </row>
    <row r="895">
      <c r="A895" s="32"/>
      <c r="B895" s="32"/>
      <c r="C895" s="32"/>
      <c r="D895" s="32"/>
      <c r="E895" s="32"/>
      <c r="F895" s="32"/>
      <c r="G895" s="32"/>
      <c r="H895" s="32"/>
      <c r="I895" s="32"/>
      <c r="J895" s="32"/>
      <c r="K895" s="32"/>
      <c r="L895" s="32"/>
      <c r="M895" s="32"/>
      <c r="N895" s="32"/>
      <c r="O895" s="32"/>
      <c r="P895" s="32"/>
      <c r="Q895" s="32"/>
      <c r="R895" s="32"/>
      <c r="S895" s="32"/>
      <c r="T895" s="32"/>
      <c r="U895" s="32"/>
      <c r="V895" s="32"/>
      <c r="W895" s="32"/>
      <c r="X895" s="32"/>
      <c r="Y895" s="32"/>
      <c r="Z895" s="32"/>
      <c r="AA895" s="32"/>
      <c r="AB895" s="32"/>
      <c r="AC895" s="32"/>
      <c r="AD895" s="32"/>
      <c r="AE895" s="32"/>
      <c r="AF895" s="32"/>
      <c r="AG895" s="32"/>
      <c r="AH895" s="32"/>
      <c r="AI895" s="32"/>
      <c r="AJ895" s="32"/>
    </row>
    <row r="896">
      <c r="A896" s="32"/>
      <c r="B896" s="32"/>
      <c r="C896" s="32"/>
      <c r="D896" s="32"/>
      <c r="E896" s="32"/>
      <c r="F896" s="32"/>
      <c r="G896" s="32"/>
      <c r="H896" s="32"/>
      <c r="I896" s="32"/>
      <c r="J896" s="32"/>
      <c r="K896" s="32"/>
      <c r="L896" s="32"/>
      <c r="M896" s="32"/>
      <c r="N896" s="32"/>
      <c r="O896" s="32"/>
      <c r="P896" s="32"/>
      <c r="Q896" s="32"/>
      <c r="R896" s="32"/>
      <c r="S896" s="32"/>
      <c r="T896" s="32"/>
      <c r="U896" s="32"/>
      <c r="V896" s="32"/>
      <c r="W896" s="32"/>
      <c r="X896" s="32"/>
      <c r="Y896" s="32"/>
      <c r="Z896" s="32"/>
      <c r="AA896" s="32"/>
      <c r="AB896" s="32"/>
      <c r="AC896" s="32"/>
      <c r="AD896" s="32"/>
      <c r="AE896" s="32"/>
      <c r="AF896" s="32"/>
      <c r="AG896" s="32"/>
      <c r="AH896" s="32"/>
      <c r="AI896" s="32"/>
      <c r="AJ896" s="32"/>
    </row>
    <row r="897">
      <c r="A897" s="32"/>
      <c r="B897" s="32"/>
      <c r="C897" s="32"/>
      <c r="D897" s="32"/>
      <c r="E897" s="32"/>
      <c r="F897" s="32"/>
      <c r="G897" s="32"/>
      <c r="H897" s="32"/>
      <c r="I897" s="32"/>
      <c r="J897" s="32"/>
      <c r="K897" s="32"/>
      <c r="L897" s="32"/>
      <c r="M897" s="32"/>
      <c r="N897" s="32"/>
      <c r="O897" s="32"/>
      <c r="P897" s="32"/>
      <c r="Q897" s="32"/>
      <c r="R897" s="32"/>
      <c r="S897" s="32"/>
      <c r="T897" s="32"/>
      <c r="U897" s="32"/>
      <c r="V897" s="32"/>
      <c r="W897" s="32"/>
      <c r="X897" s="32"/>
      <c r="Y897" s="32"/>
      <c r="Z897" s="32"/>
      <c r="AA897" s="32"/>
      <c r="AB897" s="32"/>
      <c r="AC897" s="32"/>
      <c r="AD897" s="32"/>
      <c r="AE897" s="32"/>
      <c r="AF897" s="32"/>
      <c r="AG897" s="32"/>
      <c r="AH897" s="32"/>
      <c r="AI897" s="32"/>
      <c r="AJ897" s="32"/>
    </row>
    <row r="898">
      <c r="A898" s="32"/>
      <c r="B898" s="32"/>
      <c r="C898" s="32"/>
      <c r="D898" s="32"/>
      <c r="E898" s="32"/>
      <c r="F898" s="32"/>
      <c r="G898" s="32"/>
      <c r="H898" s="32"/>
      <c r="I898" s="32"/>
      <c r="J898" s="32"/>
      <c r="K898" s="32"/>
      <c r="L898" s="32"/>
      <c r="M898" s="32"/>
      <c r="N898" s="32"/>
      <c r="O898" s="32"/>
      <c r="P898" s="32"/>
      <c r="Q898" s="32"/>
      <c r="R898" s="32"/>
      <c r="S898" s="32"/>
      <c r="T898" s="32"/>
      <c r="U898" s="32"/>
      <c r="V898" s="32"/>
      <c r="W898" s="32"/>
      <c r="X898" s="32"/>
      <c r="Y898" s="32"/>
      <c r="Z898" s="32"/>
      <c r="AA898" s="32"/>
      <c r="AB898" s="32"/>
      <c r="AC898" s="32"/>
      <c r="AD898" s="32"/>
      <c r="AE898" s="32"/>
      <c r="AF898" s="32"/>
      <c r="AG898" s="32"/>
      <c r="AH898" s="32"/>
      <c r="AI898" s="32"/>
      <c r="AJ898" s="32"/>
    </row>
    <row r="899">
      <c r="A899" s="32"/>
      <c r="B899" s="32"/>
      <c r="C899" s="32"/>
      <c r="D899" s="32"/>
      <c r="E899" s="32"/>
      <c r="F899" s="32"/>
      <c r="G899" s="32"/>
      <c r="H899" s="32"/>
      <c r="I899" s="32"/>
      <c r="J899" s="32"/>
      <c r="K899" s="32"/>
      <c r="L899" s="32"/>
      <c r="M899" s="32"/>
      <c r="N899" s="32"/>
      <c r="O899" s="32"/>
      <c r="P899" s="32"/>
      <c r="Q899" s="32"/>
      <c r="R899" s="32"/>
      <c r="S899" s="32"/>
      <c r="T899" s="32"/>
      <c r="U899" s="32"/>
      <c r="V899" s="32"/>
      <c r="W899" s="32"/>
      <c r="X899" s="32"/>
      <c r="Y899" s="32"/>
      <c r="Z899" s="32"/>
      <c r="AA899" s="32"/>
      <c r="AB899" s="32"/>
      <c r="AC899" s="32"/>
      <c r="AD899" s="32"/>
      <c r="AE899" s="32"/>
      <c r="AF899" s="32"/>
      <c r="AG899" s="32"/>
      <c r="AH899" s="32"/>
      <c r="AI899" s="32"/>
      <c r="AJ899" s="32"/>
    </row>
    <row r="900">
      <c r="A900" s="32"/>
      <c r="B900" s="32"/>
      <c r="C900" s="32"/>
      <c r="D900" s="32"/>
      <c r="E900" s="32"/>
      <c r="F900" s="32"/>
      <c r="G900" s="32"/>
      <c r="H900" s="32"/>
      <c r="I900" s="32"/>
      <c r="J900" s="32"/>
      <c r="K900" s="32"/>
      <c r="L900" s="32"/>
      <c r="M900" s="32"/>
      <c r="N900" s="32"/>
      <c r="O900" s="32"/>
      <c r="P900" s="32"/>
      <c r="Q900" s="32"/>
      <c r="R900" s="32"/>
      <c r="S900" s="32"/>
      <c r="T900" s="32"/>
      <c r="U900" s="32"/>
      <c r="V900" s="32"/>
      <c r="W900" s="32"/>
      <c r="X900" s="32"/>
      <c r="Y900" s="32"/>
      <c r="Z900" s="32"/>
      <c r="AA900" s="32"/>
      <c r="AB900" s="32"/>
      <c r="AC900" s="32"/>
      <c r="AD900" s="32"/>
      <c r="AE900" s="32"/>
      <c r="AF900" s="32"/>
      <c r="AG900" s="32"/>
      <c r="AH900" s="32"/>
      <c r="AI900" s="32"/>
      <c r="AJ900" s="32"/>
    </row>
    <row r="901">
      <c r="A901" s="32"/>
      <c r="B901" s="32"/>
      <c r="C901" s="32"/>
      <c r="D901" s="32"/>
      <c r="E901" s="32"/>
      <c r="F901" s="32"/>
      <c r="G901" s="32"/>
      <c r="H901" s="32"/>
      <c r="I901" s="32"/>
      <c r="J901" s="32"/>
      <c r="K901" s="32"/>
      <c r="L901" s="32"/>
      <c r="M901" s="32"/>
      <c r="N901" s="32"/>
      <c r="O901" s="32"/>
      <c r="P901" s="32"/>
      <c r="Q901" s="32"/>
      <c r="R901" s="32"/>
      <c r="S901" s="32"/>
      <c r="T901" s="32"/>
      <c r="U901" s="32"/>
      <c r="V901" s="32"/>
      <c r="W901" s="32"/>
      <c r="X901" s="32"/>
      <c r="Y901" s="32"/>
      <c r="Z901" s="32"/>
      <c r="AA901" s="32"/>
      <c r="AB901" s="32"/>
      <c r="AC901" s="32"/>
      <c r="AD901" s="32"/>
      <c r="AE901" s="32"/>
      <c r="AF901" s="32"/>
      <c r="AG901" s="32"/>
      <c r="AH901" s="32"/>
      <c r="AI901" s="32"/>
      <c r="AJ901" s="32"/>
    </row>
    <row r="902">
      <c r="A902" s="32"/>
      <c r="B902" s="32"/>
      <c r="C902" s="32"/>
      <c r="D902" s="32"/>
      <c r="E902" s="32"/>
      <c r="F902" s="32"/>
      <c r="G902" s="32"/>
      <c r="H902" s="32"/>
      <c r="I902" s="32"/>
      <c r="J902" s="32"/>
      <c r="K902" s="32"/>
      <c r="L902" s="32"/>
      <c r="M902" s="32"/>
      <c r="N902" s="32"/>
      <c r="O902" s="32"/>
      <c r="P902" s="32"/>
      <c r="Q902" s="32"/>
      <c r="R902" s="32"/>
      <c r="S902" s="32"/>
      <c r="T902" s="32"/>
      <c r="U902" s="32"/>
      <c r="V902" s="32"/>
      <c r="W902" s="32"/>
      <c r="X902" s="32"/>
      <c r="Y902" s="32"/>
      <c r="Z902" s="32"/>
      <c r="AA902" s="32"/>
      <c r="AB902" s="32"/>
      <c r="AC902" s="32"/>
      <c r="AD902" s="32"/>
      <c r="AE902" s="32"/>
      <c r="AF902" s="32"/>
      <c r="AG902" s="32"/>
      <c r="AH902" s="32"/>
      <c r="AI902" s="32"/>
      <c r="AJ902" s="32"/>
    </row>
    <row r="903">
      <c r="A903" s="32"/>
      <c r="B903" s="32"/>
      <c r="C903" s="32"/>
      <c r="D903" s="32"/>
      <c r="E903" s="32"/>
      <c r="F903" s="32"/>
      <c r="G903" s="32"/>
      <c r="H903" s="32"/>
      <c r="I903" s="32"/>
      <c r="J903" s="32"/>
      <c r="K903" s="32"/>
      <c r="L903" s="32"/>
      <c r="M903" s="32"/>
      <c r="N903" s="32"/>
      <c r="O903" s="32"/>
      <c r="P903" s="32"/>
      <c r="Q903" s="32"/>
      <c r="R903" s="32"/>
      <c r="S903" s="32"/>
      <c r="T903" s="32"/>
      <c r="U903" s="32"/>
      <c r="V903" s="32"/>
      <c r="W903" s="32"/>
      <c r="X903" s="32"/>
      <c r="Y903" s="32"/>
      <c r="Z903" s="32"/>
      <c r="AA903" s="32"/>
      <c r="AB903" s="32"/>
      <c r="AC903" s="32"/>
      <c r="AD903" s="32"/>
      <c r="AE903" s="32"/>
      <c r="AF903" s="32"/>
      <c r="AG903" s="32"/>
      <c r="AH903" s="32"/>
      <c r="AI903" s="32"/>
      <c r="AJ903" s="32"/>
    </row>
    <row r="904">
      <c r="A904" s="32"/>
      <c r="B904" s="32"/>
      <c r="C904" s="32"/>
      <c r="D904" s="32"/>
      <c r="E904" s="32"/>
      <c r="F904" s="32"/>
      <c r="G904" s="32"/>
      <c r="H904" s="32"/>
      <c r="I904" s="32"/>
      <c r="J904" s="32"/>
      <c r="K904" s="32"/>
      <c r="L904" s="32"/>
      <c r="M904" s="32"/>
      <c r="N904" s="32"/>
      <c r="O904" s="32"/>
      <c r="P904" s="32"/>
      <c r="Q904" s="32"/>
      <c r="R904" s="32"/>
      <c r="S904" s="32"/>
      <c r="T904" s="32"/>
      <c r="U904" s="32"/>
      <c r="V904" s="32"/>
      <c r="W904" s="32"/>
      <c r="X904" s="32"/>
      <c r="Y904" s="32"/>
      <c r="Z904" s="32"/>
      <c r="AA904" s="32"/>
      <c r="AB904" s="32"/>
      <c r="AC904" s="32"/>
      <c r="AD904" s="32"/>
      <c r="AE904" s="32"/>
      <c r="AF904" s="32"/>
      <c r="AG904" s="32"/>
      <c r="AH904" s="32"/>
      <c r="AI904" s="32"/>
      <c r="AJ904" s="32"/>
    </row>
    <row r="905">
      <c r="A905" s="32"/>
      <c r="B905" s="32"/>
      <c r="C905" s="32"/>
      <c r="D905" s="32"/>
      <c r="E905" s="32"/>
      <c r="F905" s="32"/>
      <c r="G905" s="32"/>
      <c r="H905" s="32"/>
      <c r="I905" s="32"/>
      <c r="J905" s="32"/>
      <c r="K905" s="32"/>
      <c r="L905" s="32"/>
      <c r="M905" s="32"/>
      <c r="N905" s="32"/>
      <c r="O905" s="32"/>
      <c r="P905" s="32"/>
      <c r="Q905" s="32"/>
      <c r="R905" s="32"/>
      <c r="S905" s="32"/>
      <c r="T905" s="32"/>
      <c r="U905" s="32"/>
      <c r="V905" s="32"/>
      <c r="W905" s="32"/>
      <c r="X905" s="32"/>
      <c r="Y905" s="32"/>
      <c r="Z905" s="32"/>
      <c r="AA905" s="32"/>
      <c r="AB905" s="32"/>
      <c r="AC905" s="32"/>
      <c r="AD905" s="32"/>
      <c r="AE905" s="32"/>
      <c r="AF905" s="32"/>
      <c r="AG905" s="32"/>
      <c r="AH905" s="32"/>
      <c r="AI905" s="32"/>
      <c r="AJ905" s="32"/>
    </row>
    <row r="906">
      <c r="A906" s="32"/>
      <c r="B906" s="32"/>
      <c r="C906" s="32"/>
      <c r="D906" s="32"/>
      <c r="E906" s="32"/>
      <c r="F906" s="32"/>
      <c r="G906" s="32"/>
      <c r="H906" s="32"/>
      <c r="I906" s="32"/>
      <c r="J906" s="32"/>
      <c r="K906" s="32"/>
      <c r="L906" s="32"/>
      <c r="M906" s="32"/>
      <c r="N906" s="32"/>
      <c r="O906" s="32"/>
      <c r="P906" s="32"/>
      <c r="Q906" s="32"/>
      <c r="R906" s="32"/>
      <c r="S906" s="32"/>
      <c r="T906" s="32"/>
      <c r="U906" s="32"/>
      <c r="V906" s="32"/>
      <c r="W906" s="32"/>
      <c r="X906" s="32"/>
      <c r="Y906" s="32"/>
      <c r="Z906" s="32"/>
      <c r="AA906" s="32"/>
      <c r="AB906" s="32"/>
      <c r="AC906" s="32"/>
      <c r="AD906" s="32"/>
      <c r="AE906" s="32"/>
      <c r="AF906" s="32"/>
      <c r="AG906" s="32"/>
      <c r="AH906" s="32"/>
      <c r="AI906" s="32"/>
      <c r="AJ906" s="32"/>
    </row>
    <row r="907">
      <c r="A907" s="32"/>
      <c r="B907" s="32"/>
      <c r="C907" s="32"/>
      <c r="D907" s="32"/>
      <c r="E907" s="32"/>
      <c r="F907" s="32"/>
      <c r="G907" s="32"/>
      <c r="H907" s="32"/>
      <c r="I907" s="32"/>
      <c r="J907" s="32"/>
      <c r="K907" s="32"/>
      <c r="L907" s="32"/>
      <c r="M907" s="32"/>
      <c r="N907" s="32"/>
      <c r="O907" s="32"/>
      <c r="P907" s="32"/>
      <c r="Q907" s="32"/>
      <c r="R907" s="32"/>
      <c r="S907" s="32"/>
      <c r="T907" s="32"/>
      <c r="U907" s="32"/>
      <c r="V907" s="32"/>
      <c r="W907" s="32"/>
      <c r="X907" s="32"/>
      <c r="Y907" s="32"/>
      <c r="Z907" s="32"/>
      <c r="AA907" s="32"/>
      <c r="AB907" s="32"/>
      <c r="AC907" s="32"/>
      <c r="AD907" s="32"/>
      <c r="AE907" s="32"/>
      <c r="AF907" s="32"/>
      <c r="AG907" s="32"/>
      <c r="AH907" s="32"/>
      <c r="AI907" s="32"/>
      <c r="AJ907" s="32"/>
    </row>
    <row r="908">
      <c r="A908" s="32"/>
      <c r="B908" s="32"/>
      <c r="C908" s="32"/>
      <c r="D908" s="32"/>
      <c r="E908" s="32"/>
      <c r="F908" s="32"/>
      <c r="G908" s="32"/>
      <c r="H908" s="32"/>
      <c r="I908" s="32"/>
      <c r="J908" s="32"/>
      <c r="K908" s="32"/>
      <c r="L908" s="32"/>
      <c r="M908" s="32"/>
      <c r="N908" s="32"/>
      <c r="O908" s="32"/>
      <c r="P908" s="32"/>
      <c r="Q908" s="32"/>
      <c r="R908" s="32"/>
      <c r="S908" s="32"/>
      <c r="T908" s="32"/>
      <c r="U908" s="32"/>
      <c r="V908" s="32"/>
      <c r="W908" s="32"/>
      <c r="X908" s="32"/>
      <c r="Y908" s="32"/>
      <c r="Z908" s="32"/>
      <c r="AA908" s="32"/>
      <c r="AB908" s="32"/>
      <c r="AC908" s="32"/>
      <c r="AD908" s="32"/>
      <c r="AE908" s="32"/>
      <c r="AF908" s="32"/>
      <c r="AG908" s="32"/>
      <c r="AH908" s="32"/>
      <c r="AI908" s="32"/>
      <c r="AJ908" s="32"/>
    </row>
    <row r="909">
      <c r="A909" s="32"/>
      <c r="B909" s="32"/>
      <c r="C909" s="32"/>
      <c r="D909" s="32"/>
      <c r="E909" s="32"/>
      <c r="F909" s="32"/>
      <c r="G909" s="32"/>
      <c r="H909" s="32"/>
      <c r="I909" s="32"/>
      <c r="J909" s="32"/>
      <c r="K909" s="32"/>
      <c r="L909" s="32"/>
      <c r="M909" s="32"/>
      <c r="N909" s="32"/>
      <c r="O909" s="32"/>
      <c r="P909" s="32"/>
      <c r="Q909" s="32"/>
      <c r="R909" s="32"/>
      <c r="S909" s="32"/>
      <c r="T909" s="32"/>
      <c r="U909" s="32"/>
      <c r="V909" s="32"/>
      <c r="W909" s="32"/>
      <c r="X909" s="32"/>
      <c r="Y909" s="32"/>
      <c r="Z909" s="32"/>
      <c r="AA909" s="32"/>
      <c r="AB909" s="32"/>
      <c r="AC909" s="32"/>
      <c r="AD909" s="32"/>
      <c r="AE909" s="32"/>
      <c r="AF909" s="32"/>
      <c r="AG909" s="32"/>
      <c r="AH909" s="32"/>
      <c r="AI909" s="32"/>
      <c r="AJ909" s="32"/>
    </row>
    <row r="910">
      <c r="A910" s="32"/>
      <c r="B910" s="32"/>
      <c r="C910" s="32"/>
      <c r="D910" s="32"/>
      <c r="E910" s="32"/>
      <c r="F910" s="32"/>
      <c r="G910" s="32"/>
      <c r="H910" s="32"/>
      <c r="I910" s="32"/>
      <c r="J910" s="32"/>
      <c r="K910" s="32"/>
      <c r="L910" s="32"/>
      <c r="M910" s="32"/>
      <c r="N910" s="32"/>
      <c r="O910" s="32"/>
      <c r="P910" s="32"/>
      <c r="Q910" s="32"/>
      <c r="R910" s="32"/>
      <c r="S910" s="32"/>
      <c r="T910" s="32"/>
      <c r="U910" s="32"/>
      <c r="V910" s="32"/>
      <c r="W910" s="32"/>
      <c r="X910" s="32"/>
      <c r="Y910" s="32"/>
      <c r="Z910" s="32"/>
      <c r="AA910" s="32"/>
      <c r="AB910" s="32"/>
      <c r="AC910" s="32"/>
      <c r="AD910" s="32"/>
      <c r="AE910" s="32"/>
      <c r="AF910" s="32"/>
      <c r="AG910" s="32"/>
      <c r="AH910" s="32"/>
      <c r="AI910" s="32"/>
      <c r="AJ910" s="32"/>
    </row>
    <row r="911">
      <c r="A911" s="32"/>
      <c r="B911" s="32"/>
      <c r="C911" s="32"/>
      <c r="D911" s="32"/>
      <c r="E911" s="32"/>
      <c r="F911" s="32"/>
      <c r="G911" s="32"/>
      <c r="H911" s="32"/>
      <c r="I911" s="32"/>
      <c r="J911" s="32"/>
      <c r="K911" s="32"/>
      <c r="L911" s="32"/>
      <c r="M911" s="32"/>
      <c r="N911" s="32"/>
      <c r="O911" s="32"/>
      <c r="P911" s="32"/>
      <c r="Q911" s="32"/>
      <c r="R911" s="32"/>
      <c r="S911" s="32"/>
      <c r="T911" s="32"/>
      <c r="U911" s="32"/>
      <c r="V911" s="32"/>
      <c r="W911" s="32"/>
      <c r="X911" s="32"/>
      <c r="Y911" s="32"/>
      <c r="Z911" s="32"/>
      <c r="AA911" s="32"/>
      <c r="AB911" s="32"/>
      <c r="AC911" s="32"/>
      <c r="AD911" s="32"/>
      <c r="AE911" s="32"/>
      <c r="AF911" s="32"/>
      <c r="AG911" s="32"/>
      <c r="AH911" s="32"/>
      <c r="AI911" s="32"/>
      <c r="AJ911" s="32"/>
    </row>
    <row r="912">
      <c r="A912" s="32"/>
      <c r="B912" s="32"/>
      <c r="C912" s="32"/>
      <c r="D912" s="32"/>
      <c r="E912" s="32"/>
      <c r="F912" s="32"/>
      <c r="G912" s="32"/>
      <c r="H912" s="32"/>
      <c r="I912" s="32"/>
      <c r="J912" s="32"/>
      <c r="K912" s="32"/>
      <c r="L912" s="32"/>
      <c r="M912" s="32"/>
      <c r="N912" s="32"/>
      <c r="O912" s="32"/>
      <c r="P912" s="32"/>
      <c r="Q912" s="32"/>
      <c r="R912" s="32"/>
      <c r="S912" s="32"/>
      <c r="T912" s="32"/>
      <c r="U912" s="32"/>
      <c r="V912" s="32"/>
      <c r="W912" s="32"/>
      <c r="X912" s="32"/>
      <c r="Y912" s="32"/>
      <c r="Z912" s="32"/>
      <c r="AA912" s="32"/>
      <c r="AB912" s="32"/>
      <c r="AC912" s="32"/>
      <c r="AD912" s="32"/>
      <c r="AE912" s="32"/>
      <c r="AF912" s="32"/>
      <c r="AG912" s="32"/>
      <c r="AH912" s="32"/>
      <c r="AI912" s="32"/>
      <c r="AJ912" s="32"/>
    </row>
    <row r="913">
      <c r="A913" s="32"/>
      <c r="B913" s="32"/>
      <c r="C913" s="32"/>
      <c r="D913" s="32"/>
      <c r="E913" s="32"/>
      <c r="F913" s="32"/>
      <c r="G913" s="32"/>
      <c r="H913" s="32"/>
      <c r="I913" s="32"/>
      <c r="J913" s="32"/>
      <c r="K913" s="32"/>
      <c r="L913" s="32"/>
      <c r="M913" s="32"/>
      <c r="N913" s="32"/>
      <c r="O913" s="32"/>
      <c r="P913" s="32"/>
      <c r="Q913" s="32"/>
      <c r="R913" s="32"/>
      <c r="S913" s="32"/>
      <c r="T913" s="32"/>
      <c r="U913" s="32"/>
      <c r="V913" s="32"/>
      <c r="W913" s="32"/>
      <c r="X913" s="32"/>
      <c r="Y913" s="32"/>
      <c r="Z913" s="32"/>
      <c r="AA913" s="32"/>
      <c r="AB913" s="32"/>
      <c r="AC913" s="32"/>
      <c r="AD913" s="32"/>
      <c r="AE913" s="32"/>
      <c r="AF913" s="32"/>
      <c r="AG913" s="32"/>
      <c r="AH913" s="32"/>
      <c r="AI913" s="32"/>
      <c r="AJ913" s="32"/>
    </row>
    <row r="914">
      <c r="A914" s="32"/>
      <c r="B914" s="32"/>
      <c r="C914" s="32"/>
      <c r="D914" s="32"/>
      <c r="E914" s="32"/>
      <c r="F914" s="32"/>
      <c r="G914" s="32"/>
      <c r="H914" s="32"/>
      <c r="I914" s="32"/>
      <c r="J914" s="32"/>
      <c r="K914" s="32"/>
      <c r="L914" s="32"/>
      <c r="M914" s="32"/>
      <c r="N914" s="32"/>
      <c r="O914" s="32"/>
      <c r="P914" s="32"/>
      <c r="Q914" s="32"/>
      <c r="R914" s="32"/>
      <c r="S914" s="32"/>
      <c r="T914" s="32"/>
      <c r="U914" s="32"/>
      <c r="V914" s="32"/>
      <c r="W914" s="32"/>
      <c r="X914" s="32"/>
      <c r="Y914" s="32"/>
      <c r="Z914" s="32"/>
      <c r="AA914" s="32"/>
      <c r="AB914" s="32"/>
      <c r="AC914" s="32"/>
      <c r="AD914" s="32"/>
      <c r="AE914" s="32"/>
      <c r="AF914" s="32"/>
      <c r="AG914" s="32"/>
      <c r="AH914" s="32"/>
      <c r="AI914" s="32"/>
      <c r="AJ914" s="32"/>
    </row>
    <row r="915">
      <c r="A915" s="32"/>
      <c r="B915" s="32"/>
      <c r="C915" s="32"/>
      <c r="D915" s="32"/>
      <c r="E915" s="32"/>
      <c r="F915" s="32"/>
      <c r="G915" s="32"/>
      <c r="H915" s="32"/>
      <c r="I915" s="32"/>
      <c r="J915" s="32"/>
      <c r="K915" s="32"/>
      <c r="L915" s="32"/>
      <c r="M915" s="32"/>
      <c r="N915" s="32"/>
      <c r="O915" s="32"/>
      <c r="P915" s="32"/>
      <c r="Q915" s="32"/>
      <c r="R915" s="32"/>
      <c r="S915" s="32"/>
      <c r="T915" s="32"/>
      <c r="U915" s="32"/>
      <c r="V915" s="32"/>
      <c r="W915" s="32"/>
      <c r="X915" s="32"/>
      <c r="Y915" s="32"/>
      <c r="Z915" s="32"/>
      <c r="AA915" s="32"/>
      <c r="AB915" s="32"/>
      <c r="AC915" s="32"/>
      <c r="AD915" s="32"/>
      <c r="AE915" s="32"/>
      <c r="AF915" s="32"/>
      <c r="AG915" s="32"/>
      <c r="AH915" s="32"/>
      <c r="AI915" s="32"/>
      <c r="AJ915" s="32"/>
    </row>
    <row r="916">
      <c r="A916" s="32"/>
      <c r="B916" s="32"/>
      <c r="C916" s="32"/>
      <c r="D916" s="32"/>
      <c r="E916" s="32"/>
      <c r="F916" s="32"/>
      <c r="G916" s="32"/>
      <c r="H916" s="32"/>
      <c r="I916" s="32"/>
      <c r="J916" s="32"/>
      <c r="K916" s="32"/>
      <c r="L916" s="32"/>
      <c r="M916" s="32"/>
      <c r="N916" s="32"/>
      <c r="O916" s="32"/>
      <c r="P916" s="32"/>
      <c r="Q916" s="32"/>
      <c r="R916" s="32"/>
      <c r="S916" s="32"/>
      <c r="T916" s="32"/>
      <c r="U916" s="32"/>
      <c r="V916" s="32"/>
      <c r="W916" s="32"/>
      <c r="X916" s="32"/>
      <c r="Y916" s="32"/>
      <c r="Z916" s="32"/>
      <c r="AA916" s="32"/>
      <c r="AB916" s="32"/>
      <c r="AC916" s="32"/>
      <c r="AD916" s="32"/>
      <c r="AE916" s="32"/>
      <c r="AF916" s="32"/>
      <c r="AG916" s="32"/>
      <c r="AH916" s="32"/>
      <c r="AI916" s="32"/>
      <c r="AJ916" s="32"/>
    </row>
    <row r="917">
      <c r="A917" s="32"/>
      <c r="B917" s="32"/>
      <c r="C917" s="32"/>
      <c r="D917" s="32"/>
      <c r="E917" s="32"/>
      <c r="F917" s="32"/>
      <c r="G917" s="32"/>
      <c r="H917" s="32"/>
      <c r="I917" s="32"/>
      <c r="J917" s="32"/>
      <c r="K917" s="32"/>
      <c r="L917" s="32"/>
      <c r="M917" s="32"/>
      <c r="N917" s="32"/>
      <c r="O917" s="32"/>
      <c r="P917" s="32"/>
      <c r="Q917" s="32"/>
      <c r="R917" s="32"/>
      <c r="S917" s="32"/>
      <c r="T917" s="32"/>
      <c r="U917" s="32"/>
      <c r="V917" s="32"/>
      <c r="W917" s="32"/>
      <c r="X917" s="32"/>
      <c r="Y917" s="32"/>
      <c r="Z917" s="32"/>
      <c r="AA917" s="32"/>
      <c r="AB917" s="32"/>
      <c r="AC917" s="32"/>
      <c r="AD917" s="32"/>
      <c r="AE917" s="32"/>
      <c r="AF917" s="32"/>
      <c r="AG917" s="32"/>
      <c r="AH917" s="32"/>
      <c r="AI917" s="32"/>
      <c r="AJ917" s="32"/>
    </row>
    <row r="918">
      <c r="A918" s="32"/>
      <c r="B918" s="32"/>
      <c r="C918" s="32"/>
      <c r="D918" s="32"/>
      <c r="E918" s="32"/>
      <c r="F918" s="32"/>
      <c r="G918" s="32"/>
      <c r="H918" s="32"/>
      <c r="I918" s="32"/>
      <c r="J918" s="32"/>
      <c r="K918" s="32"/>
      <c r="L918" s="32"/>
      <c r="M918" s="32"/>
      <c r="N918" s="32"/>
      <c r="O918" s="32"/>
      <c r="P918" s="32"/>
      <c r="Q918" s="32"/>
      <c r="R918" s="32"/>
      <c r="S918" s="32"/>
      <c r="T918" s="32"/>
      <c r="U918" s="32"/>
      <c r="V918" s="32"/>
      <c r="W918" s="32"/>
      <c r="X918" s="32"/>
      <c r="Y918" s="32"/>
      <c r="Z918" s="32"/>
      <c r="AA918" s="32"/>
      <c r="AB918" s="32"/>
      <c r="AC918" s="32"/>
      <c r="AD918" s="32"/>
      <c r="AE918" s="32"/>
      <c r="AF918" s="32"/>
      <c r="AG918" s="32"/>
      <c r="AH918" s="32"/>
      <c r="AI918" s="32"/>
      <c r="AJ918" s="32"/>
    </row>
    <row r="919">
      <c r="A919" s="32"/>
      <c r="B919" s="32"/>
      <c r="C919" s="32"/>
      <c r="D919" s="32"/>
      <c r="E919" s="32"/>
      <c r="F919" s="32"/>
      <c r="G919" s="32"/>
      <c r="H919" s="32"/>
      <c r="I919" s="32"/>
      <c r="J919" s="32"/>
      <c r="K919" s="32"/>
      <c r="L919" s="32"/>
      <c r="M919" s="32"/>
      <c r="N919" s="32"/>
      <c r="O919" s="32"/>
      <c r="P919" s="32"/>
      <c r="Q919" s="32"/>
      <c r="R919" s="32"/>
      <c r="S919" s="32"/>
      <c r="T919" s="32"/>
      <c r="U919" s="32"/>
      <c r="V919" s="32"/>
      <c r="W919" s="32"/>
      <c r="X919" s="32"/>
      <c r="Y919" s="32"/>
      <c r="Z919" s="32"/>
      <c r="AA919" s="32"/>
      <c r="AB919" s="32"/>
      <c r="AC919" s="32"/>
      <c r="AD919" s="32"/>
      <c r="AE919" s="32"/>
      <c r="AF919" s="32"/>
      <c r="AG919" s="32"/>
      <c r="AH919" s="32"/>
      <c r="AI919" s="32"/>
      <c r="AJ919" s="32"/>
    </row>
    <row r="920">
      <c r="A920" s="32"/>
      <c r="B920" s="32"/>
      <c r="C920" s="32"/>
      <c r="D920" s="32"/>
      <c r="E920" s="32"/>
      <c r="F920" s="32"/>
      <c r="G920" s="32"/>
      <c r="H920" s="32"/>
      <c r="I920" s="32"/>
      <c r="J920" s="32"/>
      <c r="K920" s="32"/>
      <c r="L920" s="32"/>
      <c r="M920" s="32"/>
      <c r="N920" s="32"/>
      <c r="O920" s="32"/>
      <c r="P920" s="32"/>
      <c r="Q920" s="32"/>
      <c r="R920" s="32"/>
      <c r="S920" s="32"/>
      <c r="T920" s="32"/>
      <c r="U920" s="32"/>
      <c r="V920" s="32"/>
      <c r="W920" s="32"/>
      <c r="X920" s="32"/>
      <c r="Y920" s="32"/>
      <c r="Z920" s="32"/>
      <c r="AA920" s="32"/>
      <c r="AB920" s="32"/>
      <c r="AC920" s="32"/>
      <c r="AD920" s="32"/>
      <c r="AE920" s="32"/>
      <c r="AF920" s="32"/>
      <c r="AG920" s="32"/>
      <c r="AH920" s="32"/>
      <c r="AI920" s="32"/>
      <c r="AJ920" s="32"/>
    </row>
    <row r="921">
      <c r="A921" s="32"/>
      <c r="B921" s="32"/>
      <c r="C921" s="32"/>
      <c r="D921" s="32"/>
      <c r="E921" s="32"/>
      <c r="F921" s="32"/>
      <c r="G921" s="32"/>
      <c r="H921" s="32"/>
      <c r="I921" s="32"/>
      <c r="J921" s="32"/>
      <c r="K921" s="32"/>
      <c r="L921" s="32"/>
      <c r="M921" s="32"/>
      <c r="N921" s="32"/>
      <c r="O921" s="32"/>
      <c r="P921" s="32"/>
      <c r="Q921" s="32"/>
      <c r="R921" s="32"/>
      <c r="S921" s="32"/>
      <c r="T921" s="32"/>
      <c r="U921" s="32"/>
      <c r="V921" s="32"/>
      <c r="W921" s="32"/>
      <c r="X921" s="32"/>
      <c r="Y921" s="32"/>
      <c r="Z921" s="32"/>
      <c r="AA921" s="32"/>
      <c r="AB921" s="32"/>
      <c r="AC921" s="32"/>
      <c r="AD921" s="32"/>
      <c r="AE921" s="32"/>
      <c r="AF921" s="32"/>
      <c r="AG921" s="32"/>
      <c r="AH921" s="32"/>
      <c r="AI921" s="32"/>
      <c r="AJ921" s="32"/>
    </row>
    <row r="922">
      <c r="A922" s="32"/>
      <c r="B922" s="32"/>
      <c r="C922" s="32"/>
      <c r="D922" s="32"/>
      <c r="E922" s="32"/>
      <c r="F922" s="32"/>
      <c r="G922" s="32"/>
      <c r="H922" s="32"/>
      <c r="I922" s="32"/>
      <c r="J922" s="32"/>
      <c r="K922" s="32"/>
      <c r="L922" s="32"/>
      <c r="M922" s="32"/>
      <c r="N922" s="32"/>
      <c r="O922" s="32"/>
      <c r="P922" s="32"/>
      <c r="Q922" s="32"/>
      <c r="R922" s="32"/>
      <c r="S922" s="32"/>
      <c r="T922" s="32"/>
      <c r="U922" s="32"/>
      <c r="V922" s="32"/>
      <c r="W922" s="32"/>
      <c r="X922" s="32"/>
      <c r="Y922" s="32"/>
      <c r="Z922" s="32"/>
      <c r="AA922" s="32"/>
      <c r="AB922" s="32"/>
      <c r="AC922" s="32"/>
      <c r="AD922" s="32"/>
      <c r="AE922" s="32"/>
      <c r="AF922" s="32"/>
      <c r="AG922" s="32"/>
      <c r="AH922" s="32"/>
      <c r="AI922" s="32"/>
      <c r="AJ922" s="32"/>
    </row>
    <row r="923">
      <c r="A923" s="32"/>
      <c r="B923" s="32"/>
      <c r="C923" s="32"/>
      <c r="D923" s="32"/>
      <c r="E923" s="32"/>
      <c r="F923" s="32"/>
      <c r="G923" s="32"/>
      <c r="H923" s="32"/>
      <c r="I923" s="32"/>
      <c r="J923" s="32"/>
      <c r="K923" s="32"/>
      <c r="L923" s="32"/>
      <c r="M923" s="32"/>
      <c r="N923" s="32"/>
      <c r="O923" s="32"/>
      <c r="P923" s="32"/>
      <c r="Q923" s="32"/>
      <c r="R923" s="32"/>
      <c r="S923" s="32"/>
      <c r="T923" s="32"/>
      <c r="U923" s="32"/>
      <c r="V923" s="32"/>
      <c r="W923" s="32"/>
      <c r="X923" s="32"/>
      <c r="Y923" s="32"/>
      <c r="Z923" s="32"/>
      <c r="AA923" s="32"/>
      <c r="AB923" s="32"/>
      <c r="AC923" s="32"/>
      <c r="AD923" s="32"/>
      <c r="AE923" s="32"/>
      <c r="AF923" s="32"/>
      <c r="AG923" s="32"/>
      <c r="AH923" s="32"/>
      <c r="AI923" s="32"/>
      <c r="AJ923" s="32"/>
    </row>
    <row r="924">
      <c r="A924" s="32"/>
      <c r="B924" s="32"/>
      <c r="C924" s="32"/>
      <c r="D924" s="32"/>
      <c r="E924" s="32"/>
      <c r="F924" s="32"/>
      <c r="G924" s="32"/>
      <c r="H924" s="32"/>
      <c r="I924" s="32"/>
      <c r="J924" s="32"/>
      <c r="K924" s="32"/>
      <c r="L924" s="32"/>
      <c r="M924" s="32"/>
      <c r="N924" s="32"/>
      <c r="O924" s="32"/>
      <c r="P924" s="32"/>
      <c r="Q924" s="32"/>
      <c r="R924" s="32"/>
      <c r="S924" s="32"/>
      <c r="T924" s="32"/>
      <c r="U924" s="32"/>
      <c r="V924" s="32"/>
      <c r="W924" s="32"/>
      <c r="X924" s="32"/>
      <c r="Y924" s="32"/>
      <c r="Z924" s="32"/>
      <c r="AA924" s="32"/>
      <c r="AB924" s="32"/>
      <c r="AC924" s="32"/>
      <c r="AD924" s="32"/>
      <c r="AE924" s="32"/>
      <c r="AF924" s="32"/>
      <c r="AG924" s="32"/>
      <c r="AH924" s="32"/>
      <c r="AI924" s="32"/>
      <c r="AJ924" s="32"/>
    </row>
    <row r="925">
      <c r="A925" s="32"/>
      <c r="B925" s="32"/>
      <c r="C925" s="32"/>
      <c r="D925" s="32"/>
      <c r="E925" s="32"/>
      <c r="F925" s="32"/>
      <c r="G925" s="32"/>
      <c r="H925" s="32"/>
      <c r="I925" s="32"/>
      <c r="J925" s="32"/>
      <c r="K925" s="32"/>
      <c r="L925" s="32"/>
      <c r="M925" s="32"/>
      <c r="N925" s="32"/>
      <c r="O925" s="32"/>
      <c r="P925" s="32"/>
      <c r="Q925" s="32"/>
      <c r="R925" s="32"/>
      <c r="S925" s="32"/>
      <c r="T925" s="32"/>
      <c r="U925" s="32"/>
      <c r="V925" s="32"/>
      <c r="W925" s="32"/>
      <c r="X925" s="32"/>
      <c r="Y925" s="32"/>
      <c r="Z925" s="32"/>
      <c r="AA925" s="32"/>
      <c r="AB925" s="32"/>
      <c r="AC925" s="32"/>
      <c r="AD925" s="32"/>
      <c r="AE925" s="32"/>
      <c r="AF925" s="32"/>
      <c r="AG925" s="32"/>
      <c r="AH925" s="32"/>
      <c r="AI925" s="32"/>
      <c r="AJ925" s="32"/>
    </row>
    <row r="926">
      <c r="A926" s="32"/>
      <c r="B926" s="32"/>
      <c r="C926" s="32"/>
      <c r="D926" s="32"/>
      <c r="E926" s="32"/>
      <c r="F926" s="32"/>
      <c r="G926" s="32"/>
      <c r="H926" s="32"/>
      <c r="I926" s="32"/>
      <c r="J926" s="32"/>
      <c r="K926" s="32"/>
      <c r="L926" s="32"/>
      <c r="M926" s="32"/>
      <c r="N926" s="32"/>
      <c r="O926" s="32"/>
      <c r="P926" s="32"/>
      <c r="Q926" s="32"/>
      <c r="R926" s="32"/>
      <c r="S926" s="32"/>
      <c r="T926" s="32"/>
      <c r="U926" s="32"/>
      <c r="V926" s="32"/>
      <c r="W926" s="32"/>
      <c r="X926" s="32"/>
      <c r="Y926" s="32"/>
      <c r="Z926" s="32"/>
      <c r="AA926" s="32"/>
      <c r="AB926" s="32"/>
      <c r="AC926" s="32"/>
      <c r="AD926" s="32"/>
      <c r="AE926" s="32"/>
      <c r="AF926" s="32"/>
      <c r="AG926" s="32"/>
      <c r="AH926" s="32"/>
      <c r="AI926" s="32"/>
      <c r="AJ926" s="32"/>
    </row>
    <row r="927">
      <c r="A927" s="32"/>
      <c r="B927" s="32"/>
      <c r="C927" s="32"/>
      <c r="D927" s="32"/>
      <c r="E927" s="32"/>
      <c r="F927" s="32"/>
      <c r="G927" s="32"/>
      <c r="H927" s="32"/>
      <c r="I927" s="32"/>
      <c r="J927" s="32"/>
      <c r="K927" s="32"/>
      <c r="L927" s="32"/>
      <c r="M927" s="32"/>
      <c r="N927" s="32"/>
      <c r="O927" s="32"/>
      <c r="P927" s="32"/>
      <c r="Q927" s="32"/>
      <c r="R927" s="32"/>
      <c r="S927" s="32"/>
      <c r="T927" s="32"/>
      <c r="U927" s="32"/>
      <c r="V927" s="32"/>
      <c r="W927" s="32"/>
      <c r="X927" s="32"/>
      <c r="Y927" s="32"/>
      <c r="Z927" s="32"/>
      <c r="AA927" s="32"/>
      <c r="AB927" s="32"/>
      <c r="AC927" s="32"/>
      <c r="AD927" s="32"/>
      <c r="AE927" s="32"/>
      <c r="AF927" s="32"/>
      <c r="AG927" s="32"/>
      <c r="AH927" s="32"/>
      <c r="AI927" s="32"/>
      <c r="AJ927" s="32"/>
    </row>
    <row r="928">
      <c r="A928" s="32"/>
      <c r="B928" s="32"/>
      <c r="C928" s="32"/>
      <c r="D928" s="32"/>
      <c r="E928" s="32"/>
      <c r="F928" s="32"/>
      <c r="G928" s="32"/>
      <c r="H928" s="32"/>
      <c r="I928" s="32"/>
      <c r="J928" s="32"/>
      <c r="K928" s="32"/>
      <c r="L928" s="32"/>
      <c r="M928" s="32"/>
      <c r="N928" s="32"/>
      <c r="O928" s="32"/>
      <c r="P928" s="32"/>
      <c r="Q928" s="32"/>
      <c r="R928" s="32"/>
      <c r="S928" s="32"/>
      <c r="T928" s="32"/>
      <c r="U928" s="32"/>
      <c r="V928" s="32"/>
      <c r="W928" s="32"/>
      <c r="X928" s="32"/>
      <c r="Y928" s="32"/>
      <c r="Z928" s="32"/>
      <c r="AA928" s="32"/>
      <c r="AB928" s="32"/>
      <c r="AC928" s="32"/>
      <c r="AD928" s="32"/>
      <c r="AE928" s="32"/>
      <c r="AF928" s="32"/>
      <c r="AG928" s="32"/>
      <c r="AH928" s="32"/>
      <c r="AI928" s="32"/>
      <c r="AJ928" s="32"/>
    </row>
    <row r="929">
      <c r="A929" s="32"/>
      <c r="B929" s="32"/>
      <c r="C929" s="32"/>
      <c r="D929" s="32"/>
      <c r="E929" s="32"/>
      <c r="F929" s="32"/>
      <c r="G929" s="32"/>
      <c r="H929" s="32"/>
      <c r="I929" s="32"/>
      <c r="J929" s="32"/>
      <c r="K929" s="32"/>
      <c r="L929" s="32"/>
      <c r="M929" s="32"/>
      <c r="N929" s="32"/>
      <c r="O929" s="32"/>
      <c r="P929" s="32"/>
      <c r="Q929" s="32"/>
      <c r="R929" s="32"/>
      <c r="S929" s="32"/>
      <c r="T929" s="32"/>
      <c r="U929" s="32"/>
      <c r="V929" s="32"/>
      <c r="W929" s="32"/>
      <c r="X929" s="32"/>
      <c r="Y929" s="32"/>
      <c r="Z929" s="32"/>
      <c r="AA929" s="32"/>
      <c r="AB929" s="32"/>
      <c r="AC929" s="32"/>
      <c r="AD929" s="32"/>
      <c r="AE929" s="32"/>
      <c r="AF929" s="32"/>
      <c r="AG929" s="32"/>
      <c r="AH929" s="32"/>
      <c r="AI929" s="32"/>
      <c r="AJ929" s="32"/>
    </row>
    <row r="930">
      <c r="A930" s="32"/>
      <c r="B930" s="32"/>
      <c r="C930" s="32"/>
      <c r="D930" s="32"/>
      <c r="E930" s="32"/>
      <c r="F930" s="32"/>
      <c r="G930" s="32"/>
      <c r="H930" s="32"/>
      <c r="I930" s="32"/>
      <c r="J930" s="32"/>
      <c r="K930" s="32"/>
      <c r="L930" s="32"/>
      <c r="M930" s="32"/>
      <c r="N930" s="32"/>
      <c r="O930" s="32"/>
      <c r="P930" s="32"/>
      <c r="Q930" s="32"/>
      <c r="R930" s="32"/>
      <c r="S930" s="32"/>
      <c r="T930" s="32"/>
      <c r="U930" s="32"/>
      <c r="V930" s="32"/>
      <c r="W930" s="32"/>
      <c r="X930" s="32"/>
      <c r="Y930" s="32"/>
      <c r="Z930" s="32"/>
      <c r="AA930" s="32"/>
      <c r="AB930" s="32"/>
      <c r="AC930" s="32"/>
      <c r="AD930" s="32"/>
      <c r="AE930" s="32"/>
      <c r="AF930" s="32"/>
      <c r="AG930" s="32"/>
      <c r="AH930" s="32"/>
      <c r="AI930" s="32"/>
      <c r="AJ930" s="32"/>
    </row>
    <row r="931">
      <c r="A931" s="32"/>
      <c r="B931" s="32"/>
      <c r="C931" s="32"/>
      <c r="D931" s="32"/>
      <c r="E931" s="32"/>
      <c r="F931" s="32"/>
      <c r="G931" s="32"/>
      <c r="H931" s="32"/>
      <c r="I931" s="32"/>
      <c r="J931" s="32"/>
      <c r="K931" s="32"/>
      <c r="L931" s="32"/>
      <c r="M931" s="32"/>
      <c r="N931" s="32"/>
      <c r="O931" s="32"/>
      <c r="P931" s="32"/>
      <c r="Q931" s="32"/>
      <c r="R931" s="32"/>
      <c r="S931" s="32"/>
      <c r="T931" s="32"/>
      <c r="U931" s="32"/>
      <c r="V931" s="32"/>
      <c r="W931" s="32"/>
      <c r="X931" s="32"/>
      <c r="Y931" s="32"/>
      <c r="Z931" s="32"/>
      <c r="AA931" s="32"/>
      <c r="AB931" s="32"/>
      <c r="AC931" s="32"/>
      <c r="AD931" s="32"/>
      <c r="AE931" s="32"/>
      <c r="AF931" s="32"/>
      <c r="AG931" s="32"/>
      <c r="AH931" s="32"/>
      <c r="AI931" s="32"/>
      <c r="AJ931" s="32"/>
    </row>
    <row r="932">
      <c r="A932" s="32"/>
      <c r="B932" s="32"/>
      <c r="C932" s="32"/>
      <c r="D932" s="32"/>
      <c r="E932" s="32"/>
      <c r="F932" s="32"/>
      <c r="G932" s="32"/>
      <c r="H932" s="32"/>
      <c r="I932" s="32"/>
      <c r="J932" s="32"/>
      <c r="K932" s="32"/>
      <c r="L932" s="32"/>
      <c r="M932" s="32"/>
      <c r="N932" s="32"/>
      <c r="O932" s="32"/>
      <c r="P932" s="32"/>
      <c r="Q932" s="32"/>
      <c r="R932" s="32"/>
      <c r="S932" s="32"/>
      <c r="T932" s="32"/>
      <c r="U932" s="32"/>
      <c r="V932" s="32"/>
      <c r="W932" s="32"/>
      <c r="X932" s="32"/>
      <c r="Y932" s="32"/>
      <c r="Z932" s="32"/>
      <c r="AA932" s="32"/>
      <c r="AB932" s="32"/>
      <c r="AC932" s="32"/>
      <c r="AD932" s="32"/>
      <c r="AE932" s="32"/>
      <c r="AF932" s="32"/>
      <c r="AG932" s="32"/>
      <c r="AH932" s="32"/>
      <c r="AI932" s="32"/>
      <c r="AJ932" s="32"/>
    </row>
    <row r="933">
      <c r="A933" s="32"/>
      <c r="B933" s="32"/>
      <c r="C933" s="32"/>
      <c r="D933" s="32"/>
      <c r="E933" s="32"/>
      <c r="F933" s="32"/>
      <c r="G933" s="32"/>
      <c r="H933" s="32"/>
      <c r="I933" s="32"/>
      <c r="J933" s="32"/>
      <c r="K933" s="32"/>
      <c r="L933" s="32"/>
      <c r="M933" s="32"/>
      <c r="N933" s="32"/>
      <c r="O933" s="32"/>
      <c r="P933" s="32"/>
      <c r="Q933" s="32"/>
      <c r="R933" s="32"/>
      <c r="S933" s="32"/>
      <c r="T933" s="32"/>
      <c r="U933" s="32"/>
      <c r="V933" s="32"/>
      <c r="W933" s="32"/>
      <c r="X933" s="32"/>
      <c r="Y933" s="32"/>
      <c r="Z933" s="32"/>
      <c r="AA933" s="32"/>
      <c r="AB933" s="32"/>
      <c r="AC933" s="32"/>
      <c r="AD933" s="32"/>
      <c r="AE933" s="32"/>
      <c r="AF933" s="32"/>
      <c r="AG933" s="32"/>
      <c r="AH933" s="32"/>
      <c r="AI933" s="32"/>
      <c r="AJ933" s="32"/>
    </row>
    <row r="934">
      <c r="A934" s="32"/>
      <c r="B934" s="32"/>
      <c r="C934" s="32"/>
      <c r="D934" s="32"/>
      <c r="E934" s="32"/>
      <c r="F934" s="32"/>
      <c r="G934" s="32"/>
      <c r="H934" s="32"/>
      <c r="I934" s="32"/>
      <c r="J934" s="32"/>
      <c r="K934" s="32"/>
      <c r="L934" s="32"/>
      <c r="M934" s="32"/>
      <c r="N934" s="32"/>
      <c r="O934" s="32"/>
      <c r="P934" s="32"/>
      <c r="Q934" s="32"/>
      <c r="R934" s="32"/>
      <c r="S934" s="32"/>
      <c r="T934" s="32"/>
      <c r="U934" s="32"/>
      <c r="V934" s="32"/>
      <c r="W934" s="32"/>
      <c r="X934" s="32"/>
      <c r="Y934" s="32"/>
      <c r="Z934" s="32"/>
      <c r="AA934" s="32"/>
      <c r="AB934" s="32"/>
      <c r="AC934" s="32"/>
      <c r="AD934" s="32"/>
      <c r="AE934" s="32"/>
      <c r="AF934" s="32"/>
      <c r="AG934" s="32"/>
      <c r="AH934" s="32"/>
      <c r="AI934" s="32"/>
      <c r="AJ934" s="32"/>
    </row>
    <row r="935">
      <c r="A935" s="32"/>
      <c r="B935" s="32"/>
      <c r="C935" s="32"/>
      <c r="D935" s="32"/>
      <c r="E935" s="32"/>
      <c r="F935" s="32"/>
      <c r="G935" s="32"/>
      <c r="H935" s="32"/>
      <c r="I935" s="32"/>
      <c r="J935" s="32"/>
      <c r="K935" s="32"/>
      <c r="L935" s="32"/>
      <c r="M935" s="32"/>
      <c r="N935" s="32"/>
      <c r="O935" s="32"/>
      <c r="P935" s="32"/>
      <c r="Q935" s="32"/>
      <c r="R935" s="32"/>
      <c r="S935" s="32"/>
      <c r="T935" s="32"/>
      <c r="U935" s="32"/>
      <c r="V935" s="32"/>
      <c r="W935" s="32"/>
      <c r="X935" s="32"/>
      <c r="Y935" s="32"/>
      <c r="Z935" s="32"/>
      <c r="AA935" s="32"/>
      <c r="AB935" s="32"/>
      <c r="AC935" s="32"/>
      <c r="AD935" s="32"/>
      <c r="AE935" s="32"/>
      <c r="AF935" s="32"/>
      <c r="AG935" s="32"/>
      <c r="AH935" s="32"/>
      <c r="AI935" s="32"/>
      <c r="AJ935" s="32"/>
    </row>
    <row r="936">
      <c r="A936" s="32"/>
      <c r="B936" s="32"/>
      <c r="C936" s="32"/>
      <c r="D936" s="32"/>
      <c r="E936" s="32"/>
      <c r="F936" s="32"/>
      <c r="G936" s="32"/>
      <c r="H936" s="32"/>
      <c r="I936" s="32"/>
      <c r="J936" s="32"/>
      <c r="K936" s="32"/>
      <c r="L936" s="32"/>
      <c r="M936" s="32"/>
      <c r="N936" s="32"/>
      <c r="O936" s="32"/>
      <c r="P936" s="32"/>
      <c r="Q936" s="32"/>
      <c r="R936" s="32"/>
      <c r="S936" s="32"/>
      <c r="T936" s="32"/>
      <c r="U936" s="32"/>
      <c r="V936" s="32"/>
      <c r="W936" s="32"/>
      <c r="X936" s="32"/>
      <c r="Y936" s="32"/>
      <c r="Z936" s="32"/>
      <c r="AA936" s="32"/>
      <c r="AB936" s="32"/>
      <c r="AC936" s="32"/>
      <c r="AD936" s="32"/>
      <c r="AE936" s="32"/>
      <c r="AF936" s="32"/>
      <c r="AG936" s="32"/>
      <c r="AH936" s="32"/>
      <c r="AI936" s="32"/>
      <c r="AJ936" s="32"/>
    </row>
    <row r="937">
      <c r="A937" s="32"/>
      <c r="B937" s="32"/>
      <c r="C937" s="32"/>
      <c r="D937" s="32"/>
      <c r="E937" s="32"/>
      <c r="F937" s="32"/>
      <c r="G937" s="32"/>
      <c r="H937" s="32"/>
      <c r="I937" s="32"/>
      <c r="J937" s="32"/>
      <c r="K937" s="32"/>
      <c r="L937" s="32"/>
      <c r="M937" s="32"/>
      <c r="N937" s="32"/>
      <c r="O937" s="32"/>
      <c r="P937" s="32"/>
      <c r="Q937" s="32"/>
      <c r="R937" s="32"/>
      <c r="S937" s="32"/>
      <c r="T937" s="32"/>
      <c r="U937" s="32"/>
      <c r="V937" s="32"/>
      <c r="W937" s="32"/>
      <c r="X937" s="32"/>
      <c r="Y937" s="32"/>
      <c r="Z937" s="32"/>
      <c r="AA937" s="32"/>
      <c r="AB937" s="32"/>
      <c r="AC937" s="32"/>
      <c r="AD937" s="32"/>
      <c r="AE937" s="32"/>
      <c r="AF937" s="32"/>
      <c r="AG937" s="32"/>
      <c r="AH937" s="32"/>
      <c r="AI937" s="32"/>
      <c r="AJ937" s="32"/>
    </row>
    <row r="938">
      <c r="A938" s="32"/>
      <c r="B938" s="32"/>
      <c r="C938" s="32"/>
      <c r="D938" s="32"/>
      <c r="E938" s="32"/>
      <c r="F938" s="32"/>
      <c r="G938" s="32"/>
      <c r="H938" s="32"/>
      <c r="I938" s="32"/>
      <c r="J938" s="32"/>
      <c r="K938" s="32"/>
      <c r="L938" s="32"/>
      <c r="M938" s="32"/>
      <c r="N938" s="32"/>
      <c r="O938" s="32"/>
      <c r="P938" s="32"/>
      <c r="Q938" s="32"/>
      <c r="R938" s="32"/>
      <c r="S938" s="32"/>
      <c r="T938" s="32"/>
      <c r="U938" s="32"/>
      <c r="V938" s="32"/>
      <c r="W938" s="32"/>
      <c r="X938" s="32"/>
      <c r="Y938" s="32"/>
      <c r="Z938" s="32"/>
      <c r="AA938" s="32"/>
      <c r="AB938" s="32"/>
      <c r="AC938" s="32"/>
      <c r="AD938" s="32"/>
      <c r="AE938" s="32"/>
      <c r="AF938" s="32"/>
      <c r="AG938" s="32"/>
      <c r="AH938" s="32"/>
      <c r="AI938" s="32"/>
      <c r="AJ938" s="32"/>
    </row>
    <row r="939">
      <c r="A939" s="32"/>
      <c r="B939" s="32"/>
      <c r="C939" s="32"/>
      <c r="D939" s="32"/>
      <c r="E939" s="32"/>
      <c r="F939" s="32"/>
      <c r="G939" s="32"/>
      <c r="H939" s="32"/>
      <c r="I939" s="32"/>
      <c r="J939" s="32"/>
      <c r="K939" s="32"/>
      <c r="L939" s="32"/>
      <c r="M939" s="32"/>
      <c r="N939" s="32"/>
      <c r="O939" s="32"/>
      <c r="P939" s="32"/>
      <c r="Q939" s="32"/>
      <c r="R939" s="32"/>
      <c r="S939" s="32"/>
      <c r="T939" s="32"/>
      <c r="U939" s="32"/>
      <c r="V939" s="32"/>
      <c r="W939" s="32"/>
      <c r="X939" s="32"/>
      <c r="Y939" s="32"/>
      <c r="Z939" s="32"/>
      <c r="AA939" s="32"/>
      <c r="AB939" s="32"/>
      <c r="AC939" s="32"/>
      <c r="AD939" s="32"/>
      <c r="AE939" s="32"/>
      <c r="AF939" s="32"/>
      <c r="AG939" s="32"/>
      <c r="AH939" s="32"/>
      <c r="AI939" s="32"/>
      <c r="AJ939" s="32"/>
    </row>
    <row r="940">
      <c r="A940" s="32"/>
      <c r="B940" s="32"/>
      <c r="C940" s="32"/>
      <c r="D940" s="32"/>
      <c r="E940" s="32"/>
      <c r="F940" s="32"/>
      <c r="G940" s="32"/>
      <c r="H940" s="32"/>
      <c r="I940" s="32"/>
      <c r="J940" s="32"/>
      <c r="K940" s="32"/>
      <c r="L940" s="32"/>
      <c r="M940" s="32"/>
      <c r="N940" s="32"/>
      <c r="O940" s="32"/>
      <c r="P940" s="32"/>
      <c r="Q940" s="32"/>
      <c r="R940" s="32"/>
      <c r="S940" s="32"/>
      <c r="T940" s="32"/>
      <c r="U940" s="32"/>
      <c r="V940" s="32"/>
      <c r="W940" s="32"/>
      <c r="X940" s="32"/>
      <c r="Y940" s="32"/>
      <c r="Z940" s="32"/>
      <c r="AA940" s="32"/>
      <c r="AB940" s="32"/>
      <c r="AC940" s="32"/>
      <c r="AD940" s="32"/>
      <c r="AE940" s="32"/>
      <c r="AF940" s="32"/>
      <c r="AG940" s="32"/>
      <c r="AH940" s="32"/>
      <c r="AI940" s="32"/>
      <c r="AJ940" s="32"/>
    </row>
    <row r="941">
      <c r="A941" s="32"/>
      <c r="B941" s="32"/>
      <c r="C941" s="32"/>
      <c r="D941" s="32"/>
      <c r="E941" s="32"/>
      <c r="F941" s="32"/>
      <c r="G941" s="32"/>
      <c r="H941" s="32"/>
      <c r="I941" s="32"/>
      <c r="J941" s="32"/>
      <c r="K941" s="32"/>
      <c r="L941" s="32"/>
      <c r="M941" s="32"/>
      <c r="N941" s="32"/>
      <c r="O941" s="32"/>
      <c r="P941" s="32"/>
      <c r="Q941" s="32"/>
      <c r="R941" s="32"/>
      <c r="S941" s="32"/>
      <c r="T941" s="32"/>
      <c r="U941" s="32"/>
      <c r="V941" s="32"/>
      <c r="W941" s="32"/>
      <c r="X941" s="32"/>
      <c r="Y941" s="32"/>
      <c r="Z941" s="32"/>
      <c r="AA941" s="32"/>
      <c r="AB941" s="32"/>
      <c r="AC941" s="32"/>
      <c r="AD941" s="32"/>
      <c r="AE941" s="32"/>
      <c r="AF941" s="32"/>
      <c r="AG941" s="32"/>
      <c r="AH941" s="32"/>
      <c r="AI941" s="32"/>
      <c r="AJ941" s="32"/>
    </row>
    <row r="942">
      <c r="A942" s="32"/>
      <c r="B942" s="32"/>
      <c r="C942" s="32"/>
      <c r="D942" s="32"/>
      <c r="E942" s="32"/>
      <c r="F942" s="32"/>
      <c r="G942" s="32"/>
      <c r="H942" s="32"/>
      <c r="I942" s="32"/>
      <c r="J942" s="32"/>
      <c r="K942" s="32"/>
      <c r="L942" s="32"/>
      <c r="M942" s="32"/>
      <c r="N942" s="32"/>
      <c r="O942" s="32"/>
      <c r="P942" s="32"/>
      <c r="Q942" s="32"/>
      <c r="R942" s="32"/>
      <c r="S942" s="32"/>
      <c r="T942" s="32"/>
      <c r="U942" s="32"/>
      <c r="V942" s="32"/>
      <c r="W942" s="32"/>
      <c r="X942" s="32"/>
      <c r="Y942" s="32"/>
      <c r="Z942" s="32"/>
      <c r="AA942" s="32"/>
      <c r="AB942" s="32"/>
      <c r="AC942" s="32"/>
      <c r="AD942" s="32"/>
      <c r="AE942" s="32"/>
      <c r="AF942" s="32"/>
      <c r="AG942" s="32"/>
      <c r="AH942" s="32"/>
      <c r="AI942" s="32"/>
      <c r="AJ942" s="32"/>
    </row>
    <row r="943">
      <c r="A943" s="32"/>
      <c r="B943" s="32"/>
      <c r="C943" s="32"/>
      <c r="D943" s="32"/>
      <c r="E943" s="32"/>
      <c r="F943" s="32"/>
      <c r="G943" s="32"/>
      <c r="H943" s="32"/>
      <c r="I943" s="32"/>
      <c r="J943" s="32"/>
      <c r="K943" s="32"/>
      <c r="L943" s="32"/>
      <c r="M943" s="32"/>
      <c r="N943" s="32"/>
      <c r="O943" s="32"/>
      <c r="P943" s="32"/>
      <c r="Q943" s="32"/>
      <c r="R943" s="32"/>
      <c r="S943" s="32"/>
      <c r="T943" s="32"/>
      <c r="U943" s="32"/>
      <c r="V943" s="32"/>
      <c r="W943" s="32"/>
      <c r="X943" s="32"/>
      <c r="Y943" s="32"/>
      <c r="Z943" s="32"/>
      <c r="AA943" s="32"/>
      <c r="AB943" s="32"/>
      <c r="AC943" s="32"/>
      <c r="AD943" s="32"/>
      <c r="AE943" s="32"/>
      <c r="AF943" s="32"/>
      <c r="AG943" s="32"/>
      <c r="AH943" s="32"/>
      <c r="AI943" s="32"/>
      <c r="AJ943" s="32"/>
    </row>
    <row r="944">
      <c r="A944" s="32"/>
      <c r="B944" s="32"/>
      <c r="C944" s="32"/>
      <c r="D944" s="32"/>
      <c r="E944" s="32"/>
      <c r="F944" s="32"/>
      <c r="G944" s="32"/>
      <c r="H944" s="32"/>
      <c r="I944" s="32"/>
      <c r="J944" s="32"/>
      <c r="K944" s="32"/>
      <c r="L944" s="32"/>
      <c r="M944" s="32"/>
      <c r="N944" s="32"/>
      <c r="O944" s="32"/>
      <c r="P944" s="32"/>
      <c r="Q944" s="32"/>
      <c r="R944" s="32"/>
      <c r="S944" s="32"/>
      <c r="T944" s="32"/>
      <c r="U944" s="32"/>
      <c r="V944" s="32"/>
      <c r="W944" s="32"/>
      <c r="X944" s="32"/>
      <c r="Y944" s="32"/>
      <c r="Z944" s="32"/>
      <c r="AA944" s="32"/>
      <c r="AB944" s="32"/>
      <c r="AC944" s="32"/>
      <c r="AD944" s="32"/>
      <c r="AE944" s="32"/>
      <c r="AF944" s="32"/>
      <c r="AG944" s="32"/>
      <c r="AH944" s="32"/>
      <c r="AI944" s="32"/>
      <c r="AJ944" s="32"/>
    </row>
    <row r="945">
      <c r="A945" s="32"/>
      <c r="B945" s="32"/>
      <c r="C945" s="32"/>
      <c r="D945" s="32"/>
      <c r="E945" s="32"/>
      <c r="F945" s="32"/>
      <c r="G945" s="32"/>
      <c r="H945" s="32"/>
      <c r="I945" s="32"/>
      <c r="J945" s="32"/>
      <c r="K945" s="32"/>
      <c r="L945" s="32"/>
      <c r="M945" s="32"/>
      <c r="N945" s="32"/>
      <c r="O945" s="32"/>
      <c r="P945" s="32"/>
      <c r="Q945" s="32"/>
      <c r="R945" s="32"/>
      <c r="S945" s="32"/>
      <c r="T945" s="32"/>
      <c r="U945" s="32"/>
      <c r="V945" s="32"/>
      <c r="W945" s="32"/>
      <c r="X945" s="32"/>
      <c r="Y945" s="32"/>
      <c r="Z945" s="32"/>
      <c r="AA945" s="32"/>
      <c r="AB945" s="32"/>
      <c r="AC945" s="32"/>
      <c r="AD945" s="32"/>
      <c r="AE945" s="32"/>
      <c r="AF945" s="32"/>
      <c r="AG945" s="32"/>
      <c r="AH945" s="32"/>
      <c r="AI945" s="32"/>
      <c r="AJ945" s="32"/>
    </row>
    <row r="946">
      <c r="A946" s="32"/>
      <c r="B946" s="32"/>
      <c r="C946" s="32"/>
      <c r="D946" s="32"/>
      <c r="E946" s="32"/>
      <c r="F946" s="32"/>
      <c r="G946" s="32"/>
      <c r="H946" s="32"/>
      <c r="I946" s="32"/>
      <c r="J946" s="32"/>
      <c r="K946" s="32"/>
      <c r="L946" s="32"/>
      <c r="M946" s="32"/>
      <c r="N946" s="32"/>
      <c r="O946" s="32"/>
      <c r="P946" s="32"/>
      <c r="Q946" s="32"/>
      <c r="R946" s="32"/>
      <c r="S946" s="32"/>
      <c r="T946" s="32"/>
      <c r="U946" s="32"/>
      <c r="V946" s="32"/>
      <c r="W946" s="32"/>
      <c r="X946" s="32"/>
      <c r="Y946" s="32"/>
      <c r="Z946" s="32"/>
      <c r="AA946" s="32"/>
      <c r="AB946" s="32"/>
      <c r="AC946" s="32"/>
      <c r="AD946" s="32"/>
      <c r="AE946" s="32"/>
      <c r="AF946" s="32"/>
      <c r="AG946" s="32"/>
      <c r="AH946" s="32"/>
      <c r="AI946" s="32"/>
      <c r="AJ946" s="32"/>
    </row>
    <row r="947">
      <c r="A947" s="32"/>
      <c r="B947" s="32"/>
      <c r="C947" s="32"/>
      <c r="D947" s="32"/>
      <c r="E947" s="32"/>
      <c r="F947" s="32"/>
      <c r="G947" s="32"/>
      <c r="H947" s="32"/>
      <c r="I947" s="32"/>
      <c r="J947" s="32"/>
      <c r="K947" s="32"/>
      <c r="L947" s="32"/>
      <c r="M947" s="32"/>
      <c r="N947" s="32"/>
      <c r="O947" s="32"/>
      <c r="P947" s="32"/>
      <c r="Q947" s="32"/>
      <c r="R947" s="32"/>
      <c r="S947" s="32"/>
      <c r="T947" s="32"/>
      <c r="U947" s="32"/>
      <c r="V947" s="32"/>
      <c r="W947" s="32"/>
      <c r="X947" s="32"/>
      <c r="Y947" s="32"/>
      <c r="Z947" s="32"/>
      <c r="AA947" s="32"/>
      <c r="AB947" s="32"/>
      <c r="AC947" s="32"/>
      <c r="AD947" s="32"/>
      <c r="AE947" s="32"/>
      <c r="AF947" s="32"/>
      <c r="AG947" s="32"/>
      <c r="AH947" s="32"/>
      <c r="AI947" s="32"/>
      <c r="AJ947" s="32"/>
    </row>
    <row r="948">
      <c r="A948" s="32"/>
      <c r="B948" s="32"/>
      <c r="C948" s="32"/>
      <c r="D948" s="32"/>
      <c r="E948" s="32"/>
      <c r="F948" s="32"/>
      <c r="G948" s="32"/>
      <c r="H948" s="32"/>
      <c r="I948" s="32"/>
      <c r="J948" s="32"/>
      <c r="K948" s="32"/>
      <c r="L948" s="32"/>
      <c r="M948" s="32"/>
      <c r="N948" s="32"/>
      <c r="O948" s="32"/>
      <c r="P948" s="32"/>
      <c r="Q948" s="32"/>
      <c r="R948" s="32"/>
      <c r="S948" s="32"/>
      <c r="T948" s="32"/>
      <c r="U948" s="32"/>
      <c r="V948" s="32"/>
      <c r="W948" s="32"/>
      <c r="X948" s="32"/>
      <c r="Y948" s="32"/>
      <c r="Z948" s="32"/>
      <c r="AA948" s="32"/>
      <c r="AB948" s="32"/>
      <c r="AC948" s="32"/>
      <c r="AD948" s="32"/>
      <c r="AE948" s="32"/>
      <c r="AF948" s="32"/>
      <c r="AG948" s="32"/>
      <c r="AH948" s="32"/>
      <c r="AI948" s="32"/>
      <c r="AJ948" s="32"/>
    </row>
    <row r="949">
      <c r="A949" s="32"/>
      <c r="B949" s="32"/>
      <c r="C949" s="32"/>
      <c r="D949" s="32"/>
      <c r="E949" s="32"/>
      <c r="F949" s="32"/>
      <c r="G949" s="32"/>
      <c r="H949" s="32"/>
      <c r="I949" s="32"/>
      <c r="J949" s="32"/>
      <c r="K949" s="32"/>
      <c r="L949" s="32"/>
      <c r="M949" s="32"/>
      <c r="N949" s="32"/>
      <c r="O949" s="32"/>
      <c r="P949" s="32"/>
      <c r="Q949" s="32"/>
      <c r="R949" s="32"/>
      <c r="S949" s="32"/>
      <c r="T949" s="32"/>
      <c r="U949" s="32"/>
      <c r="V949" s="32"/>
      <c r="W949" s="32"/>
      <c r="X949" s="32"/>
      <c r="Y949" s="32"/>
      <c r="Z949" s="32"/>
      <c r="AA949" s="32"/>
      <c r="AB949" s="32"/>
      <c r="AC949" s="32"/>
      <c r="AD949" s="32"/>
      <c r="AE949" s="32"/>
      <c r="AF949" s="32"/>
      <c r="AG949" s="32"/>
      <c r="AH949" s="32"/>
      <c r="AI949" s="32"/>
      <c r="AJ949" s="32"/>
    </row>
    <row r="950">
      <c r="A950" s="32"/>
      <c r="B950" s="32"/>
      <c r="C950" s="32"/>
      <c r="D950" s="32"/>
      <c r="E950" s="32"/>
      <c r="F950" s="32"/>
      <c r="G950" s="32"/>
      <c r="H950" s="32"/>
      <c r="I950" s="32"/>
      <c r="J950" s="32"/>
      <c r="K950" s="32"/>
      <c r="L950" s="32"/>
      <c r="M950" s="32"/>
      <c r="N950" s="32"/>
      <c r="O950" s="32"/>
      <c r="P950" s="32"/>
      <c r="Q950" s="32"/>
      <c r="R950" s="32"/>
      <c r="S950" s="32"/>
      <c r="T950" s="32"/>
      <c r="U950" s="32"/>
      <c r="V950" s="32"/>
      <c r="W950" s="32"/>
      <c r="X950" s="32"/>
      <c r="Y950" s="32"/>
      <c r="Z950" s="32"/>
      <c r="AA950" s="32"/>
      <c r="AB950" s="32"/>
      <c r="AC950" s="32"/>
      <c r="AD950" s="32"/>
      <c r="AE950" s="32"/>
      <c r="AF950" s="32"/>
      <c r="AG950" s="32"/>
      <c r="AH950" s="32"/>
      <c r="AI950" s="32"/>
      <c r="AJ950" s="32"/>
    </row>
    <row r="951">
      <c r="A951" s="32"/>
      <c r="B951" s="32"/>
      <c r="C951" s="32"/>
      <c r="D951" s="32"/>
      <c r="E951" s="32"/>
      <c r="F951" s="32"/>
      <c r="G951" s="32"/>
      <c r="H951" s="32"/>
      <c r="I951" s="32"/>
      <c r="J951" s="32"/>
      <c r="K951" s="32"/>
      <c r="L951" s="32"/>
      <c r="M951" s="32"/>
      <c r="N951" s="32"/>
      <c r="O951" s="32"/>
      <c r="P951" s="32"/>
      <c r="Q951" s="32"/>
      <c r="R951" s="32"/>
      <c r="S951" s="32"/>
      <c r="T951" s="32"/>
      <c r="U951" s="32"/>
      <c r="V951" s="32"/>
      <c r="W951" s="32"/>
      <c r="X951" s="32"/>
      <c r="Y951" s="32"/>
      <c r="Z951" s="32"/>
      <c r="AA951" s="32"/>
      <c r="AB951" s="32"/>
      <c r="AC951" s="32"/>
      <c r="AD951" s="32"/>
      <c r="AE951" s="32"/>
      <c r="AF951" s="32"/>
      <c r="AG951" s="32"/>
      <c r="AH951" s="32"/>
      <c r="AI951" s="32"/>
      <c r="AJ951" s="32"/>
    </row>
    <row r="952">
      <c r="A952" s="32"/>
      <c r="B952" s="32"/>
      <c r="C952" s="32"/>
      <c r="D952" s="32"/>
      <c r="E952" s="32"/>
      <c r="F952" s="32"/>
      <c r="G952" s="32"/>
      <c r="H952" s="32"/>
      <c r="I952" s="32"/>
      <c r="J952" s="32"/>
      <c r="K952" s="32"/>
      <c r="L952" s="32"/>
      <c r="M952" s="32"/>
      <c r="N952" s="32"/>
      <c r="O952" s="32"/>
      <c r="P952" s="32"/>
      <c r="Q952" s="32"/>
      <c r="R952" s="32"/>
      <c r="S952" s="32"/>
      <c r="T952" s="32"/>
      <c r="U952" s="32"/>
      <c r="V952" s="32"/>
      <c r="W952" s="32"/>
      <c r="X952" s="32"/>
      <c r="Y952" s="32"/>
      <c r="Z952" s="32"/>
      <c r="AA952" s="32"/>
      <c r="AB952" s="32"/>
      <c r="AC952" s="32"/>
      <c r="AD952" s="32"/>
      <c r="AE952" s="32"/>
      <c r="AF952" s="32"/>
      <c r="AG952" s="32"/>
      <c r="AH952" s="32"/>
      <c r="AI952" s="32"/>
      <c r="AJ952" s="32"/>
    </row>
    <row r="953">
      <c r="A953" s="32"/>
      <c r="B953" s="32"/>
      <c r="C953" s="32"/>
      <c r="D953" s="32"/>
      <c r="E953" s="32"/>
      <c r="F953" s="32"/>
      <c r="G953" s="32"/>
      <c r="H953" s="32"/>
      <c r="I953" s="32"/>
      <c r="J953" s="32"/>
      <c r="K953" s="32"/>
      <c r="L953" s="32"/>
      <c r="M953" s="32"/>
      <c r="N953" s="32"/>
      <c r="O953" s="32"/>
      <c r="P953" s="32"/>
      <c r="Q953" s="32"/>
      <c r="R953" s="32"/>
      <c r="S953" s="32"/>
      <c r="T953" s="32"/>
      <c r="U953" s="32"/>
      <c r="V953" s="32"/>
      <c r="W953" s="32"/>
      <c r="X953" s="32"/>
      <c r="Y953" s="32"/>
      <c r="Z953" s="32"/>
      <c r="AA953" s="32"/>
      <c r="AB953" s="32"/>
      <c r="AC953" s="32"/>
      <c r="AD953" s="32"/>
      <c r="AE953" s="32"/>
      <c r="AF953" s="32"/>
      <c r="AG953" s="32"/>
      <c r="AH953" s="32"/>
      <c r="AI953" s="32"/>
      <c r="AJ953" s="32"/>
    </row>
    <row r="954">
      <c r="A954" s="32"/>
      <c r="B954" s="32"/>
      <c r="C954" s="32"/>
      <c r="D954" s="32"/>
      <c r="E954" s="32"/>
      <c r="F954" s="32"/>
      <c r="G954" s="32"/>
      <c r="H954" s="32"/>
      <c r="I954" s="32"/>
      <c r="J954" s="32"/>
      <c r="K954" s="32"/>
      <c r="L954" s="32"/>
      <c r="M954" s="32"/>
      <c r="N954" s="32"/>
      <c r="O954" s="32"/>
      <c r="P954" s="32"/>
      <c r="Q954" s="32"/>
      <c r="R954" s="32"/>
      <c r="S954" s="32"/>
      <c r="T954" s="32"/>
      <c r="U954" s="32"/>
      <c r="V954" s="32"/>
      <c r="W954" s="32"/>
      <c r="X954" s="32"/>
      <c r="Y954" s="32"/>
      <c r="Z954" s="32"/>
      <c r="AA954" s="32"/>
      <c r="AB954" s="32"/>
      <c r="AC954" s="32"/>
      <c r="AD954" s="32"/>
      <c r="AE954" s="32"/>
      <c r="AF954" s="32"/>
      <c r="AG954" s="32"/>
      <c r="AH954" s="32"/>
      <c r="AI954" s="32"/>
      <c r="AJ954" s="32"/>
    </row>
    <row r="955">
      <c r="A955" s="32"/>
      <c r="B955" s="32"/>
      <c r="C955" s="32"/>
      <c r="D955" s="32"/>
      <c r="E955" s="32"/>
      <c r="F955" s="32"/>
      <c r="G955" s="32"/>
      <c r="H955" s="32"/>
      <c r="I955" s="32"/>
      <c r="J955" s="32"/>
      <c r="K955" s="32"/>
      <c r="L955" s="32"/>
      <c r="M955" s="32"/>
      <c r="N955" s="32"/>
      <c r="O955" s="32"/>
      <c r="P955" s="32"/>
      <c r="Q955" s="32"/>
      <c r="R955" s="32"/>
      <c r="S955" s="32"/>
      <c r="T955" s="32"/>
      <c r="U955" s="32"/>
      <c r="V955" s="32"/>
      <c r="W955" s="32"/>
      <c r="X955" s="32"/>
      <c r="Y955" s="32"/>
      <c r="Z955" s="32"/>
      <c r="AA955" s="32"/>
      <c r="AB955" s="32"/>
      <c r="AC955" s="32"/>
      <c r="AD955" s="32"/>
      <c r="AE955" s="32"/>
      <c r="AF955" s="32"/>
      <c r="AG955" s="32"/>
      <c r="AH955" s="32"/>
      <c r="AI955" s="32"/>
      <c r="AJ955" s="32"/>
    </row>
    <row r="956">
      <c r="A956" s="32"/>
      <c r="B956" s="32"/>
      <c r="C956" s="32"/>
      <c r="D956" s="32"/>
      <c r="E956" s="32"/>
      <c r="F956" s="32"/>
      <c r="G956" s="32"/>
      <c r="H956" s="32"/>
      <c r="I956" s="32"/>
      <c r="J956" s="32"/>
      <c r="K956" s="32"/>
      <c r="L956" s="32"/>
      <c r="M956" s="32"/>
      <c r="N956" s="32"/>
      <c r="O956" s="32"/>
      <c r="P956" s="32"/>
      <c r="Q956" s="32"/>
      <c r="R956" s="32"/>
      <c r="S956" s="32"/>
      <c r="T956" s="32"/>
      <c r="U956" s="32"/>
      <c r="V956" s="32"/>
      <c r="W956" s="32"/>
      <c r="X956" s="32"/>
      <c r="Y956" s="32"/>
      <c r="Z956" s="32"/>
      <c r="AA956" s="32"/>
      <c r="AB956" s="32"/>
      <c r="AC956" s="32"/>
      <c r="AD956" s="32"/>
      <c r="AE956" s="32"/>
      <c r="AF956" s="32"/>
      <c r="AG956" s="32"/>
      <c r="AH956" s="32"/>
      <c r="AI956" s="32"/>
      <c r="AJ956" s="32"/>
    </row>
    <row r="957">
      <c r="A957" s="32"/>
      <c r="B957" s="32"/>
      <c r="C957" s="32"/>
      <c r="D957" s="32"/>
      <c r="E957" s="32"/>
      <c r="F957" s="32"/>
      <c r="G957" s="32"/>
      <c r="H957" s="32"/>
      <c r="I957" s="32"/>
      <c r="J957" s="32"/>
      <c r="K957" s="32"/>
      <c r="L957" s="32"/>
      <c r="M957" s="32"/>
      <c r="N957" s="32"/>
      <c r="O957" s="32"/>
      <c r="P957" s="32"/>
      <c r="Q957" s="32"/>
      <c r="R957" s="32"/>
      <c r="S957" s="32"/>
      <c r="T957" s="32"/>
      <c r="U957" s="32"/>
      <c r="V957" s="32"/>
      <c r="W957" s="32"/>
      <c r="X957" s="32"/>
      <c r="Y957" s="32"/>
      <c r="Z957" s="32"/>
      <c r="AA957" s="32"/>
      <c r="AB957" s="32"/>
      <c r="AC957" s="32"/>
      <c r="AD957" s="32"/>
      <c r="AE957" s="32"/>
      <c r="AF957" s="32"/>
      <c r="AG957" s="32"/>
      <c r="AH957" s="32"/>
      <c r="AI957" s="32"/>
      <c r="AJ957" s="32"/>
    </row>
    <row r="958">
      <c r="A958" s="32"/>
      <c r="B958" s="32"/>
      <c r="C958" s="32"/>
      <c r="D958" s="32"/>
      <c r="E958" s="32"/>
      <c r="F958" s="32"/>
      <c r="G958" s="32"/>
      <c r="H958" s="32"/>
      <c r="I958" s="32"/>
      <c r="J958" s="32"/>
      <c r="K958" s="32"/>
      <c r="L958" s="32"/>
      <c r="M958" s="32"/>
      <c r="N958" s="32"/>
      <c r="O958" s="32"/>
      <c r="P958" s="32"/>
      <c r="Q958" s="32"/>
      <c r="R958" s="32"/>
      <c r="S958" s="32"/>
      <c r="T958" s="32"/>
      <c r="U958" s="32"/>
      <c r="V958" s="32"/>
      <c r="W958" s="32"/>
      <c r="X958" s="32"/>
      <c r="Y958" s="32"/>
      <c r="Z958" s="32"/>
      <c r="AA958" s="32"/>
      <c r="AB958" s="32"/>
      <c r="AC958" s="32"/>
      <c r="AD958" s="32"/>
      <c r="AE958" s="32"/>
      <c r="AF958" s="32"/>
      <c r="AG958" s="32"/>
      <c r="AH958" s="32"/>
      <c r="AI958" s="32"/>
      <c r="AJ958" s="32"/>
    </row>
    <row r="959">
      <c r="A959" s="32"/>
      <c r="B959" s="32"/>
      <c r="C959" s="32"/>
      <c r="D959" s="32"/>
      <c r="E959" s="32"/>
      <c r="F959" s="32"/>
      <c r="G959" s="32"/>
      <c r="H959" s="32"/>
      <c r="I959" s="32"/>
      <c r="J959" s="32"/>
      <c r="K959" s="32"/>
      <c r="L959" s="32"/>
      <c r="M959" s="32"/>
      <c r="N959" s="32"/>
      <c r="O959" s="32"/>
      <c r="P959" s="32"/>
      <c r="Q959" s="32"/>
      <c r="R959" s="32"/>
      <c r="S959" s="32"/>
      <c r="T959" s="32"/>
      <c r="U959" s="32"/>
      <c r="V959" s="32"/>
      <c r="W959" s="32"/>
      <c r="X959" s="32"/>
      <c r="Y959" s="32"/>
      <c r="Z959" s="32"/>
      <c r="AA959" s="32"/>
      <c r="AB959" s="32"/>
      <c r="AC959" s="32"/>
      <c r="AD959" s="32"/>
      <c r="AE959" s="32"/>
      <c r="AF959" s="32"/>
      <c r="AG959" s="32"/>
      <c r="AH959" s="32"/>
      <c r="AI959" s="32"/>
      <c r="AJ959" s="32"/>
    </row>
    <row r="960">
      <c r="A960" s="32"/>
      <c r="B960" s="32"/>
      <c r="C960" s="32"/>
      <c r="D960" s="32"/>
      <c r="E960" s="32"/>
      <c r="F960" s="32"/>
      <c r="G960" s="32"/>
      <c r="H960" s="32"/>
      <c r="I960" s="32"/>
      <c r="J960" s="32"/>
      <c r="K960" s="32"/>
      <c r="L960" s="32"/>
      <c r="M960" s="32"/>
      <c r="N960" s="32"/>
      <c r="O960" s="32"/>
      <c r="P960" s="32"/>
      <c r="Q960" s="32"/>
      <c r="R960" s="32"/>
      <c r="S960" s="32"/>
      <c r="T960" s="32"/>
      <c r="U960" s="32"/>
      <c r="V960" s="32"/>
      <c r="W960" s="32"/>
      <c r="X960" s="32"/>
      <c r="Y960" s="32"/>
      <c r="Z960" s="32"/>
      <c r="AA960" s="32"/>
      <c r="AB960" s="32"/>
      <c r="AC960" s="32"/>
      <c r="AD960" s="32"/>
      <c r="AE960" s="32"/>
      <c r="AF960" s="32"/>
      <c r="AG960" s="32"/>
      <c r="AH960" s="32"/>
      <c r="AI960" s="32"/>
      <c r="AJ960" s="32"/>
    </row>
    <row r="961">
      <c r="A961" s="32"/>
      <c r="B961" s="32"/>
      <c r="C961" s="32"/>
      <c r="D961" s="32"/>
      <c r="E961" s="32"/>
      <c r="F961" s="32"/>
      <c r="G961" s="32"/>
      <c r="H961" s="32"/>
      <c r="I961" s="32"/>
      <c r="J961" s="32"/>
      <c r="K961" s="32"/>
      <c r="L961" s="32"/>
      <c r="M961" s="32"/>
      <c r="N961" s="32"/>
      <c r="O961" s="32"/>
      <c r="P961" s="32"/>
      <c r="Q961" s="32"/>
      <c r="R961" s="32"/>
      <c r="S961" s="32"/>
      <c r="T961" s="32"/>
      <c r="U961" s="32"/>
      <c r="V961" s="32"/>
      <c r="W961" s="32"/>
      <c r="X961" s="32"/>
      <c r="Y961" s="32"/>
      <c r="Z961" s="32"/>
      <c r="AA961" s="32"/>
      <c r="AB961" s="32"/>
      <c r="AC961" s="32"/>
      <c r="AD961" s="32"/>
      <c r="AE961" s="32"/>
      <c r="AF961" s="32"/>
      <c r="AG961" s="32"/>
      <c r="AH961" s="32"/>
      <c r="AI961" s="32"/>
      <c r="AJ961" s="32"/>
    </row>
    <row r="962">
      <c r="A962" s="32"/>
      <c r="B962" s="32"/>
      <c r="C962" s="32"/>
      <c r="D962" s="32"/>
      <c r="E962" s="32"/>
      <c r="F962" s="32"/>
      <c r="G962" s="32"/>
      <c r="H962" s="32"/>
      <c r="I962" s="32"/>
      <c r="J962" s="32"/>
      <c r="K962" s="32"/>
      <c r="L962" s="32"/>
      <c r="M962" s="32"/>
      <c r="N962" s="32"/>
      <c r="O962" s="32"/>
      <c r="P962" s="32"/>
      <c r="Q962" s="32"/>
      <c r="R962" s="32"/>
      <c r="S962" s="32"/>
      <c r="T962" s="32"/>
      <c r="U962" s="32"/>
      <c r="V962" s="32"/>
      <c r="W962" s="32"/>
      <c r="X962" s="32"/>
      <c r="Y962" s="32"/>
      <c r="Z962" s="32"/>
      <c r="AA962" s="32"/>
      <c r="AB962" s="32"/>
      <c r="AC962" s="32"/>
      <c r="AD962" s="32"/>
      <c r="AE962" s="32"/>
      <c r="AF962" s="32"/>
      <c r="AG962" s="32"/>
      <c r="AH962" s="32"/>
      <c r="AI962" s="32"/>
      <c r="AJ962" s="32"/>
    </row>
    <row r="963">
      <c r="A963" s="32"/>
      <c r="B963" s="32"/>
      <c r="C963" s="32"/>
      <c r="D963" s="32"/>
      <c r="E963" s="32"/>
      <c r="F963" s="32"/>
      <c r="G963" s="32"/>
      <c r="H963" s="32"/>
      <c r="I963" s="32"/>
      <c r="J963" s="32"/>
      <c r="K963" s="32"/>
      <c r="L963" s="32"/>
      <c r="M963" s="32"/>
      <c r="N963" s="32"/>
      <c r="O963" s="32"/>
      <c r="P963" s="32"/>
      <c r="Q963" s="32"/>
      <c r="R963" s="32"/>
      <c r="S963" s="32"/>
      <c r="T963" s="32"/>
      <c r="U963" s="32"/>
      <c r="V963" s="32"/>
      <c r="W963" s="32"/>
      <c r="X963" s="32"/>
      <c r="Y963" s="32"/>
      <c r="Z963" s="32"/>
      <c r="AA963" s="32"/>
      <c r="AB963" s="32"/>
      <c r="AC963" s="32"/>
      <c r="AD963" s="32"/>
      <c r="AE963" s="32"/>
      <c r="AF963" s="32"/>
      <c r="AG963" s="32"/>
      <c r="AH963" s="32"/>
      <c r="AI963" s="32"/>
      <c r="AJ963" s="32"/>
    </row>
    <row r="964">
      <c r="A964" s="32"/>
      <c r="B964" s="32"/>
      <c r="C964" s="32"/>
      <c r="D964" s="32"/>
      <c r="E964" s="32"/>
      <c r="F964" s="32"/>
      <c r="G964" s="32"/>
      <c r="H964" s="32"/>
      <c r="I964" s="32"/>
      <c r="J964" s="32"/>
      <c r="K964" s="32"/>
      <c r="L964" s="32"/>
      <c r="M964" s="32"/>
      <c r="N964" s="32"/>
      <c r="O964" s="32"/>
      <c r="P964" s="32"/>
      <c r="Q964" s="32"/>
      <c r="R964" s="32"/>
      <c r="S964" s="32"/>
      <c r="T964" s="32"/>
      <c r="U964" s="32"/>
      <c r="V964" s="32"/>
      <c r="W964" s="32"/>
      <c r="X964" s="32"/>
      <c r="Y964" s="32"/>
      <c r="Z964" s="32"/>
      <c r="AA964" s="32"/>
      <c r="AB964" s="32"/>
      <c r="AC964" s="32"/>
      <c r="AD964" s="32"/>
      <c r="AE964" s="32"/>
      <c r="AF964" s="32"/>
      <c r="AG964" s="32"/>
      <c r="AH964" s="32"/>
      <c r="AI964" s="32"/>
      <c r="AJ964" s="32"/>
    </row>
    <row r="965">
      <c r="A965" s="32"/>
      <c r="B965" s="32"/>
      <c r="C965" s="32"/>
      <c r="D965" s="32"/>
      <c r="E965" s="32"/>
      <c r="F965" s="32"/>
      <c r="G965" s="32"/>
      <c r="H965" s="32"/>
      <c r="I965" s="32"/>
      <c r="J965" s="32"/>
      <c r="K965" s="32"/>
      <c r="L965" s="32"/>
      <c r="M965" s="32"/>
      <c r="N965" s="32"/>
      <c r="O965" s="32"/>
      <c r="P965" s="32"/>
      <c r="Q965" s="32"/>
      <c r="R965" s="32"/>
      <c r="S965" s="32"/>
      <c r="T965" s="32"/>
      <c r="U965" s="32"/>
      <c r="V965" s="32"/>
      <c r="W965" s="32"/>
      <c r="X965" s="32"/>
      <c r="Y965" s="32"/>
      <c r="Z965" s="32"/>
      <c r="AA965" s="32"/>
      <c r="AB965" s="32"/>
      <c r="AC965" s="32"/>
      <c r="AD965" s="32"/>
      <c r="AE965" s="32"/>
      <c r="AF965" s="32"/>
      <c r="AG965" s="32"/>
      <c r="AH965" s="32"/>
      <c r="AI965" s="32"/>
      <c r="AJ965" s="32"/>
    </row>
    <row r="966">
      <c r="A966" s="32"/>
      <c r="B966" s="32"/>
      <c r="C966" s="32"/>
      <c r="D966" s="32"/>
      <c r="E966" s="32"/>
      <c r="F966" s="32"/>
      <c r="G966" s="32"/>
      <c r="H966" s="32"/>
      <c r="I966" s="32"/>
      <c r="J966" s="32"/>
      <c r="K966" s="32"/>
      <c r="L966" s="32"/>
      <c r="M966" s="32"/>
      <c r="N966" s="32"/>
      <c r="O966" s="32"/>
      <c r="P966" s="32"/>
      <c r="Q966" s="32"/>
      <c r="R966" s="32"/>
      <c r="S966" s="32"/>
      <c r="T966" s="32"/>
      <c r="U966" s="32"/>
      <c r="V966" s="32"/>
      <c r="W966" s="32"/>
      <c r="X966" s="32"/>
      <c r="Y966" s="32"/>
      <c r="Z966" s="32"/>
      <c r="AA966" s="32"/>
      <c r="AB966" s="32"/>
      <c r="AC966" s="32"/>
      <c r="AD966" s="32"/>
      <c r="AE966" s="32"/>
      <c r="AF966" s="32"/>
      <c r="AG966" s="32"/>
      <c r="AH966" s="32"/>
      <c r="AI966" s="32"/>
      <c r="AJ966" s="32"/>
    </row>
    <row r="967">
      <c r="A967" s="32"/>
      <c r="B967" s="32"/>
      <c r="C967" s="32"/>
      <c r="D967" s="32"/>
      <c r="E967" s="32"/>
      <c r="F967" s="32"/>
      <c r="G967" s="32"/>
      <c r="H967" s="32"/>
      <c r="I967" s="32"/>
      <c r="J967" s="32"/>
      <c r="K967" s="32"/>
      <c r="L967" s="32"/>
      <c r="M967" s="32"/>
      <c r="N967" s="32"/>
      <c r="O967" s="32"/>
      <c r="P967" s="32"/>
      <c r="Q967" s="32"/>
      <c r="R967" s="32"/>
      <c r="S967" s="32"/>
      <c r="T967" s="32"/>
      <c r="U967" s="32"/>
      <c r="V967" s="32"/>
      <c r="W967" s="32"/>
      <c r="X967" s="32"/>
      <c r="Y967" s="32"/>
      <c r="Z967" s="32"/>
      <c r="AA967" s="32"/>
      <c r="AB967" s="32"/>
      <c r="AC967" s="32"/>
      <c r="AD967" s="32"/>
      <c r="AE967" s="32"/>
      <c r="AF967" s="32"/>
      <c r="AG967" s="32"/>
      <c r="AH967" s="32"/>
      <c r="AI967" s="32"/>
      <c r="AJ967" s="32"/>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7" t="s">
        <v>383</v>
      </c>
    </row>
    <row r="2">
      <c r="A2" s="27" t="s">
        <v>51</v>
      </c>
    </row>
    <row r="3">
      <c r="A3" s="27" t="s">
        <v>741</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2" max="2" width="87.63"/>
    <col customWidth="1" min="3" max="3" width="20.13"/>
  </cols>
  <sheetData>
    <row r="1">
      <c r="A1" s="34" t="s">
        <v>742</v>
      </c>
    </row>
    <row r="2">
      <c r="A2" s="35"/>
      <c r="B2" s="35"/>
      <c r="C2" s="35"/>
    </row>
    <row r="3">
      <c r="A3" s="36" t="s">
        <v>743</v>
      </c>
      <c r="B3" s="37" t="s">
        <v>744</v>
      </c>
      <c r="C3" s="38"/>
    </row>
    <row r="4">
      <c r="A4" s="39" t="s">
        <v>6</v>
      </c>
      <c r="B4" s="40" t="s">
        <v>12</v>
      </c>
      <c r="C4" s="41"/>
    </row>
    <row r="5">
      <c r="A5" s="39" t="s">
        <v>745</v>
      </c>
      <c r="B5" s="42">
        <v>46119.0</v>
      </c>
      <c r="C5" s="41"/>
    </row>
    <row r="6">
      <c r="A6" s="39" t="s">
        <v>0</v>
      </c>
      <c r="B6" s="40" t="s">
        <v>11</v>
      </c>
      <c r="C6" s="41"/>
    </row>
    <row r="7">
      <c r="A7" s="39" t="s">
        <v>7</v>
      </c>
      <c r="B7" s="40" t="s">
        <v>13</v>
      </c>
      <c r="C7" s="41"/>
    </row>
    <row r="8">
      <c r="A8" s="39" t="s">
        <v>746</v>
      </c>
      <c r="B8" s="40">
        <v>3.0</v>
      </c>
      <c r="C8" s="41"/>
    </row>
    <row r="9">
      <c r="A9" s="43" t="s">
        <v>8</v>
      </c>
      <c r="B9" s="44" t="s">
        <v>14</v>
      </c>
      <c r="C9" s="45"/>
    </row>
    <row r="10">
      <c r="A10" s="35"/>
      <c r="B10" s="35"/>
      <c r="C10" s="35"/>
    </row>
    <row r="11">
      <c r="A11" s="34" t="s">
        <v>747</v>
      </c>
    </row>
    <row r="12">
      <c r="A12" s="35"/>
      <c r="B12" s="35"/>
      <c r="C12" s="35"/>
    </row>
    <row r="13">
      <c r="A13" s="46" t="s">
        <v>15</v>
      </c>
    </row>
    <row r="14">
      <c r="A14" s="35"/>
      <c r="B14" s="35"/>
      <c r="C14" s="35"/>
    </row>
    <row r="15">
      <c r="A15" s="34" t="s">
        <v>748</v>
      </c>
    </row>
    <row r="16">
      <c r="A16" s="35"/>
      <c r="B16" s="35"/>
      <c r="C16" s="35"/>
    </row>
    <row r="17">
      <c r="A17" s="36" t="s">
        <v>749</v>
      </c>
      <c r="B17" s="37" t="s">
        <v>750</v>
      </c>
      <c r="C17" s="47" t="s">
        <v>751</v>
      </c>
    </row>
    <row r="18">
      <c r="A18" s="39">
        <v>1.0</v>
      </c>
      <c r="B18" s="40" t="s">
        <v>752</v>
      </c>
      <c r="C18" s="48" t="s">
        <v>753</v>
      </c>
    </row>
    <row r="19">
      <c r="A19" s="39">
        <v>2.0</v>
      </c>
      <c r="B19" s="40" t="s">
        <v>754</v>
      </c>
      <c r="C19" s="48" t="s">
        <v>753</v>
      </c>
    </row>
    <row r="20">
      <c r="A20" s="43">
        <v>3.0</v>
      </c>
      <c r="B20" s="49" t="s">
        <v>755</v>
      </c>
      <c r="C20" s="50" t="s">
        <v>753</v>
      </c>
    </row>
    <row r="21">
      <c r="A21" s="35"/>
      <c r="B21" s="35"/>
      <c r="C21" s="35"/>
    </row>
    <row r="22">
      <c r="A22" s="34" t="s">
        <v>756</v>
      </c>
    </row>
    <row r="23">
      <c r="A23" s="35"/>
      <c r="B23" s="35"/>
      <c r="C23" s="35"/>
    </row>
    <row r="24">
      <c r="A24" s="36" t="s">
        <v>749</v>
      </c>
      <c r="B24" s="37" t="s">
        <v>757</v>
      </c>
      <c r="C24" s="38"/>
    </row>
    <row r="25">
      <c r="A25" s="39">
        <v>1.0</v>
      </c>
      <c r="B25" s="40" t="s">
        <v>758</v>
      </c>
      <c r="C25" s="41"/>
    </row>
    <row r="26">
      <c r="A26" s="43">
        <v>2.0</v>
      </c>
      <c r="B26" s="49" t="s">
        <v>759</v>
      </c>
      <c r="C26" s="45"/>
    </row>
    <row r="27">
      <c r="A27" s="35"/>
      <c r="B27" s="35"/>
      <c r="C27" s="35"/>
    </row>
    <row r="28">
      <c r="A28" s="34" t="s">
        <v>760</v>
      </c>
    </row>
    <row r="29">
      <c r="A29" s="35"/>
      <c r="B29" s="35"/>
      <c r="C29" s="35"/>
    </row>
    <row r="30">
      <c r="A30" s="36" t="s">
        <v>749</v>
      </c>
      <c r="B30" s="37" t="s">
        <v>757</v>
      </c>
      <c r="C30" s="38"/>
    </row>
    <row r="31">
      <c r="A31" s="39">
        <v>1.0</v>
      </c>
      <c r="B31" s="40" t="s">
        <v>761</v>
      </c>
      <c r="C31" s="41"/>
    </row>
    <row r="32">
      <c r="A32" s="43">
        <v>2.0</v>
      </c>
      <c r="B32" s="49" t="s">
        <v>762</v>
      </c>
      <c r="C32" s="45"/>
    </row>
    <row r="33">
      <c r="A33" s="35"/>
      <c r="B33" s="35"/>
      <c r="C33" s="35"/>
    </row>
    <row r="34">
      <c r="A34" s="34" t="s">
        <v>763</v>
      </c>
    </row>
    <row r="35">
      <c r="A35" s="35"/>
      <c r="B35" s="35"/>
      <c r="C35" s="35"/>
    </row>
    <row r="36">
      <c r="A36" s="36" t="s">
        <v>749</v>
      </c>
      <c r="B36" s="37" t="s">
        <v>757</v>
      </c>
      <c r="C36" s="38"/>
    </row>
    <row r="37">
      <c r="A37" s="39">
        <v>1.0</v>
      </c>
      <c r="B37" s="40" t="s">
        <v>764</v>
      </c>
      <c r="C37" s="41"/>
    </row>
    <row r="38">
      <c r="A38" s="39">
        <v>2.0</v>
      </c>
      <c r="B38" s="40" t="s">
        <v>765</v>
      </c>
      <c r="C38" s="41"/>
    </row>
    <row r="39">
      <c r="A39" s="39">
        <v>3.0</v>
      </c>
      <c r="B39" s="40" t="s">
        <v>766</v>
      </c>
      <c r="C39" s="41"/>
    </row>
    <row r="40">
      <c r="A40" s="43">
        <v>4.0</v>
      </c>
      <c r="B40" s="49" t="s">
        <v>767</v>
      </c>
      <c r="C40" s="45"/>
    </row>
  </sheetData>
  <mergeCells count="7">
    <mergeCell ref="A1:C1"/>
    <mergeCell ref="A11:C11"/>
    <mergeCell ref="A13:C13"/>
    <mergeCell ref="A15:C15"/>
    <mergeCell ref="A22:C22"/>
    <mergeCell ref="A28:C28"/>
    <mergeCell ref="A34:C34"/>
  </mergeCells>
  <hyperlinks>
    <hyperlink r:id="rId1" ref="B9"/>
  </hyperlinks>
  <drawing r:id="rId2"/>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2" max="2" width="87.63"/>
    <col customWidth="1" min="3" max="3" width="20.13"/>
  </cols>
  <sheetData>
    <row r="1">
      <c r="A1" s="34" t="s">
        <v>742</v>
      </c>
    </row>
    <row r="2">
      <c r="A2" s="35"/>
      <c r="B2" s="35"/>
      <c r="C2" s="35"/>
    </row>
    <row r="3">
      <c r="A3" s="36" t="s">
        <v>743</v>
      </c>
      <c r="B3" s="37" t="s">
        <v>744</v>
      </c>
      <c r="C3" s="38"/>
    </row>
    <row r="4">
      <c r="A4" s="39" t="s">
        <v>6</v>
      </c>
      <c r="B4" s="40" t="s">
        <v>12</v>
      </c>
      <c r="C4" s="41"/>
    </row>
    <row r="5">
      <c r="A5" s="39" t="s">
        <v>745</v>
      </c>
      <c r="B5" s="42">
        <v>46119.0</v>
      </c>
      <c r="C5" s="41"/>
    </row>
    <row r="6">
      <c r="A6" s="39" t="s">
        <v>0</v>
      </c>
      <c r="B6" s="40" t="s">
        <v>11</v>
      </c>
      <c r="C6" s="41"/>
    </row>
    <row r="7">
      <c r="A7" s="39" t="s">
        <v>7</v>
      </c>
      <c r="B7" s="40" t="s">
        <v>17</v>
      </c>
      <c r="C7" s="41"/>
    </row>
    <row r="8">
      <c r="A8" s="39" t="s">
        <v>746</v>
      </c>
      <c r="B8" s="40">
        <v>2.0</v>
      </c>
      <c r="C8" s="41"/>
    </row>
    <row r="9">
      <c r="A9" s="43" t="s">
        <v>8</v>
      </c>
      <c r="B9" s="44" t="s">
        <v>18</v>
      </c>
      <c r="C9" s="45"/>
    </row>
    <row r="10">
      <c r="A10" s="35"/>
      <c r="B10" s="35"/>
      <c r="C10" s="35"/>
    </row>
    <row r="11">
      <c r="A11" s="34" t="s">
        <v>747</v>
      </c>
    </row>
    <row r="12">
      <c r="A12" s="35"/>
      <c r="B12" s="35"/>
      <c r="C12" s="35"/>
    </row>
    <row r="13">
      <c r="A13" s="46" t="s">
        <v>768</v>
      </c>
    </row>
    <row r="14">
      <c r="A14" s="35"/>
      <c r="B14" s="35"/>
      <c r="C14" s="35"/>
    </row>
    <row r="15">
      <c r="A15" s="34" t="s">
        <v>748</v>
      </c>
    </row>
    <row r="16">
      <c r="A16" s="35"/>
      <c r="B16" s="35"/>
      <c r="C16" s="35"/>
    </row>
    <row r="17">
      <c r="A17" s="36" t="s">
        <v>749</v>
      </c>
      <c r="B17" s="37" t="s">
        <v>750</v>
      </c>
      <c r="C17" s="47" t="s">
        <v>751</v>
      </c>
    </row>
    <row r="18">
      <c r="A18" s="39">
        <v>1.0</v>
      </c>
      <c r="B18" s="40" t="s">
        <v>769</v>
      </c>
      <c r="C18" s="48" t="s">
        <v>753</v>
      </c>
    </row>
    <row r="19">
      <c r="A19" s="39">
        <v>2.0</v>
      </c>
      <c r="B19" s="40" t="s">
        <v>770</v>
      </c>
      <c r="C19" s="48" t="s">
        <v>753</v>
      </c>
    </row>
    <row r="20">
      <c r="A20" s="39">
        <v>3.0</v>
      </c>
      <c r="B20" s="40" t="s">
        <v>771</v>
      </c>
      <c r="C20" s="48" t="s">
        <v>753</v>
      </c>
    </row>
    <row r="21">
      <c r="A21" s="39">
        <v>4.0</v>
      </c>
      <c r="B21" s="40" t="s">
        <v>772</v>
      </c>
      <c r="C21" s="48" t="s">
        <v>753</v>
      </c>
    </row>
    <row r="22">
      <c r="A22" s="39">
        <v>5.0</v>
      </c>
      <c r="B22" s="40" t="s">
        <v>773</v>
      </c>
      <c r="C22" s="48" t="s">
        <v>753</v>
      </c>
    </row>
    <row r="23">
      <c r="A23" s="39">
        <v>6.0</v>
      </c>
      <c r="B23" s="40" t="s">
        <v>774</v>
      </c>
      <c r="C23" s="48" t="s">
        <v>753</v>
      </c>
    </row>
    <row r="24">
      <c r="A24" s="39">
        <v>7.0</v>
      </c>
      <c r="B24" s="40" t="s">
        <v>775</v>
      </c>
      <c r="C24" s="48" t="s">
        <v>753</v>
      </c>
    </row>
    <row r="25">
      <c r="A25" s="39">
        <v>8.0</v>
      </c>
      <c r="B25" s="40" t="s">
        <v>776</v>
      </c>
      <c r="C25" s="48" t="s">
        <v>753</v>
      </c>
    </row>
    <row r="26">
      <c r="A26" s="39">
        <v>9.0</v>
      </c>
      <c r="B26" s="40" t="s">
        <v>777</v>
      </c>
      <c r="C26" s="48" t="s">
        <v>753</v>
      </c>
    </row>
    <row r="27">
      <c r="A27" s="39">
        <v>10.0</v>
      </c>
      <c r="B27" s="40" t="s">
        <v>778</v>
      </c>
      <c r="C27" s="48" t="s">
        <v>753</v>
      </c>
    </row>
    <row r="28">
      <c r="A28" s="39">
        <v>11.0</v>
      </c>
      <c r="B28" s="40" t="s">
        <v>779</v>
      </c>
      <c r="C28" s="48" t="s">
        <v>753</v>
      </c>
    </row>
    <row r="29">
      <c r="A29" s="43">
        <v>12.0</v>
      </c>
      <c r="B29" s="49" t="s">
        <v>780</v>
      </c>
      <c r="C29" s="50" t="s">
        <v>753</v>
      </c>
    </row>
    <row r="30">
      <c r="A30" s="35"/>
      <c r="B30" s="35"/>
      <c r="C30" s="35"/>
    </row>
    <row r="31">
      <c r="A31" s="34" t="s">
        <v>756</v>
      </c>
    </row>
    <row r="32">
      <c r="A32" s="35"/>
      <c r="B32" s="35"/>
      <c r="C32" s="35"/>
    </row>
    <row r="33">
      <c r="A33" s="36" t="s">
        <v>749</v>
      </c>
      <c r="B33" s="37" t="s">
        <v>757</v>
      </c>
      <c r="C33" s="38"/>
    </row>
    <row r="34">
      <c r="A34" s="39">
        <v>1.0</v>
      </c>
      <c r="B34" s="40" t="s">
        <v>781</v>
      </c>
      <c r="C34" s="41"/>
    </row>
    <row r="35">
      <c r="A35" s="39">
        <v>2.0</v>
      </c>
      <c r="B35" s="40" t="s">
        <v>782</v>
      </c>
      <c r="C35" s="41"/>
    </row>
    <row r="36">
      <c r="A36" s="39">
        <v>3.0</v>
      </c>
      <c r="B36" s="40" t="s">
        <v>783</v>
      </c>
      <c r="C36" s="41"/>
    </row>
    <row r="37">
      <c r="A37" s="39">
        <v>4.0</v>
      </c>
      <c r="B37" s="40" t="s">
        <v>784</v>
      </c>
      <c r="C37" s="41"/>
    </row>
    <row r="38">
      <c r="A38" s="39">
        <v>5.0</v>
      </c>
      <c r="B38" s="40" t="s">
        <v>785</v>
      </c>
      <c r="C38" s="41"/>
    </row>
    <row r="39">
      <c r="A39" s="43">
        <v>6.0</v>
      </c>
      <c r="B39" s="49" t="s">
        <v>786</v>
      </c>
      <c r="C39" s="45"/>
    </row>
    <row r="40">
      <c r="A40" s="35"/>
      <c r="B40" s="35"/>
      <c r="C40" s="35"/>
    </row>
    <row r="41">
      <c r="A41" s="34" t="s">
        <v>760</v>
      </c>
    </row>
    <row r="42">
      <c r="A42" s="35"/>
      <c r="B42" s="35"/>
      <c r="C42" s="35"/>
    </row>
    <row r="43">
      <c r="A43" s="36" t="s">
        <v>749</v>
      </c>
      <c r="B43" s="37" t="s">
        <v>757</v>
      </c>
      <c r="C43" s="38"/>
    </row>
    <row r="44">
      <c r="A44" s="39">
        <v>1.0</v>
      </c>
      <c r="B44" s="40" t="s">
        <v>787</v>
      </c>
      <c r="C44" s="41"/>
    </row>
    <row r="45">
      <c r="A45" s="39">
        <v>2.0</v>
      </c>
      <c r="B45" s="40" t="s">
        <v>788</v>
      </c>
      <c r="C45" s="41"/>
    </row>
    <row r="46">
      <c r="A46" s="39">
        <v>3.0</v>
      </c>
      <c r="B46" s="40" t="s">
        <v>789</v>
      </c>
      <c r="C46" s="41"/>
    </row>
    <row r="47">
      <c r="A47" s="39">
        <v>4.0</v>
      </c>
      <c r="B47" s="40" t="s">
        <v>790</v>
      </c>
      <c r="C47" s="41"/>
    </row>
    <row r="48">
      <c r="A48" s="43">
        <v>5.0</v>
      </c>
      <c r="B48" s="49" t="s">
        <v>791</v>
      </c>
      <c r="C48" s="45"/>
    </row>
    <row r="49">
      <c r="A49" s="35"/>
      <c r="B49" s="35"/>
      <c r="C49" s="35"/>
    </row>
    <row r="50">
      <c r="A50" s="34" t="s">
        <v>763</v>
      </c>
    </row>
    <row r="51">
      <c r="A51" s="35"/>
      <c r="B51" s="35"/>
      <c r="C51" s="35"/>
    </row>
    <row r="52">
      <c r="A52" s="36" t="s">
        <v>749</v>
      </c>
      <c r="B52" s="37" t="s">
        <v>757</v>
      </c>
      <c r="C52" s="38"/>
    </row>
    <row r="53">
      <c r="A53" s="39">
        <v>1.0</v>
      </c>
      <c r="B53" s="40" t="s">
        <v>792</v>
      </c>
      <c r="C53" s="41"/>
    </row>
    <row r="54">
      <c r="A54" s="39">
        <v>2.0</v>
      </c>
      <c r="B54" s="40" t="s">
        <v>793</v>
      </c>
      <c r="C54" s="41"/>
    </row>
    <row r="55">
      <c r="A55" s="39">
        <v>3.0</v>
      </c>
      <c r="B55" s="40" t="s">
        <v>794</v>
      </c>
      <c r="C55" s="41"/>
    </row>
    <row r="56">
      <c r="A56" s="39">
        <v>4.0</v>
      </c>
      <c r="B56" s="40" t="s">
        <v>795</v>
      </c>
      <c r="C56" s="41"/>
    </row>
    <row r="57">
      <c r="A57" s="39">
        <v>5.0</v>
      </c>
      <c r="B57" s="40" t="s">
        <v>796</v>
      </c>
      <c r="C57" s="41"/>
    </row>
    <row r="58">
      <c r="A58" s="39">
        <v>6.0</v>
      </c>
      <c r="B58" s="40" t="s">
        <v>797</v>
      </c>
      <c r="C58" s="41"/>
    </row>
    <row r="59">
      <c r="A59" s="39">
        <v>7.0</v>
      </c>
      <c r="B59" s="40" t="s">
        <v>798</v>
      </c>
      <c r="C59" s="41"/>
    </row>
    <row r="60">
      <c r="A60" s="43">
        <v>8.0</v>
      </c>
      <c r="B60" s="49" t="s">
        <v>799</v>
      </c>
      <c r="C60" s="45"/>
    </row>
  </sheetData>
  <mergeCells count="7">
    <mergeCell ref="A1:C1"/>
    <mergeCell ref="A11:C11"/>
    <mergeCell ref="A13:C13"/>
    <mergeCell ref="A15:C15"/>
    <mergeCell ref="A31:C31"/>
    <mergeCell ref="A41:C41"/>
    <mergeCell ref="A50:C50"/>
  </mergeCells>
  <hyperlinks>
    <hyperlink r:id="rId1" ref="B9"/>
  </hyperlinks>
  <drawing r:id="rId2"/>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2" max="2" width="87.63"/>
    <col customWidth="1" min="3" max="3" width="20.13"/>
  </cols>
  <sheetData>
    <row r="1">
      <c r="A1" s="34" t="s">
        <v>742</v>
      </c>
    </row>
    <row r="2">
      <c r="A2" s="35"/>
      <c r="B2" s="35"/>
      <c r="C2" s="35"/>
    </row>
    <row r="3">
      <c r="A3" s="36" t="s">
        <v>743</v>
      </c>
      <c r="B3" s="37" t="s">
        <v>744</v>
      </c>
      <c r="C3" s="38"/>
    </row>
    <row r="4">
      <c r="A4" s="39" t="s">
        <v>6</v>
      </c>
      <c r="B4" s="40" t="s">
        <v>12</v>
      </c>
      <c r="C4" s="41"/>
    </row>
    <row r="5">
      <c r="A5" s="39" t="s">
        <v>745</v>
      </c>
      <c r="B5" s="42">
        <v>46119.0</v>
      </c>
      <c r="C5" s="41"/>
    </row>
    <row r="6">
      <c r="A6" s="39" t="s">
        <v>0</v>
      </c>
      <c r="B6" s="40" t="s">
        <v>11</v>
      </c>
      <c r="C6" s="41"/>
    </row>
    <row r="7">
      <c r="A7" s="39" t="s">
        <v>7</v>
      </c>
      <c r="B7" s="40" t="s">
        <v>21</v>
      </c>
      <c r="C7" s="41"/>
    </row>
    <row r="8">
      <c r="A8" s="39" t="s">
        <v>746</v>
      </c>
      <c r="B8" s="40">
        <v>2.0</v>
      </c>
      <c r="C8" s="41"/>
    </row>
    <row r="9">
      <c r="A9" s="43" t="s">
        <v>8</v>
      </c>
      <c r="B9" s="44" t="s">
        <v>22</v>
      </c>
      <c r="C9" s="45"/>
    </row>
    <row r="10">
      <c r="A10" s="35"/>
      <c r="B10" s="35"/>
      <c r="C10" s="35"/>
    </row>
    <row r="11">
      <c r="A11" s="34" t="s">
        <v>747</v>
      </c>
    </row>
    <row r="12">
      <c r="A12" s="35"/>
      <c r="B12" s="35"/>
      <c r="C12" s="35"/>
    </row>
    <row r="13">
      <c r="A13" s="46" t="s">
        <v>800</v>
      </c>
    </row>
    <row r="14">
      <c r="A14" s="35"/>
      <c r="B14" s="35"/>
      <c r="C14" s="35"/>
    </row>
    <row r="15">
      <c r="A15" s="34" t="s">
        <v>748</v>
      </c>
    </row>
    <row r="16">
      <c r="A16" s="35"/>
      <c r="B16" s="35"/>
      <c r="C16" s="35"/>
    </row>
    <row r="17">
      <c r="A17" s="36" t="s">
        <v>749</v>
      </c>
      <c r="B17" s="37" t="s">
        <v>750</v>
      </c>
      <c r="C17" s="47" t="s">
        <v>751</v>
      </c>
    </row>
    <row r="18">
      <c r="A18" s="39">
        <v>1.0</v>
      </c>
      <c r="B18" s="40" t="s">
        <v>801</v>
      </c>
      <c r="C18" s="48" t="s">
        <v>753</v>
      </c>
    </row>
    <row r="19">
      <c r="A19" s="39">
        <v>2.0</v>
      </c>
      <c r="B19" s="40" t="s">
        <v>802</v>
      </c>
      <c r="C19" s="48" t="s">
        <v>753</v>
      </c>
    </row>
    <row r="20">
      <c r="A20" s="39">
        <v>3.0</v>
      </c>
      <c r="B20" s="40" t="s">
        <v>803</v>
      </c>
      <c r="C20" s="48" t="s">
        <v>753</v>
      </c>
    </row>
    <row r="21">
      <c r="A21" s="39">
        <v>4.0</v>
      </c>
      <c r="B21" s="40" t="s">
        <v>804</v>
      </c>
      <c r="C21" s="48" t="s">
        <v>753</v>
      </c>
    </row>
    <row r="22">
      <c r="A22" s="39">
        <v>5.0</v>
      </c>
      <c r="B22" s="40" t="s">
        <v>805</v>
      </c>
      <c r="C22" s="48" t="s">
        <v>753</v>
      </c>
    </row>
    <row r="23">
      <c r="A23" s="39">
        <v>6.0</v>
      </c>
      <c r="B23" s="40" t="s">
        <v>806</v>
      </c>
      <c r="C23" s="48" t="s">
        <v>753</v>
      </c>
    </row>
    <row r="24">
      <c r="A24" s="39">
        <v>7.0</v>
      </c>
      <c r="B24" s="40" t="s">
        <v>807</v>
      </c>
      <c r="C24" s="48" t="s">
        <v>753</v>
      </c>
    </row>
    <row r="25">
      <c r="A25" s="43">
        <v>8.0</v>
      </c>
      <c r="B25" s="49" t="s">
        <v>808</v>
      </c>
      <c r="C25" s="50" t="s">
        <v>753</v>
      </c>
    </row>
    <row r="26">
      <c r="A26" s="35"/>
      <c r="B26" s="35"/>
      <c r="C26" s="35"/>
    </row>
    <row r="27">
      <c r="A27" s="34" t="s">
        <v>756</v>
      </c>
    </row>
    <row r="28">
      <c r="A28" s="35"/>
      <c r="B28" s="35"/>
      <c r="C28" s="35"/>
    </row>
    <row r="29">
      <c r="A29" s="36" t="s">
        <v>749</v>
      </c>
      <c r="B29" s="37" t="s">
        <v>757</v>
      </c>
      <c r="C29" s="38"/>
    </row>
    <row r="30">
      <c r="A30" s="39">
        <v>1.0</v>
      </c>
      <c r="B30" s="40" t="s">
        <v>809</v>
      </c>
      <c r="C30" s="41"/>
    </row>
    <row r="31">
      <c r="A31" s="39">
        <v>2.0</v>
      </c>
      <c r="B31" s="40" t="s">
        <v>810</v>
      </c>
      <c r="C31" s="41"/>
    </row>
    <row r="32">
      <c r="A32" s="39">
        <v>3.0</v>
      </c>
      <c r="B32" s="40" t="s">
        <v>811</v>
      </c>
      <c r="C32" s="41"/>
    </row>
    <row r="33">
      <c r="A33" s="39">
        <v>4.0</v>
      </c>
      <c r="B33" s="40" t="s">
        <v>812</v>
      </c>
      <c r="C33" s="41"/>
    </row>
    <row r="34">
      <c r="A34" s="43">
        <v>5.0</v>
      </c>
      <c r="B34" s="49" t="s">
        <v>813</v>
      </c>
      <c r="C34" s="45"/>
    </row>
    <row r="35">
      <c r="A35" s="35"/>
      <c r="B35" s="35"/>
      <c r="C35" s="35"/>
    </row>
    <row r="36">
      <c r="A36" s="34" t="s">
        <v>760</v>
      </c>
    </row>
    <row r="37">
      <c r="A37" s="35"/>
      <c r="B37" s="35"/>
      <c r="C37" s="35"/>
    </row>
    <row r="38">
      <c r="A38" s="36" t="s">
        <v>749</v>
      </c>
      <c r="B38" s="37" t="s">
        <v>757</v>
      </c>
      <c r="C38" s="38"/>
    </row>
    <row r="39">
      <c r="A39" s="39">
        <v>1.0</v>
      </c>
      <c r="B39" s="40" t="s">
        <v>814</v>
      </c>
      <c r="C39" s="41"/>
    </row>
    <row r="40">
      <c r="A40" s="39">
        <v>2.0</v>
      </c>
      <c r="B40" s="40" t="s">
        <v>815</v>
      </c>
      <c r="C40" s="41"/>
    </row>
    <row r="41">
      <c r="A41" s="39">
        <v>3.0</v>
      </c>
      <c r="B41" s="40" t="s">
        <v>816</v>
      </c>
      <c r="C41" s="41"/>
    </row>
    <row r="42">
      <c r="A42" s="43">
        <v>4.0</v>
      </c>
      <c r="B42" s="49" t="s">
        <v>817</v>
      </c>
      <c r="C42" s="45"/>
    </row>
    <row r="43">
      <c r="A43" s="35"/>
      <c r="B43" s="35"/>
      <c r="C43" s="35"/>
    </row>
    <row r="44">
      <c r="A44" s="34" t="s">
        <v>763</v>
      </c>
    </row>
    <row r="45">
      <c r="A45" s="35"/>
      <c r="B45" s="35"/>
      <c r="C45" s="35"/>
    </row>
    <row r="46">
      <c r="A46" s="36" t="s">
        <v>749</v>
      </c>
      <c r="B46" s="37" t="s">
        <v>757</v>
      </c>
      <c r="C46" s="38"/>
    </row>
    <row r="47">
      <c r="A47" s="39">
        <v>1.0</v>
      </c>
      <c r="B47" s="40" t="s">
        <v>818</v>
      </c>
      <c r="C47" s="41"/>
    </row>
    <row r="48">
      <c r="A48" s="39">
        <v>2.0</v>
      </c>
      <c r="B48" s="40" t="s">
        <v>819</v>
      </c>
      <c r="C48" s="41"/>
    </row>
    <row r="49">
      <c r="A49" s="39">
        <v>3.0</v>
      </c>
      <c r="B49" s="40" t="s">
        <v>820</v>
      </c>
      <c r="C49" s="41"/>
    </row>
    <row r="50">
      <c r="A50" s="39">
        <v>4.0</v>
      </c>
      <c r="B50" s="40" t="s">
        <v>821</v>
      </c>
      <c r="C50" s="41"/>
    </row>
    <row r="51">
      <c r="A51" s="39">
        <v>5.0</v>
      </c>
      <c r="B51" s="40" t="s">
        <v>822</v>
      </c>
      <c r="C51" s="41"/>
    </row>
    <row r="52">
      <c r="A52" s="39">
        <v>6.0</v>
      </c>
      <c r="B52" s="40" t="s">
        <v>823</v>
      </c>
      <c r="C52" s="41"/>
    </row>
    <row r="53">
      <c r="A53" s="43">
        <v>7.0</v>
      </c>
      <c r="B53" s="49" t="s">
        <v>824</v>
      </c>
      <c r="C53" s="45"/>
    </row>
  </sheetData>
  <mergeCells count="7">
    <mergeCell ref="A1:C1"/>
    <mergeCell ref="A11:C11"/>
    <mergeCell ref="A13:C13"/>
    <mergeCell ref="A15:C15"/>
    <mergeCell ref="A27:C27"/>
    <mergeCell ref="A36:C36"/>
    <mergeCell ref="A44:C44"/>
  </mergeCells>
  <hyperlinks>
    <hyperlink r:id="rId1" ref="B9"/>
  </hyperlinks>
  <drawing r:id="rId2"/>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2" max="2" width="87.63"/>
    <col customWidth="1" min="3" max="3" width="20.13"/>
  </cols>
  <sheetData>
    <row r="1">
      <c r="A1" s="34" t="s">
        <v>742</v>
      </c>
    </row>
    <row r="2">
      <c r="A2" s="35"/>
      <c r="B2" s="35"/>
      <c r="C2" s="35"/>
    </row>
    <row r="3">
      <c r="A3" s="36" t="s">
        <v>743</v>
      </c>
      <c r="B3" s="37" t="s">
        <v>744</v>
      </c>
      <c r="C3" s="38"/>
    </row>
    <row r="4">
      <c r="A4" s="39" t="s">
        <v>6</v>
      </c>
      <c r="B4" s="40" t="s">
        <v>25</v>
      </c>
      <c r="C4" s="41"/>
    </row>
    <row r="5">
      <c r="A5" s="39" t="s">
        <v>745</v>
      </c>
      <c r="B5" s="42">
        <v>46119.0</v>
      </c>
      <c r="C5" s="41"/>
    </row>
    <row r="6">
      <c r="A6" s="39" t="s">
        <v>0</v>
      </c>
      <c r="B6" s="40" t="s">
        <v>11</v>
      </c>
      <c r="C6" s="41"/>
    </row>
    <row r="7">
      <c r="A7" s="39" t="s">
        <v>7</v>
      </c>
      <c r="B7" s="40" t="s">
        <v>26</v>
      </c>
      <c r="C7" s="41"/>
    </row>
    <row r="8">
      <c r="A8" s="39" t="s">
        <v>746</v>
      </c>
      <c r="B8" s="40">
        <v>3.0</v>
      </c>
      <c r="C8" s="41"/>
    </row>
    <row r="9">
      <c r="A9" s="43" t="s">
        <v>8</v>
      </c>
      <c r="B9" s="44" t="s">
        <v>27</v>
      </c>
      <c r="C9" s="45"/>
    </row>
    <row r="10">
      <c r="A10" s="35"/>
      <c r="B10" s="35"/>
      <c r="C10" s="35"/>
    </row>
    <row r="11">
      <c r="A11" s="34" t="s">
        <v>747</v>
      </c>
    </row>
    <row r="12">
      <c r="A12" s="35"/>
      <c r="B12" s="35"/>
      <c r="C12" s="35"/>
    </row>
    <row r="13">
      <c r="A13" s="46" t="s">
        <v>825</v>
      </c>
    </row>
    <row r="14">
      <c r="A14" s="35"/>
      <c r="B14" s="35"/>
      <c r="C14" s="35"/>
    </row>
    <row r="15">
      <c r="A15" s="34" t="s">
        <v>748</v>
      </c>
    </row>
    <row r="16">
      <c r="A16" s="35"/>
      <c r="B16" s="35"/>
      <c r="C16" s="35"/>
    </row>
    <row r="17">
      <c r="A17" s="51" t="s">
        <v>749</v>
      </c>
      <c r="B17" s="52" t="s">
        <v>750</v>
      </c>
      <c r="C17" s="53" t="s">
        <v>751</v>
      </c>
      <c r="D17" s="54"/>
    </row>
    <row r="18">
      <c r="A18" s="55">
        <v>1.0</v>
      </c>
      <c r="B18" s="56" t="s">
        <v>826</v>
      </c>
      <c r="C18" s="57" t="s">
        <v>827</v>
      </c>
    </row>
    <row r="19">
      <c r="A19" s="55">
        <v>2.0</v>
      </c>
      <c r="B19" s="56" t="s">
        <v>828</v>
      </c>
      <c r="C19" s="57" t="s">
        <v>829</v>
      </c>
    </row>
    <row r="20">
      <c r="A20" s="55">
        <v>3.0</v>
      </c>
      <c r="B20" s="56" t="s">
        <v>830</v>
      </c>
      <c r="C20" s="57" t="s">
        <v>829</v>
      </c>
    </row>
    <row r="21">
      <c r="A21" s="55">
        <v>4.0</v>
      </c>
      <c r="B21" s="56" t="s">
        <v>831</v>
      </c>
      <c r="C21" s="57" t="s">
        <v>832</v>
      </c>
    </row>
    <row r="22">
      <c r="A22" s="55">
        <v>5.0</v>
      </c>
      <c r="B22" s="56" t="s">
        <v>833</v>
      </c>
      <c r="C22" s="57" t="s">
        <v>829</v>
      </c>
    </row>
    <row r="23">
      <c r="A23" s="55">
        <v>6.0</v>
      </c>
      <c r="B23" s="56" t="s">
        <v>834</v>
      </c>
      <c r="C23" s="57" t="s">
        <v>753</v>
      </c>
    </row>
    <row r="24">
      <c r="A24" s="55">
        <v>7.0</v>
      </c>
      <c r="B24" s="56" t="s">
        <v>835</v>
      </c>
      <c r="C24" s="57" t="s">
        <v>836</v>
      </c>
    </row>
    <row r="25">
      <c r="A25" s="35"/>
      <c r="B25" s="35"/>
      <c r="C25" s="35"/>
    </row>
    <row r="26">
      <c r="A26" s="34" t="s">
        <v>756</v>
      </c>
    </row>
    <row r="27">
      <c r="A27" s="35"/>
      <c r="B27" s="35"/>
      <c r="C27" s="35"/>
    </row>
    <row r="28">
      <c r="A28" s="36" t="s">
        <v>749</v>
      </c>
      <c r="B28" s="37" t="s">
        <v>757</v>
      </c>
      <c r="C28" s="38"/>
    </row>
    <row r="29">
      <c r="A29" s="39">
        <v>1.0</v>
      </c>
      <c r="B29" s="40" t="s">
        <v>837</v>
      </c>
      <c r="C29" s="41"/>
    </row>
    <row r="30">
      <c r="A30" s="39">
        <v>2.0</v>
      </c>
      <c r="B30" s="40" t="s">
        <v>838</v>
      </c>
      <c r="C30" s="41"/>
    </row>
    <row r="31">
      <c r="A31" s="39">
        <v>3.0</v>
      </c>
      <c r="B31" s="40" t="s">
        <v>839</v>
      </c>
      <c r="C31" s="41"/>
    </row>
    <row r="32">
      <c r="A32" s="39">
        <v>4.0</v>
      </c>
      <c r="B32" s="40" t="s">
        <v>840</v>
      </c>
      <c r="C32" s="41"/>
    </row>
    <row r="33">
      <c r="A33" s="39">
        <v>5.0</v>
      </c>
      <c r="B33" s="40" t="s">
        <v>841</v>
      </c>
      <c r="C33" s="41"/>
    </row>
    <row r="34">
      <c r="A34" s="39">
        <v>6.0</v>
      </c>
      <c r="B34" s="40" t="s">
        <v>842</v>
      </c>
      <c r="C34" s="41"/>
    </row>
    <row r="35">
      <c r="A35" s="39">
        <v>7.0</v>
      </c>
      <c r="B35" s="40" t="s">
        <v>843</v>
      </c>
      <c r="C35" s="41"/>
    </row>
    <row r="36">
      <c r="A36" s="39">
        <v>8.0</v>
      </c>
      <c r="B36" s="40" t="s">
        <v>844</v>
      </c>
      <c r="C36" s="41"/>
    </row>
    <row r="37">
      <c r="A37" s="39">
        <v>9.0</v>
      </c>
      <c r="B37" s="40" t="s">
        <v>845</v>
      </c>
      <c r="C37" s="41"/>
    </row>
    <row r="38">
      <c r="A38" s="43">
        <v>10.0</v>
      </c>
      <c r="B38" s="49" t="s">
        <v>846</v>
      </c>
      <c r="C38" s="45"/>
    </row>
    <row r="39">
      <c r="A39" s="35"/>
      <c r="B39" s="35"/>
      <c r="C39" s="35"/>
    </row>
    <row r="40">
      <c r="A40" s="34" t="s">
        <v>760</v>
      </c>
    </row>
    <row r="41">
      <c r="A41" s="35"/>
      <c r="B41" s="35"/>
      <c r="C41" s="35"/>
    </row>
    <row r="42">
      <c r="A42" s="36" t="s">
        <v>749</v>
      </c>
      <c r="B42" s="37" t="s">
        <v>757</v>
      </c>
      <c r="C42" s="38"/>
    </row>
    <row r="43">
      <c r="A43" s="39">
        <v>1.0</v>
      </c>
      <c r="B43" s="40" t="s">
        <v>847</v>
      </c>
      <c r="C43" s="41"/>
    </row>
    <row r="44">
      <c r="A44" s="39">
        <v>2.0</v>
      </c>
      <c r="B44" s="40" t="s">
        <v>848</v>
      </c>
      <c r="C44" s="41"/>
    </row>
    <row r="45">
      <c r="A45" s="39">
        <v>3.0</v>
      </c>
      <c r="B45" s="40" t="s">
        <v>849</v>
      </c>
      <c r="C45" s="41"/>
    </row>
    <row r="46">
      <c r="A46" s="39">
        <v>4.0</v>
      </c>
      <c r="B46" s="40" t="s">
        <v>850</v>
      </c>
      <c r="C46" s="41"/>
    </row>
    <row r="47">
      <c r="A47" s="39">
        <v>5.0</v>
      </c>
      <c r="B47" s="40" t="s">
        <v>851</v>
      </c>
      <c r="C47" s="41"/>
    </row>
    <row r="48">
      <c r="A48" s="39">
        <v>6.0</v>
      </c>
      <c r="B48" s="40" t="s">
        <v>852</v>
      </c>
      <c r="C48" s="41"/>
    </row>
    <row r="49">
      <c r="A49" s="39">
        <v>7.0</v>
      </c>
      <c r="B49" s="40" t="s">
        <v>853</v>
      </c>
      <c r="C49" s="41"/>
    </row>
    <row r="50">
      <c r="A50" s="39">
        <v>8.0</v>
      </c>
      <c r="B50" s="40" t="s">
        <v>854</v>
      </c>
      <c r="C50" s="41"/>
    </row>
    <row r="51">
      <c r="A51" s="39">
        <v>9.0</v>
      </c>
      <c r="B51" s="40" t="s">
        <v>855</v>
      </c>
      <c r="C51" s="41"/>
    </row>
    <row r="52">
      <c r="A52" s="43">
        <v>10.0</v>
      </c>
      <c r="B52" s="49" t="s">
        <v>856</v>
      </c>
      <c r="C52" s="45"/>
    </row>
    <row r="53">
      <c r="A53" s="35"/>
      <c r="B53" s="35"/>
      <c r="C53" s="35"/>
    </row>
    <row r="54">
      <c r="A54" s="34" t="s">
        <v>763</v>
      </c>
    </row>
    <row r="55">
      <c r="A55" s="35"/>
      <c r="B55" s="35"/>
      <c r="C55" s="35"/>
    </row>
    <row r="56">
      <c r="A56" s="36" t="s">
        <v>749</v>
      </c>
      <c r="B56" s="37" t="s">
        <v>757</v>
      </c>
      <c r="C56" s="38"/>
    </row>
    <row r="57">
      <c r="A57" s="39">
        <v>1.0</v>
      </c>
      <c r="B57" s="40" t="s">
        <v>857</v>
      </c>
      <c r="C57" s="41"/>
    </row>
    <row r="58">
      <c r="A58" s="39">
        <v>2.0</v>
      </c>
      <c r="B58" s="40" t="s">
        <v>858</v>
      </c>
      <c r="C58" s="41"/>
    </row>
    <row r="59">
      <c r="A59" s="39">
        <v>3.0</v>
      </c>
      <c r="B59" s="40" t="s">
        <v>859</v>
      </c>
      <c r="C59" s="41"/>
    </row>
    <row r="60">
      <c r="A60" s="39">
        <v>4.0</v>
      </c>
      <c r="B60" s="40" t="s">
        <v>860</v>
      </c>
      <c r="C60" s="41"/>
    </row>
    <row r="61">
      <c r="A61" s="39">
        <v>5.0</v>
      </c>
      <c r="B61" s="40" t="s">
        <v>861</v>
      </c>
      <c r="C61" s="41"/>
    </row>
    <row r="62">
      <c r="A62" s="39">
        <v>6.0</v>
      </c>
      <c r="B62" s="40" t="s">
        <v>862</v>
      </c>
      <c r="C62" s="41"/>
    </row>
    <row r="63">
      <c r="A63" s="39">
        <v>7.0</v>
      </c>
      <c r="B63" s="40" t="s">
        <v>863</v>
      </c>
      <c r="C63" s="41"/>
    </row>
    <row r="64">
      <c r="A64" s="43">
        <v>8.0</v>
      </c>
      <c r="B64" s="49" t="s">
        <v>864</v>
      </c>
      <c r="C64" s="45"/>
    </row>
  </sheetData>
  <mergeCells count="7">
    <mergeCell ref="A1:C1"/>
    <mergeCell ref="A11:C11"/>
    <mergeCell ref="A13:C13"/>
    <mergeCell ref="A15:C15"/>
    <mergeCell ref="A26:C26"/>
    <mergeCell ref="A40:C40"/>
    <mergeCell ref="A54:C54"/>
  </mergeCells>
  <hyperlinks>
    <hyperlink r:id="rId1" ref="B9"/>
  </hyperlinks>
  <drawing r:id="rId2"/>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2" max="2" width="87.63"/>
    <col customWidth="1" min="3" max="3" width="20.13"/>
  </cols>
  <sheetData>
    <row r="1">
      <c r="A1" s="34" t="s">
        <v>742</v>
      </c>
    </row>
    <row r="2">
      <c r="A2" s="35"/>
      <c r="B2" s="35"/>
      <c r="C2" s="35"/>
    </row>
    <row r="3">
      <c r="A3" s="36" t="s">
        <v>743</v>
      </c>
      <c r="B3" s="37" t="s">
        <v>744</v>
      </c>
      <c r="C3" s="38"/>
    </row>
    <row r="4">
      <c r="A4" s="39" t="s">
        <v>6</v>
      </c>
      <c r="B4" s="40" t="s">
        <v>30</v>
      </c>
      <c r="C4" s="41"/>
    </row>
    <row r="5">
      <c r="A5" s="39" t="s">
        <v>745</v>
      </c>
      <c r="B5" s="42">
        <v>46119.0</v>
      </c>
      <c r="C5" s="41"/>
    </row>
    <row r="6">
      <c r="A6" s="39" t="s">
        <v>0</v>
      </c>
      <c r="B6" s="40" t="s">
        <v>11</v>
      </c>
      <c r="C6" s="41"/>
    </row>
    <row r="7">
      <c r="A7" s="39" t="s">
        <v>7</v>
      </c>
      <c r="B7" s="40" t="s">
        <v>26</v>
      </c>
      <c r="C7" s="41"/>
    </row>
    <row r="8">
      <c r="A8" s="39" t="s">
        <v>746</v>
      </c>
      <c r="B8" s="40">
        <v>3.0</v>
      </c>
      <c r="C8" s="41"/>
    </row>
    <row r="9">
      <c r="A9" s="43" t="s">
        <v>8</v>
      </c>
      <c r="B9" s="44" t="s">
        <v>31</v>
      </c>
      <c r="C9" s="45"/>
    </row>
    <row r="10">
      <c r="A10" s="35"/>
      <c r="B10" s="35"/>
      <c r="C10" s="35"/>
    </row>
    <row r="11">
      <c r="A11" s="34" t="s">
        <v>747</v>
      </c>
    </row>
    <row r="12">
      <c r="A12" s="35"/>
      <c r="B12" s="35"/>
      <c r="C12" s="35"/>
    </row>
    <row r="13">
      <c r="A13" s="46" t="s">
        <v>32</v>
      </c>
    </row>
    <row r="14">
      <c r="A14" s="35"/>
      <c r="B14" s="35"/>
      <c r="C14" s="35"/>
    </row>
    <row r="15">
      <c r="A15" s="34" t="s">
        <v>748</v>
      </c>
    </row>
    <row r="16">
      <c r="A16" s="35"/>
      <c r="B16" s="35"/>
      <c r="C16" s="35"/>
    </row>
    <row r="17">
      <c r="A17" s="36" t="s">
        <v>749</v>
      </c>
      <c r="B17" s="37" t="s">
        <v>750</v>
      </c>
      <c r="C17" s="47" t="s">
        <v>751</v>
      </c>
    </row>
    <row r="18">
      <c r="A18" s="39">
        <v>1.0</v>
      </c>
      <c r="B18" s="40" t="s">
        <v>865</v>
      </c>
      <c r="C18" s="48" t="s">
        <v>866</v>
      </c>
    </row>
    <row r="19">
      <c r="A19" s="39">
        <v>2.0</v>
      </c>
      <c r="B19" s="40" t="s">
        <v>867</v>
      </c>
      <c r="C19" s="48" t="s">
        <v>753</v>
      </c>
    </row>
    <row r="20">
      <c r="A20" s="39">
        <v>3.0</v>
      </c>
      <c r="B20" s="40" t="s">
        <v>868</v>
      </c>
      <c r="C20" s="48" t="s">
        <v>753</v>
      </c>
    </row>
    <row r="21">
      <c r="A21" s="39">
        <v>4.0</v>
      </c>
      <c r="B21" s="40" t="s">
        <v>869</v>
      </c>
      <c r="C21" s="48" t="s">
        <v>753</v>
      </c>
    </row>
    <row r="22">
      <c r="A22" s="39">
        <v>5.0</v>
      </c>
      <c r="B22" s="40" t="s">
        <v>870</v>
      </c>
      <c r="C22" s="48" t="s">
        <v>753</v>
      </c>
    </row>
    <row r="23">
      <c r="A23" s="39">
        <v>6.0</v>
      </c>
      <c r="B23" s="40" t="s">
        <v>871</v>
      </c>
      <c r="C23" s="48" t="s">
        <v>753</v>
      </c>
    </row>
    <row r="24">
      <c r="A24" s="39">
        <v>7.0</v>
      </c>
      <c r="B24" s="40" t="s">
        <v>872</v>
      </c>
      <c r="C24" s="48" t="s">
        <v>753</v>
      </c>
    </row>
    <row r="25">
      <c r="A25" s="39">
        <v>8.0</v>
      </c>
      <c r="B25" s="40" t="s">
        <v>873</v>
      </c>
      <c r="C25" s="48" t="s">
        <v>866</v>
      </c>
    </row>
    <row r="26">
      <c r="A26" s="39">
        <v>9.0</v>
      </c>
      <c r="B26" s="40" t="s">
        <v>874</v>
      </c>
      <c r="C26" s="48" t="s">
        <v>753</v>
      </c>
    </row>
    <row r="27">
      <c r="A27" s="39">
        <v>10.0</v>
      </c>
      <c r="B27" s="40" t="s">
        <v>875</v>
      </c>
      <c r="C27" s="48" t="s">
        <v>753</v>
      </c>
    </row>
    <row r="28">
      <c r="A28" s="43">
        <v>11.0</v>
      </c>
      <c r="B28" s="49" t="s">
        <v>876</v>
      </c>
      <c r="C28" s="50" t="s">
        <v>753</v>
      </c>
    </row>
    <row r="29">
      <c r="A29" s="35"/>
      <c r="B29" s="35"/>
      <c r="C29" s="35"/>
    </row>
    <row r="30">
      <c r="A30" s="34" t="s">
        <v>756</v>
      </c>
    </row>
    <row r="31">
      <c r="A31" s="35"/>
      <c r="B31" s="35"/>
      <c r="C31" s="35"/>
    </row>
    <row r="32">
      <c r="A32" s="36" t="s">
        <v>749</v>
      </c>
      <c r="B32" s="37" t="s">
        <v>757</v>
      </c>
      <c r="C32" s="38"/>
    </row>
    <row r="33">
      <c r="A33" s="39">
        <v>1.0</v>
      </c>
      <c r="B33" s="40" t="s">
        <v>877</v>
      </c>
      <c r="C33" s="41"/>
    </row>
    <row r="34">
      <c r="A34" s="39">
        <v>2.0</v>
      </c>
      <c r="B34" s="40" t="s">
        <v>878</v>
      </c>
      <c r="C34" s="41"/>
    </row>
    <row r="35">
      <c r="A35" s="39">
        <v>3.0</v>
      </c>
      <c r="B35" s="40" t="s">
        <v>879</v>
      </c>
      <c r="C35" s="41"/>
    </row>
    <row r="36">
      <c r="A36" s="39">
        <v>4.0</v>
      </c>
      <c r="B36" s="40" t="s">
        <v>880</v>
      </c>
      <c r="C36" s="41"/>
    </row>
    <row r="37">
      <c r="A37" s="39">
        <v>5.0</v>
      </c>
      <c r="B37" s="40" t="s">
        <v>881</v>
      </c>
      <c r="C37" s="41"/>
    </row>
    <row r="38">
      <c r="A38" s="39">
        <v>6.0</v>
      </c>
      <c r="B38" s="40" t="s">
        <v>882</v>
      </c>
      <c r="C38" s="41"/>
    </row>
    <row r="39">
      <c r="A39" s="43">
        <v>7.0</v>
      </c>
      <c r="B39" s="49" t="s">
        <v>883</v>
      </c>
      <c r="C39" s="45"/>
    </row>
    <row r="40">
      <c r="A40" s="35"/>
      <c r="B40" s="35"/>
      <c r="C40" s="35"/>
    </row>
    <row r="41">
      <c r="A41" s="34" t="s">
        <v>760</v>
      </c>
    </row>
    <row r="42">
      <c r="A42" s="35"/>
      <c r="B42" s="35"/>
      <c r="C42" s="35"/>
    </row>
    <row r="43">
      <c r="A43" s="36" t="s">
        <v>749</v>
      </c>
      <c r="B43" s="37" t="s">
        <v>757</v>
      </c>
      <c r="C43" s="38"/>
    </row>
    <row r="44">
      <c r="A44" s="39">
        <v>1.0</v>
      </c>
      <c r="B44" s="40" t="s">
        <v>884</v>
      </c>
      <c r="C44" s="41"/>
    </row>
    <row r="45">
      <c r="A45" s="39">
        <v>2.0</v>
      </c>
      <c r="B45" s="40" t="s">
        <v>885</v>
      </c>
      <c r="C45" s="41"/>
    </row>
    <row r="46">
      <c r="A46" s="39">
        <v>3.0</v>
      </c>
      <c r="B46" s="40" t="s">
        <v>886</v>
      </c>
      <c r="C46" s="41"/>
    </row>
    <row r="47">
      <c r="A47" s="39">
        <v>4.0</v>
      </c>
      <c r="B47" s="40" t="s">
        <v>887</v>
      </c>
      <c r="C47" s="41"/>
    </row>
    <row r="48">
      <c r="A48" s="39">
        <v>5.0</v>
      </c>
      <c r="B48" s="40" t="s">
        <v>888</v>
      </c>
      <c r="C48" s="41"/>
    </row>
    <row r="49">
      <c r="A49" s="43">
        <v>6.0</v>
      </c>
      <c r="B49" s="49" t="s">
        <v>889</v>
      </c>
      <c r="C49" s="45"/>
    </row>
    <row r="50">
      <c r="A50" s="35"/>
      <c r="B50" s="35"/>
      <c r="C50" s="35"/>
    </row>
    <row r="51">
      <c r="A51" s="34" t="s">
        <v>763</v>
      </c>
    </row>
    <row r="52">
      <c r="A52" s="35"/>
      <c r="B52" s="35"/>
      <c r="C52" s="35"/>
    </row>
    <row r="53">
      <c r="A53" s="36" t="s">
        <v>749</v>
      </c>
      <c r="B53" s="37" t="s">
        <v>757</v>
      </c>
      <c r="C53" s="38"/>
    </row>
    <row r="54">
      <c r="A54" s="39">
        <v>1.0</v>
      </c>
      <c r="B54" s="40" t="s">
        <v>890</v>
      </c>
      <c r="C54" s="41"/>
    </row>
    <row r="55">
      <c r="A55" s="39">
        <v>2.0</v>
      </c>
      <c r="B55" s="40" t="s">
        <v>891</v>
      </c>
      <c r="C55" s="41"/>
    </row>
    <row r="56">
      <c r="A56" s="39">
        <v>3.0</v>
      </c>
      <c r="B56" s="40" t="s">
        <v>892</v>
      </c>
      <c r="C56" s="41"/>
    </row>
    <row r="57">
      <c r="A57" s="39">
        <v>4.0</v>
      </c>
      <c r="B57" s="40" t="s">
        <v>893</v>
      </c>
      <c r="C57" s="41"/>
    </row>
    <row r="58">
      <c r="A58" s="39">
        <v>5.0</v>
      </c>
      <c r="B58" s="40" t="s">
        <v>894</v>
      </c>
      <c r="C58" s="41"/>
    </row>
    <row r="59">
      <c r="A59" s="39">
        <v>6.0</v>
      </c>
      <c r="B59" s="40" t="s">
        <v>895</v>
      </c>
      <c r="C59" s="41"/>
    </row>
    <row r="60">
      <c r="A60" s="39">
        <v>7.0</v>
      </c>
      <c r="B60" s="40" t="s">
        <v>896</v>
      </c>
      <c r="C60" s="41"/>
    </row>
    <row r="61">
      <c r="A61" s="39">
        <v>8.0</v>
      </c>
      <c r="B61" s="40" t="s">
        <v>897</v>
      </c>
      <c r="C61" s="41"/>
    </row>
    <row r="62">
      <c r="A62" s="39">
        <v>9.0</v>
      </c>
      <c r="B62" s="40" t="s">
        <v>898</v>
      </c>
      <c r="C62" s="41"/>
    </row>
    <row r="63">
      <c r="A63" s="39">
        <v>10.0</v>
      </c>
      <c r="B63" s="40" t="s">
        <v>899</v>
      </c>
      <c r="C63" s="41"/>
    </row>
    <row r="64">
      <c r="A64" s="43">
        <v>11.0</v>
      </c>
      <c r="B64" s="49" t="s">
        <v>900</v>
      </c>
      <c r="C64" s="45"/>
    </row>
  </sheetData>
  <mergeCells count="7">
    <mergeCell ref="A1:C1"/>
    <mergeCell ref="A11:C11"/>
    <mergeCell ref="A13:C13"/>
    <mergeCell ref="A15:C15"/>
    <mergeCell ref="A30:C30"/>
    <mergeCell ref="A41:C41"/>
    <mergeCell ref="A51:C51"/>
  </mergeCells>
  <hyperlinks>
    <hyperlink r:id="rId1" ref="B9"/>
  </hyperlinks>
  <drawing r:id="rId2"/>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2" max="2" width="87.63"/>
    <col customWidth="1" min="3" max="3" width="20.13"/>
  </cols>
  <sheetData>
    <row r="1">
      <c r="A1" s="34" t="s">
        <v>742</v>
      </c>
    </row>
    <row r="2">
      <c r="A2" s="35"/>
      <c r="B2" s="35"/>
      <c r="C2" s="35"/>
    </row>
    <row r="3">
      <c r="A3" s="36" t="s">
        <v>743</v>
      </c>
      <c r="B3" s="37" t="s">
        <v>744</v>
      </c>
      <c r="C3" s="38"/>
    </row>
    <row r="4">
      <c r="A4" s="39" t="s">
        <v>6</v>
      </c>
      <c r="B4" s="40" t="s">
        <v>34</v>
      </c>
      <c r="C4" s="41"/>
    </row>
    <row r="5">
      <c r="A5" s="39" t="s">
        <v>745</v>
      </c>
      <c r="B5" s="42">
        <v>46119.0</v>
      </c>
      <c r="C5" s="41"/>
    </row>
    <row r="6">
      <c r="A6" s="39" t="s">
        <v>0</v>
      </c>
      <c r="B6" s="40" t="s">
        <v>11</v>
      </c>
      <c r="C6" s="41"/>
    </row>
    <row r="7">
      <c r="A7" s="39" t="s">
        <v>7</v>
      </c>
      <c r="B7" s="40" t="s">
        <v>35</v>
      </c>
      <c r="C7" s="41"/>
    </row>
    <row r="8">
      <c r="A8" s="39" t="s">
        <v>746</v>
      </c>
      <c r="B8" s="40">
        <v>2.0</v>
      </c>
      <c r="C8" s="41"/>
    </row>
    <row r="9">
      <c r="A9" s="43" t="s">
        <v>8</v>
      </c>
      <c r="B9" s="44" t="s">
        <v>36</v>
      </c>
      <c r="C9" s="45"/>
    </row>
    <row r="10">
      <c r="A10" s="35"/>
      <c r="B10" s="35"/>
      <c r="C10" s="35"/>
    </row>
    <row r="11">
      <c r="A11" s="34" t="s">
        <v>747</v>
      </c>
    </row>
    <row r="12">
      <c r="A12" s="35"/>
      <c r="B12" s="35"/>
      <c r="C12" s="35"/>
    </row>
    <row r="13">
      <c r="A13" s="46" t="s">
        <v>901</v>
      </c>
    </row>
    <row r="14">
      <c r="A14" s="35"/>
      <c r="B14" s="35"/>
      <c r="C14" s="35"/>
    </row>
    <row r="15">
      <c r="A15" s="34" t="s">
        <v>748</v>
      </c>
    </row>
    <row r="16">
      <c r="A16" s="35"/>
      <c r="B16" s="35"/>
      <c r="C16" s="35"/>
    </row>
    <row r="17">
      <c r="A17" s="36" t="s">
        <v>749</v>
      </c>
      <c r="B17" s="37" t="s">
        <v>750</v>
      </c>
      <c r="C17" s="47" t="s">
        <v>751</v>
      </c>
    </row>
    <row r="18">
      <c r="A18" s="39">
        <v>1.0</v>
      </c>
      <c r="B18" s="40" t="s">
        <v>902</v>
      </c>
      <c r="C18" s="48" t="s">
        <v>753</v>
      </c>
    </row>
    <row r="19">
      <c r="A19" s="39">
        <v>2.0</v>
      </c>
      <c r="B19" s="40" t="s">
        <v>903</v>
      </c>
      <c r="C19" s="48" t="s">
        <v>753</v>
      </c>
    </row>
    <row r="20">
      <c r="A20" s="39">
        <v>3.0</v>
      </c>
      <c r="B20" s="40" t="s">
        <v>904</v>
      </c>
      <c r="C20" s="48" t="s">
        <v>753</v>
      </c>
    </row>
    <row r="21">
      <c r="A21" s="39">
        <v>4.0</v>
      </c>
      <c r="B21" s="40" t="s">
        <v>905</v>
      </c>
      <c r="C21" s="48" t="s">
        <v>753</v>
      </c>
    </row>
    <row r="22">
      <c r="A22" s="39">
        <v>5.0</v>
      </c>
      <c r="B22" s="40" t="s">
        <v>906</v>
      </c>
      <c r="C22" s="48" t="s">
        <v>753</v>
      </c>
    </row>
    <row r="23">
      <c r="A23" s="39">
        <v>6.0</v>
      </c>
      <c r="B23" s="40" t="s">
        <v>907</v>
      </c>
      <c r="C23" s="48" t="s">
        <v>753</v>
      </c>
    </row>
    <row r="24">
      <c r="A24" s="39">
        <v>7.0</v>
      </c>
      <c r="B24" s="40" t="s">
        <v>908</v>
      </c>
      <c r="C24" s="48" t="s">
        <v>753</v>
      </c>
    </row>
    <row r="25">
      <c r="A25" s="39">
        <v>8.0</v>
      </c>
      <c r="B25" s="40" t="s">
        <v>909</v>
      </c>
      <c r="C25" s="48" t="s">
        <v>753</v>
      </c>
    </row>
    <row r="26">
      <c r="A26" s="39">
        <v>9.0</v>
      </c>
      <c r="B26" s="40" t="s">
        <v>910</v>
      </c>
      <c r="C26" s="48" t="s">
        <v>753</v>
      </c>
    </row>
    <row r="27">
      <c r="A27" s="43">
        <v>10.0</v>
      </c>
      <c r="B27" s="49" t="s">
        <v>911</v>
      </c>
      <c r="C27" s="50" t="s">
        <v>753</v>
      </c>
    </row>
    <row r="28">
      <c r="A28" s="35"/>
      <c r="B28" s="35"/>
      <c r="C28" s="35"/>
    </row>
    <row r="29">
      <c r="A29" s="34" t="s">
        <v>756</v>
      </c>
    </row>
    <row r="30">
      <c r="A30" s="35"/>
      <c r="B30" s="35"/>
      <c r="C30" s="35"/>
    </row>
    <row r="31">
      <c r="A31" s="36" t="s">
        <v>749</v>
      </c>
      <c r="B31" s="37" t="s">
        <v>757</v>
      </c>
      <c r="C31" s="38"/>
    </row>
    <row r="32">
      <c r="A32" s="39">
        <v>1.0</v>
      </c>
      <c r="B32" s="40" t="s">
        <v>912</v>
      </c>
      <c r="C32" s="41"/>
    </row>
    <row r="33">
      <c r="A33" s="39">
        <v>2.0</v>
      </c>
      <c r="B33" s="40" t="s">
        <v>913</v>
      </c>
      <c r="C33" s="41"/>
    </row>
    <row r="34">
      <c r="A34" s="39">
        <v>3.0</v>
      </c>
      <c r="B34" s="40" t="s">
        <v>914</v>
      </c>
      <c r="C34" s="41"/>
    </row>
    <row r="35">
      <c r="A35" s="39">
        <v>4.0</v>
      </c>
      <c r="B35" s="40" t="s">
        <v>915</v>
      </c>
      <c r="C35" s="41"/>
    </row>
    <row r="36">
      <c r="A36" s="39">
        <v>5.0</v>
      </c>
      <c r="B36" s="40" t="s">
        <v>916</v>
      </c>
      <c r="C36" s="41"/>
    </row>
    <row r="37">
      <c r="A37" s="43">
        <v>6.0</v>
      </c>
      <c r="B37" s="49" t="s">
        <v>917</v>
      </c>
      <c r="C37" s="45"/>
    </row>
    <row r="38">
      <c r="A38" s="35"/>
      <c r="B38" s="35"/>
      <c r="C38" s="35"/>
    </row>
    <row r="39">
      <c r="A39" s="34" t="s">
        <v>760</v>
      </c>
    </row>
    <row r="40">
      <c r="A40" s="35"/>
      <c r="B40" s="35"/>
      <c r="C40" s="35"/>
    </row>
    <row r="41">
      <c r="A41" s="36" t="s">
        <v>749</v>
      </c>
      <c r="B41" s="37" t="s">
        <v>757</v>
      </c>
      <c r="C41" s="38"/>
    </row>
    <row r="42">
      <c r="A42" s="39">
        <v>1.0</v>
      </c>
      <c r="B42" s="40" t="s">
        <v>918</v>
      </c>
      <c r="C42" s="41"/>
    </row>
    <row r="43">
      <c r="A43" s="39">
        <v>2.0</v>
      </c>
      <c r="B43" s="40" t="s">
        <v>919</v>
      </c>
      <c r="C43" s="41"/>
    </row>
    <row r="44">
      <c r="A44" s="39">
        <v>3.0</v>
      </c>
      <c r="B44" s="40" t="s">
        <v>920</v>
      </c>
      <c r="C44" s="41"/>
    </row>
    <row r="45">
      <c r="A45" s="39">
        <v>4.0</v>
      </c>
      <c r="B45" s="40" t="s">
        <v>921</v>
      </c>
      <c r="C45" s="41"/>
    </row>
    <row r="46">
      <c r="A46" s="43">
        <v>5.0</v>
      </c>
      <c r="B46" s="49" t="s">
        <v>922</v>
      </c>
      <c r="C46" s="45"/>
    </row>
    <row r="47">
      <c r="A47" s="35"/>
      <c r="B47" s="35"/>
      <c r="C47" s="35"/>
    </row>
    <row r="48">
      <c r="A48" s="34" t="s">
        <v>763</v>
      </c>
    </row>
    <row r="49">
      <c r="A49" s="35"/>
      <c r="B49" s="35"/>
      <c r="C49" s="35"/>
    </row>
    <row r="50">
      <c r="A50" s="36" t="s">
        <v>749</v>
      </c>
      <c r="B50" s="37" t="s">
        <v>757</v>
      </c>
      <c r="C50" s="38"/>
    </row>
    <row r="51">
      <c r="A51" s="39">
        <v>1.0</v>
      </c>
      <c r="B51" s="40" t="s">
        <v>923</v>
      </c>
      <c r="C51" s="41"/>
    </row>
    <row r="52">
      <c r="A52" s="39">
        <v>2.0</v>
      </c>
      <c r="B52" s="40" t="s">
        <v>924</v>
      </c>
      <c r="C52" s="41"/>
    </row>
    <row r="53">
      <c r="A53" s="39">
        <v>3.0</v>
      </c>
      <c r="B53" s="40" t="s">
        <v>925</v>
      </c>
      <c r="C53" s="41"/>
    </row>
    <row r="54">
      <c r="A54" s="39">
        <v>4.0</v>
      </c>
      <c r="B54" s="40" t="s">
        <v>926</v>
      </c>
      <c r="C54" s="41"/>
    </row>
    <row r="55">
      <c r="A55" s="39">
        <v>5.0</v>
      </c>
      <c r="B55" s="40" t="s">
        <v>927</v>
      </c>
      <c r="C55" s="41"/>
    </row>
    <row r="56">
      <c r="A56" s="39">
        <v>6.0</v>
      </c>
      <c r="B56" s="40" t="s">
        <v>928</v>
      </c>
      <c r="C56" s="41"/>
    </row>
    <row r="57">
      <c r="A57" s="43">
        <v>7.0</v>
      </c>
      <c r="B57" s="49" t="s">
        <v>929</v>
      </c>
      <c r="C57" s="45"/>
    </row>
  </sheetData>
  <mergeCells count="7">
    <mergeCell ref="A1:C1"/>
    <mergeCell ref="A11:C11"/>
    <mergeCell ref="A13:C13"/>
    <mergeCell ref="A15:C15"/>
    <mergeCell ref="A29:C29"/>
    <mergeCell ref="A39:C39"/>
    <mergeCell ref="A48:C48"/>
  </mergeCells>
  <hyperlinks>
    <hyperlink r:id="rId1" ref="B9"/>
  </hyperlinks>
  <drawing r:id="rId2"/>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2" max="2" width="87.63"/>
    <col customWidth="1" min="3" max="3" width="20.13"/>
  </cols>
  <sheetData>
    <row r="1">
      <c r="A1" s="34" t="s">
        <v>742</v>
      </c>
    </row>
    <row r="2">
      <c r="A2" s="35"/>
      <c r="B2" s="35"/>
      <c r="C2" s="35"/>
    </row>
    <row r="3">
      <c r="A3" s="36" t="s">
        <v>743</v>
      </c>
      <c r="B3" s="37" t="s">
        <v>744</v>
      </c>
      <c r="C3" s="38"/>
    </row>
    <row r="4">
      <c r="A4" s="39" t="s">
        <v>6</v>
      </c>
      <c r="B4" s="40" t="s">
        <v>39</v>
      </c>
      <c r="C4" s="41"/>
    </row>
    <row r="5">
      <c r="A5" s="39" t="s">
        <v>745</v>
      </c>
      <c r="B5" s="42">
        <v>46119.0</v>
      </c>
      <c r="C5" s="41"/>
    </row>
    <row r="6">
      <c r="A6" s="39" t="s">
        <v>0</v>
      </c>
      <c r="B6" s="40" t="s">
        <v>11</v>
      </c>
      <c r="C6" s="41"/>
    </row>
    <row r="7">
      <c r="A7" s="39" t="s">
        <v>7</v>
      </c>
      <c r="B7" s="40" t="s">
        <v>40</v>
      </c>
      <c r="C7" s="41"/>
    </row>
    <row r="8">
      <c r="A8" s="39" t="s">
        <v>746</v>
      </c>
      <c r="B8" s="40">
        <v>3.0</v>
      </c>
      <c r="C8" s="41"/>
    </row>
    <row r="9">
      <c r="A9" s="43" t="s">
        <v>8</v>
      </c>
      <c r="B9" s="44" t="s">
        <v>41</v>
      </c>
      <c r="C9" s="45"/>
    </row>
    <row r="10">
      <c r="A10" s="35"/>
      <c r="B10" s="35"/>
      <c r="C10" s="35"/>
    </row>
    <row r="11">
      <c r="A11" s="34" t="s">
        <v>747</v>
      </c>
    </row>
    <row r="12">
      <c r="A12" s="35"/>
      <c r="B12" s="35"/>
      <c r="C12" s="35"/>
    </row>
    <row r="13">
      <c r="A13" s="46" t="s">
        <v>930</v>
      </c>
    </row>
    <row r="14">
      <c r="A14" s="35"/>
      <c r="B14" s="35"/>
      <c r="C14" s="35"/>
    </row>
    <row r="15">
      <c r="A15" s="34" t="s">
        <v>748</v>
      </c>
    </row>
    <row r="16">
      <c r="A16" s="35"/>
      <c r="B16" s="35"/>
      <c r="C16" s="35"/>
    </row>
    <row r="17">
      <c r="A17" s="36" t="s">
        <v>749</v>
      </c>
      <c r="B17" s="37" t="s">
        <v>750</v>
      </c>
      <c r="C17" s="47" t="s">
        <v>751</v>
      </c>
    </row>
    <row r="18">
      <c r="A18" s="39">
        <v>1.0</v>
      </c>
      <c r="B18" s="40" t="s">
        <v>931</v>
      </c>
      <c r="C18" s="48" t="s">
        <v>753</v>
      </c>
    </row>
    <row r="19">
      <c r="A19" s="39">
        <v>2.0</v>
      </c>
      <c r="B19" s="40" t="s">
        <v>932</v>
      </c>
      <c r="C19" s="48" t="s">
        <v>753</v>
      </c>
    </row>
    <row r="20">
      <c r="A20" s="39">
        <v>3.0</v>
      </c>
      <c r="B20" s="40" t="s">
        <v>933</v>
      </c>
      <c r="C20" s="48" t="s">
        <v>753</v>
      </c>
    </row>
    <row r="21">
      <c r="A21" s="39">
        <v>4.0</v>
      </c>
      <c r="B21" s="40" t="s">
        <v>934</v>
      </c>
      <c r="C21" s="48" t="s">
        <v>753</v>
      </c>
    </row>
    <row r="22">
      <c r="A22" s="39">
        <v>5.0</v>
      </c>
      <c r="B22" s="40" t="s">
        <v>935</v>
      </c>
      <c r="C22" s="48" t="s">
        <v>753</v>
      </c>
    </row>
    <row r="23">
      <c r="A23" s="39">
        <v>6.0</v>
      </c>
      <c r="B23" s="40" t="s">
        <v>936</v>
      </c>
      <c r="C23" s="48" t="s">
        <v>753</v>
      </c>
    </row>
    <row r="24">
      <c r="A24" s="39">
        <v>7.0</v>
      </c>
      <c r="B24" s="40" t="s">
        <v>937</v>
      </c>
      <c r="C24" s="48" t="s">
        <v>753</v>
      </c>
    </row>
    <row r="25">
      <c r="A25" s="39">
        <v>8.0</v>
      </c>
      <c r="B25" s="40" t="s">
        <v>938</v>
      </c>
      <c r="C25" s="48" t="s">
        <v>753</v>
      </c>
    </row>
    <row r="26">
      <c r="A26" s="39">
        <v>9.0</v>
      </c>
      <c r="B26" s="40" t="s">
        <v>939</v>
      </c>
      <c r="C26" s="48" t="s">
        <v>753</v>
      </c>
    </row>
    <row r="27">
      <c r="A27" s="39">
        <v>10.0</v>
      </c>
      <c r="B27" s="40" t="s">
        <v>940</v>
      </c>
      <c r="C27" s="48" t="s">
        <v>753</v>
      </c>
    </row>
    <row r="28">
      <c r="A28" s="39">
        <v>11.0</v>
      </c>
      <c r="B28" s="40" t="s">
        <v>941</v>
      </c>
      <c r="C28" s="48" t="s">
        <v>753</v>
      </c>
    </row>
    <row r="29">
      <c r="A29" s="43">
        <v>12.0</v>
      </c>
      <c r="B29" s="49" t="s">
        <v>942</v>
      </c>
      <c r="C29" s="50" t="s">
        <v>753</v>
      </c>
    </row>
    <row r="30">
      <c r="A30" s="35"/>
      <c r="B30" s="35"/>
      <c r="C30" s="35"/>
    </row>
    <row r="31">
      <c r="A31" s="34" t="s">
        <v>756</v>
      </c>
    </row>
    <row r="32">
      <c r="A32" s="35"/>
      <c r="B32" s="35"/>
      <c r="C32" s="35"/>
    </row>
    <row r="33">
      <c r="A33" s="36" t="s">
        <v>749</v>
      </c>
      <c r="B33" s="37" t="s">
        <v>757</v>
      </c>
      <c r="C33" s="38"/>
    </row>
    <row r="34">
      <c r="A34" s="39">
        <v>1.0</v>
      </c>
      <c r="B34" s="40" t="s">
        <v>943</v>
      </c>
      <c r="C34" s="41"/>
    </row>
    <row r="35">
      <c r="A35" s="39">
        <v>2.0</v>
      </c>
      <c r="B35" s="40" t="s">
        <v>944</v>
      </c>
      <c r="C35" s="41"/>
    </row>
    <row r="36">
      <c r="A36" s="39">
        <v>3.0</v>
      </c>
      <c r="B36" s="40" t="s">
        <v>945</v>
      </c>
      <c r="C36" s="41"/>
    </row>
    <row r="37">
      <c r="A37" s="39">
        <v>4.0</v>
      </c>
      <c r="B37" s="40" t="s">
        <v>946</v>
      </c>
      <c r="C37" s="41"/>
    </row>
    <row r="38">
      <c r="A38" s="43">
        <v>5.0</v>
      </c>
      <c r="B38" s="49" t="s">
        <v>947</v>
      </c>
      <c r="C38" s="45"/>
    </row>
    <row r="39">
      <c r="A39" s="35"/>
      <c r="B39" s="35"/>
      <c r="C39" s="35"/>
    </row>
    <row r="40">
      <c r="A40" s="34" t="s">
        <v>760</v>
      </c>
    </row>
    <row r="41">
      <c r="A41" s="35"/>
      <c r="B41" s="35"/>
      <c r="C41" s="35"/>
    </row>
    <row r="42">
      <c r="A42" s="36" t="s">
        <v>749</v>
      </c>
      <c r="B42" s="37" t="s">
        <v>757</v>
      </c>
      <c r="C42" s="38"/>
    </row>
    <row r="43">
      <c r="A43" s="39">
        <v>1.0</v>
      </c>
      <c r="B43" s="40" t="s">
        <v>948</v>
      </c>
      <c r="C43" s="41"/>
    </row>
    <row r="44">
      <c r="A44" s="39">
        <v>2.0</v>
      </c>
      <c r="B44" s="40" t="s">
        <v>949</v>
      </c>
      <c r="C44" s="41"/>
    </row>
    <row r="45">
      <c r="A45" s="39">
        <v>3.0</v>
      </c>
      <c r="B45" s="40" t="s">
        <v>950</v>
      </c>
      <c r="C45" s="41"/>
    </row>
    <row r="46">
      <c r="A46" s="39">
        <v>4.0</v>
      </c>
      <c r="B46" s="40" t="s">
        <v>951</v>
      </c>
      <c r="C46" s="41"/>
    </row>
    <row r="47">
      <c r="A47" s="39">
        <v>5.0</v>
      </c>
      <c r="B47" s="40" t="s">
        <v>952</v>
      </c>
      <c r="C47" s="41"/>
    </row>
    <row r="48">
      <c r="A48" s="43">
        <v>6.0</v>
      </c>
      <c r="B48" s="49" t="s">
        <v>953</v>
      </c>
      <c r="C48" s="45"/>
    </row>
    <row r="49">
      <c r="A49" s="35"/>
      <c r="B49" s="35"/>
      <c r="C49" s="35"/>
    </row>
    <row r="50">
      <c r="A50" s="34" t="s">
        <v>763</v>
      </c>
    </row>
    <row r="51">
      <c r="A51" s="35"/>
      <c r="B51" s="35"/>
      <c r="C51" s="35"/>
    </row>
    <row r="52">
      <c r="A52" s="36" t="s">
        <v>749</v>
      </c>
      <c r="B52" s="37" t="s">
        <v>757</v>
      </c>
      <c r="C52" s="38"/>
    </row>
    <row r="53">
      <c r="A53" s="39">
        <v>1.0</v>
      </c>
      <c r="B53" s="40" t="s">
        <v>954</v>
      </c>
      <c r="C53" s="41"/>
    </row>
    <row r="54">
      <c r="A54" s="39">
        <v>2.0</v>
      </c>
      <c r="B54" s="40" t="s">
        <v>955</v>
      </c>
      <c r="C54" s="41"/>
    </row>
    <row r="55">
      <c r="A55" s="39">
        <v>3.0</v>
      </c>
      <c r="B55" s="40" t="s">
        <v>956</v>
      </c>
      <c r="C55" s="41"/>
    </row>
    <row r="56">
      <c r="A56" s="39">
        <v>4.0</v>
      </c>
      <c r="B56" s="40" t="s">
        <v>957</v>
      </c>
      <c r="C56" s="41"/>
    </row>
    <row r="57">
      <c r="A57" s="39">
        <v>5.0</v>
      </c>
      <c r="B57" s="40" t="s">
        <v>958</v>
      </c>
      <c r="C57" s="41"/>
    </row>
    <row r="58">
      <c r="A58" s="39">
        <v>6.0</v>
      </c>
      <c r="B58" s="40" t="s">
        <v>959</v>
      </c>
      <c r="C58" s="41"/>
    </row>
    <row r="59">
      <c r="A59" s="39">
        <v>7.0</v>
      </c>
      <c r="B59" s="40" t="s">
        <v>960</v>
      </c>
      <c r="C59" s="41"/>
    </row>
    <row r="60">
      <c r="A60" s="39">
        <v>8.0</v>
      </c>
      <c r="B60" s="40" t="s">
        <v>961</v>
      </c>
      <c r="C60" s="41"/>
    </row>
    <row r="61">
      <c r="A61" s="39">
        <v>9.0</v>
      </c>
      <c r="B61" s="40" t="s">
        <v>962</v>
      </c>
      <c r="C61" s="41"/>
    </row>
    <row r="62">
      <c r="A62" s="39">
        <v>10.0</v>
      </c>
      <c r="B62" s="40" t="s">
        <v>963</v>
      </c>
      <c r="C62" s="41"/>
    </row>
    <row r="63">
      <c r="A63" s="39">
        <v>11.0</v>
      </c>
      <c r="B63" s="40" t="s">
        <v>964</v>
      </c>
      <c r="C63" s="41"/>
    </row>
    <row r="64">
      <c r="A64" s="39">
        <v>12.0</v>
      </c>
      <c r="B64" s="40" t="s">
        <v>899</v>
      </c>
      <c r="C64" s="41"/>
    </row>
    <row r="65">
      <c r="A65" s="43">
        <v>13.0</v>
      </c>
      <c r="B65" s="49" t="s">
        <v>965</v>
      </c>
      <c r="C65" s="45"/>
    </row>
  </sheetData>
  <mergeCells count="7">
    <mergeCell ref="A1:C1"/>
    <mergeCell ref="A11:C11"/>
    <mergeCell ref="A13:C13"/>
    <mergeCell ref="A15:C15"/>
    <mergeCell ref="A31:C31"/>
    <mergeCell ref="A40:C40"/>
    <mergeCell ref="A50:C50"/>
  </mergeCells>
  <hyperlinks>
    <hyperlink r:id="rId1" ref="B9"/>
  </hyperlinks>
  <drawing r:id="rId2"/>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2" max="2" width="87.63"/>
    <col customWidth="1" min="3" max="3" width="20.13"/>
  </cols>
  <sheetData>
    <row r="1">
      <c r="A1" s="34" t="s">
        <v>742</v>
      </c>
    </row>
    <row r="2">
      <c r="A2" s="35"/>
      <c r="B2" s="35"/>
      <c r="C2" s="35"/>
    </row>
    <row r="3">
      <c r="A3" s="36" t="s">
        <v>743</v>
      </c>
      <c r="B3" s="37" t="s">
        <v>744</v>
      </c>
      <c r="C3" s="38"/>
    </row>
    <row r="4">
      <c r="A4" s="39" t="s">
        <v>6</v>
      </c>
      <c r="B4" s="40" t="s">
        <v>44</v>
      </c>
      <c r="C4" s="41"/>
    </row>
    <row r="5">
      <c r="A5" s="39" t="s">
        <v>745</v>
      </c>
      <c r="B5" s="42">
        <v>46120.0</v>
      </c>
      <c r="C5" s="41"/>
    </row>
    <row r="6">
      <c r="A6" s="39" t="s">
        <v>0</v>
      </c>
      <c r="B6" s="40" t="s">
        <v>11</v>
      </c>
      <c r="C6" s="41"/>
    </row>
    <row r="7">
      <c r="A7" s="39" t="s">
        <v>7</v>
      </c>
      <c r="B7" s="40" t="s">
        <v>45</v>
      </c>
      <c r="C7" s="41"/>
    </row>
    <row r="8">
      <c r="A8" s="39" t="s">
        <v>746</v>
      </c>
      <c r="B8" s="40">
        <v>3.0</v>
      </c>
      <c r="C8" s="41"/>
    </row>
    <row r="9">
      <c r="A9" s="43" t="s">
        <v>8</v>
      </c>
      <c r="B9" s="44" t="s">
        <v>46</v>
      </c>
      <c r="C9" s="45"/>
    </row>
    <row r="10">
      <c r="A10" s="35"/>
      <c r="B10" s="35"/>
      <c r="C10" s="35"/>
    </row>
    <row r="11">
      <c r="A11" s="34" t="s">
        <v>747</v>
      </c>
    </row>
    <row r="12">
      <c r="A12" s="35"/>
      <c r="B12" s="35"/>
      <c r="C12" s="35"/>
    </row>
    <row r="13">
      <c r="A13" s="46" t="s">
        <v>966</v>
      </c>
    </row>
    <row r="14">
      <c r="A14" s="35"/>
      <c r="B14" s="35"/>
      <c r="C14" s="35"/>
    </row>
    <row r="15">
      <c r="A15" s="34" t="s">
        <v>748</v>
      </c>
    </row>
    <row r="16">
      <c r="A16" s="35"/>
      <c r="B16" s="35"/>
      <c r="C16" s="35"/>
    </row>
    <row r="17">
      <c r="A17" s="36" t="s">
        <v>749</v>
      </c>
      <c r="B17" s="37" t="s">
        <v>750</v>
      </c>
      <c r="C17" s="47" t="s">
        <v>751</v>
      </c>
    </row>
    <row r="18">
      <c r="A18" s="39">
        <v>1.0</v>
      </c>
      <c r="B18" s="40" t="s">
        <v>967</v>
      </c>
      <c r="C18" s="48" t="s">
        <v>753</v>
      </c>
    </row>
    <row r="19">
      <c r="A19" s="39">
        <v>2.0</v>
      </c>
      <c r="B19" s="40" t="s">
        <v>968</v>
      </c>
      <c r="C19" s="48" t="s">
        <v>753</v>
      </c>
    </row>
    <row r="20">
      <c r="A20" s="39">
        <v>3.0</v>
      </c>
      <c r="B20" s="40" t="s">
        <v>969</v>
      </c>
      <c r="C20" s="48" t="s">
        <v>753</v>
      </c>
    </row>
    <row r="21">
      <c r="A21" s="43">
        <v>4.0</v>
      </c>
      <c r="B21" s="49" t="s">
        <v>970</v>
      </c>
      <c r="C21" s="50" t="s">
        <v>753</v>
      </c>
    </row>
    <row r="22">
      <c r="A22" s="35"/>
      <c r="B22" s="35"/>
      <c r="C22" s="35"/>
    </row>
    <row r="23">
      <c r="A23" s="34" t="s">
        <v>756</v>
      </c>
    </row>
    <row r="24">
      <c r="A24" s="35"/>
      <c r="B24" s="35"/>
      <c r="C24" s="35"/>
    </row>
    <row r="25">
      <c r="A25" s="36" t="s">
        <v>749</v>
      </c>
      <c r="B25" s="37" t="s">
        <v>757</v>
      </c>
      <c r="C25" s="38"/>
    </row>
    <row r="26">
      <c r="A26" s="39">
        <v>1.0</v>
      </c>
      <c r="B26" s="40" t="s">
        <v>971</v>
      </c>
      <c r="C26" s="41"/>
    </row>
    <row r="27">
      <c r="A27" s="39">
        <v>2.0</v>
      </c>
      <c r="B27" s="40" t="s">
        <v>972</v>
      </c>
      <c r="C27" s="41"/>
    </row>
    <row r="28">
      <c r="A28" s="43">
        <v>3.0</v>
      </c>
      <c r="B28" s="49" t="s">
        <v>973</v>
      </c>
      <c r="C28" s="45"/>
    </row>
    <row r="29">
      <c r="A29" s="35"/>
      <c r="B29" s="35"/>
      <c r="C29" s="35"/>
    </row>
    <row r="30">
      <c r="A30" s="34" t="s">
        <v>760</v>
      </c>
    </row>
    <row r="31">
      <c r="A31" s="35"/>
      <c r="B31" s="35"/>
      <c r="C31" s="35"/>
    </row>
    <row r="32">
      <c r="A32" s="36" t="s">
        <v>749</v>
      </c>
      <c r="B32" s="37" t="s">
        <v>757</v>
      </c>
      <c r="C32" s="38"/>
    </row>
    <row r="33">
      <c r="A33" s="39">
        <v>1.0</v>
      </c>
      <c r="B33" s="40" t="s">
        <v>974</v>
      </c>
      <c r="C33" s="41"/>
    </row>
    <row r="34">
      <c r="A34" s="39">
        <v>2.0</v>
      </c>
      <c r="B34" s="40" t="s">
        <v>975</v>
      </c>
      <c r="C34" s="41"/>
    </row>
    <row r="35">
      <c r="A35" s="39">
        <v>3.0</v>
      </c>
      <c r="B35" s="40" t="s">
        <v>976</v>
      </c>
      <c r="C35" s="41"/>
    </row>
    <row r="36">
      <c r="A36" s="43">
        <v>4.0</v>
      </c>
      <c r="B36" s="49" t="s">
        <v>977</v>
      </c>
      <c r="C36" s="45"/>
    </row>
    <row r="37">
      <c r="A37" s="35"/>
      <c r="B37" s="35"/>
      <c r="C37" s="35"/>
    </row>
    <row r="38">
      <c r="A38" s="34" t="s">
        <v>763</v>
      </c>
    </row>
    <row r="39">
      <c r="A39" s="35"/>
      <c r="B39" s="35"/>
      <c r="C39" s="35"/>
    </row>
    <row r="40">
      <c r="A40" s="36" t="s">
        <v>749</v>
      </c>
      <c r="B40" s="37" t="s">
        <v>757</v>
      </c>
      <c r="C40" s="38"/>
    </row>
    <row r="41">
      <c r="A41" s="39">
        <v>1.0</v>
      </c>
      <c r="B41" s="40" t="s">
        <v>978</v>
      </c>
      <c r="C41" s="41"/>
    </row>
    <row r="42">
      <c r="A42" s="39">
        <v>2.0</v>
      </c>
      <c r="B42" s="40" t="s">
        <v>979</v>
      </c>
      <c r="C42" s="41"/>
    </row>
    <row r="43">
      <c r="A43" s="39">
        <v>3.0</v>
      </c>
      <c r="B43" s="40" t="s">
        <v>980</v>
      </c>
      <c r="C43" s="41"/>
    </row>
    <row r="44">
      <c r="A44" s="39">
        <v>4.0</v>
      </c>
      <c r="B44" s="40" t="s">
        <v>981</v>
      </c>
      <c r="C44" s="41"/>
    </row>
    <row r="45">
      <c r="A45" s="43">
        <v>5.0</v>
      </c>
      <c r="B45" s="49" t="s">
        <v>982</v>
      </c>
      <c r="C45" s="45"/>
    </row>
  </sheetData>
  <mergeCells count="7">
    <mergeCell ref="A1:C1"/>
    <mergeCell ref="A11:C11"/>
    <mergeCell ref="A13:C13"/>
    <mergeCell ref="A15:C15"/>
    <mergeCell ref="A23:C23"/>
    <mergeCell ref="A30:C30"/>
    <mergeCell ref="A38:C38"/>
  </mergeCells>
  <hyperlinks>
    <hyperlink r:id="rId1" ref="B9"/>
  </hyperlinks>
  <drawing r:id="rId2"/>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2" max="2" width="87.63"/>
    <col customWidth="1" min="3" max="3" width="20.13"/>
  </cols>
  <sheetData>
    <row r="1">
      <c r="A1" s="34" t="s">
        <v>742</v>
      </c>
    </row>
    <row r="2">
      <c r="A2" s="35"/>
      <c r="B2" s="35"/>
      <c r="C2" s="35"/>
    </row>
    <row r="3">
      <c r="A3" s="36" t="s">
        <v>743</v>
      </c>
      <c r="B3" s="37" t="s">
        <v>744</v>
      </c>
      <c r="C3" s="38"/>
    </row>
    <row r="4">
      <c r="A4" s="39" t="s">
        <v>6</v>
      </c>
      <c r="B4" s="40" t="s">
        <v>53</v>
      </c>
      <c r="C4" s="41"/>
    </row>
    <row r="5">
      <c r="A5" s="39" t="s">
        <v>745</v>
      </c>
      <c r="B5" s="42">
        <v>46121.0</v>
      </c>
      <c r="C5" s="41"/>
    </row>
    <row r="6">
      <c r="A6" s="39" t="s">
        <v>0</v>
      </c>
      <c r="B6" s="40" t="s">
        <v>11</v>
      </c>
      <c r="C6" s="41"/>
    </row>
    <row r="7">
      <c r="A7" s="39" t="s">
        <v>7</v>
      </c>
      <c r="B7" s="40" t="s">
        <v>45</v>
      </c>
      <c r="C7" s="41"/>
    </row>
    <row r="8">
      <c r="A8" s="39" t="s">
        <v>746</v>
      </c>
      <c r="B8" s="40">
        <v>5.0</v>
      </c>
      <c r="C8" s="41"/>
    </row>
    <row r="9">
      <c r="A9" s="43" t="s">
        <v>8</v>
      </c>
      <c r="B9" s="44" t="s">
        <v>54</v>
      </c>
      <c r="C9" s="45"/>
    </row>
    <row r="10">
      <c r="A10" s="35"/>
      <c r="B10" s="35"/>
      <c r="C10" s="35"/>
    </row>
    <row r="11">
      <c r="A11" s="34" t="s">
        <v>747</v>
      </c>
    </row>
    <row r="12">
      <c r="A12" s="35"/>
      <c r="B12" s="35"/>
      <c r="C12" s="35"/>
    </row>
    <row r="13">
      <c r="A13" s="46" t="s">
        <v>983</v>
      </c>
    </row>
    <row r="14">
      <c r="A14" s="35"/>
      <c r="B14" s="35"/>
      <c r="C14" s="35"/>
    </row>
    <row r="15">
      <c r="A15" s="34" t="s">
        <v>748</v>
      </c>
    </row>
    <row r="16">
      <c r="A16" s="35"/>
      <c r="B16" s="35"/>
      <c r="C16" s="35"/>
    </row>
    <row r="17">
      <c r="A17" s="36" t="s">
        <v>749</v>
      </c>
      <c r="B17" s="37" t="s">
        <v>750</v>
      </c>
      <c r="C17" s="47" t="s">
        <v>751</v>
      </c>
    </row>
    <row r="18">
      <c r="A18" s="39">
        <v>1.0</v>
      </c>
      <c r="B18" s="40" t="s">
        <v>984</v>
      </c>
      <c r="C18" s="48" t="s">
        <v>753</v>
      </c>
    </row>
    <row r="19">
      <c r="A19" s="39">
        <v>2.0</v>
      </c>
      <c r="B19" s="40" t="s">
        <v>985</v>
      </c>
      <c r="C19" s="48" t="s">
        <v>753</v>
      </c>
    </row>
    <row r="20">
      <c r="A20" s="39">
        <v>3.0</v>
      </c>
      <c r="B20" s="40" t="s">
        <v>986</v>
      </c>
      <c r="C20" s="48" t="s">
        <v>753</v>
      </c>
    </row>
    <row r="21">
      <c r="A21" s="39">
        <v>4.0</v>
      </c>
      <c r="B21" s="40" t="s">
        <v>987</v>
      </c>
      <c r="C21" s="48" t="s">
        <v>988</v>
      </c>
    </row>
    <row r="22">
      <c r="A22" s="43">
        <v>5.0</v>
      </c>
      <c r="B22" s="49" t="s">
        <v>989</v>
      </c>
      <c r="C22" s="50" t="s">
        <v>753</v>
      </c>
    </row>
    <row r="23">
      <c r="A23" s="35"/>
      <c r="B23" s="35"/>
      <c r="C23" s="35"/>
    </row>
    <row r="24">
      <c r="A24" s="34" t="s">
        <v>756</v>
      </c>
    </row>
    <row r="25">
      <c r="A25" s="35"/>
      <c r="B25" s="35"/>
      <c r="C25" s="35"/>
    </row>
    <row r="26">
      <c r="A26" s="36" t="s">
        <v>749</v>
      </c>
      <c r="B26" s="37" t="s">
        <v>757</v>
      </c>
      <c r="C26" s="38"/>
    </row>
    <row r="27">
      <c r="A27" s="39">
        <v>1.0</v>
      </c>
      <c r="B27" s="40" t="s">
        <v>990</v>
      </c>
      <c r="C27" s="41"/>
    </row>
    <row r="28">
      <c r="A28" s="39">
        <v>2.0</v>
      </c>
      <c r="B28" s="40" t="s">
        <v>991</v>
      </c>
      <c r="C28" s="41"/>
    </row>
    <row r="29">
      <c r="A29" s="39">
        <v>3.0</v>
      </c>
      <c r="B29" s="40" t="s">
        <v>992</v>
      </c>
      <c r="C29" s="41"/>
    </row>
    <row r="30">
      <c r="A30" s="39">
        <v>4.0</v>
      </c>
      <c r="B30" s="40" t="s">
        <v>993</v>
      </c>
      <c r="C30" s="41"/>
    </row>
    <row r="31">
      <c r="A31" s="39">
        <v>5.0</v>
      </c>
      <c r="B31" s="40" t="s">
        <v>994</v>
      </c>
      <c r="C31" s="41"/>
    </row>
    <row r="32">
      <c r="A32" s="43">
        <v>6.0</v>
      </c>
      <c r="B32" s="49" t="s">
        <v>995</v>
      </c>
      <c r="C32" s="45"/>
    </row>
    <row r="33">
      <c r="A33" s="35"/>
      <c r="B33" s="35"/>
      <c r="C33" s="35"/>
    </row>
    <row r="34">
      <c r="A34" s="34" t="s">
        <v>760</v>
      </c>
    </row>
    <row r="35">
      <c r="A35" s="35"/>
      <c r="B35" s="35"/>
      <c r="C35" s="35"/>
    </row>
    <row r="36">
      <c r="A36" s="36" t="s">
        <v>749</v>
      </c>
      <c r="B36" s="37" t="s">
        <v>757</v>
      </c>
      <c r="C36" s="38"/>
    </row>
    <row r="37">
      <c r="A37" s="39">
        <v>1.0</v>
      </c>
      <c r="B37" s="40" t="s">
        <v>996</v>
      </c>
      <c r="C37" s="41"/>
    </row>
    <row r="38">
      <c r="A38" s="43">
        <v>2.0</v>
      </c>
      <c r="B38" s="49" t="s">
        <v>997</v>
      </c>
      <c r="C38" s="45"/>
    </row>
    <row r="39">
      <c r="A39" s="35"/>
      <c r="B39" s="35"/>
      <c r="C39" s="35"/>
    </row>
    <row r="40">
      <c r="A40" s="34" t="s">
        <v>763</v>
      </c>
    </row>
    <row r="41">
      <c r="A41" s="35"/>
      <c r="B41" s="35"/>
      <c r="C41" s="35"/>
    </row>
    <row r="42">
      <c r="A42" s="36" t="s">
        <v>749</v>
      </c>
      <c r="B42" s="37" t="s">
        <v>757</v>
      </c>
      <c r="C42" s="38"/>
    </row>
    <row r="43">
      <c r="A43" s="39">
        <v>1.0</v>
      </c>
      <c r="B43" s="40" t="s">
        <v>998</v>
      </c>
      <c r="C43" s="41"/>
    </row>
    <row r="44">
      <c r="A44" s="39">
        <v>2.0</v>
      </c>
      <c r="B44" s="40" t="s">
        <v>999</v>
      </c>
      <c r="C44" s="41"/>
    </row>
    <row r="45">
      <c r="A45" s="39">
        <v>3.0</v>
      </c>
      <c r="B45" s="40" t="s">
        <v>1000</v>
      </c>
      <c r="C45" s="41"/>
    </row>
    <row r="46">
      <c r="A46" s="39">
        <v>4.0</v>
      </c>
      <c r="B46" s="40" t="s">
        <v>1001</v>
      </c>
      <c r="C46" s="41"/>
    </row>
    <row r="47">
      <c r="A47" s="39">
        <v>5.0</v>
      </c>
      <c r="B47" s="40" t="s">
        <v>1002</v>
      </c>
      <c r="C47" s="41"/>
    </row>
    <row r="48">
      <c r="A48" s="43">
        <v>6.0</v>
      </c>
      <c r="B48" s="49" t="s">
        <v>1003</v>
      </c>
      <c r="C48" s="45"/>
    </row>
  </sheetData>
  <mergeCells count="7">
    <mergeCell ref="A1:C1"/>
    <mergeCell ref="A11:C11"/>
    <mergeCell ref="A13:C13"/>
    <mergeCell ref="A15:C15"/>
    <mergeCell ref="A24:C24"/>
    <mergeCell ref="A34:C34"/>
    <mergeCell ref="A40:C40"/>
  </mergeCells>
  <hyperlinks>
    <hyperlink r:id="rId1" ref="B9"/>
  </hyperlinks>
  <drawing r:id="rId2"/>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2" max="2" width="87.63"/>
    <col customWidth="1" min="3" max="3" width="20.13"/>
    <col customWidth="1" min="5" max="5" width="25.63"/>
    <col customWidth="1" min="6" max="7" width="34.5"/>
    <col customWidth="1" min="8" max="8" width="19.38"/>
  </cols>
  <sheetData>
    <row r="1">
      <c r="A1" s="34" t="s">
        <v>742</v>
      </c>
    </row>
    <row r="2">
      <c r="A2" s="35"/>
      <c r="B2" s="35"/>
      <c r="C2" s="35"/>
    </row>
    <row r="3">
      <c r="A3" s="36" t="s">
        <v>743</v>
      </c>
      <c r="B3" s="37" t="s">
        <v>744</v>
      </c>
      <c r="C3" s="38"/>
    </row>
    <row r="4">
      <c r="A4" s="39" t="s">
        <v>6</v>
      </c>
      <c r="B4" s="40" t="s">
        <v>57</v>
      </c>
      <c r="C4" s="41"/>
    </row>
    <row r="5">
      <c r="A5" s="39" t="s">
        <v>745</v>
      </c>
      <c r="B5" s="42">
        <v>46121.0</v>
      </c>
      <c r="C5" s="41"/>
    </row>
    <row r="6">
      <c r="A6" s="39" t="s">
        <v>0</v>
      </c>
      <c r="B6" s="40" t="s">
        <v>11</v>
      </c>
      <c r="C6" s="41"/>
    </row>
    <row r="7">
      <c r="A7" s="39" t="s">
        <v>7</v>
      </c>
      <c r="B7" s="40" t="s">
        <v>63</v>
      </c>
      <c r="C7" s="41"/>
    </row>
    <row r="8">
      <c r="A8" s="39" t="s">
        <v>746</v>
      </c>
      <c r="B8" s="40">
        <v>4.0</v>
      </c>
      <c r="C8" s="41"/>
    </row>
    <row r="9">
      <c r="A9" s="43" t="s">
        <v>8</v>
      </c>
      <c r="B9" s="44" t="s">
        <v>64</v>
      </c>
      <c r="C9" s="45"/>
    </row>
    <row r="10">
      <c r="A10" s="35"/>
      <c r="B10" s="35"/>
      <c r="C10" s="35"/>
    </row>
    <row r="11">
      <c r="A11" s="34" t="s">
        <v>747</v>
      </c>
    </row>
    <row r="12">
      <c r="A12" s="35"/>
      <c r="B12" s="35"/>
      <c r="C12" s="35"/>
    </row>
    <row r="13">
      <c r="A13" s="46" t="s">
        <v>1004</v>
      </c>
    </row>
    <row r="14">
      <c r="A14" s="35"/>
      <c r="B14" s="35"/>
      <c r="C14" s="35"/>
    </row>
    <row r="15">
      <c r="A15" s="34" t="s">
        <v>748</v>
      </c>
    </row>
    <row r="16">
      <c r="A16" s="35"/>
      <c r="B16" s="35"/>
      <c r="C16" s="35"/>
    </row>
    <row r="17" ht="22.5" customHeight="1">
      <c r="A17" s="36" t="s">
        <v>749</v>
      </c>
      <c r="B17" s="37" t="s">
        <v>750</v>
      </c>
      <c r="C17" s="47" t="s">
        <v>751</v>
      </c>
      <c r="E17" s="58" t="s">
        <v>1005</v>
      </c>
      <c r="F17" s="58" t="s">
        <v>1006</v>
      </c>
      <c r="G17" s="59" t="s">
        <v>751</v>
      </c>
      <c r="H17" s="60" t="s">
        <v>1007</v>
      </c>
    </row>
    <row r="18" ht="22.5" customHeight="1">
      <c r="A18" s="39">
        <v>1.0</v>
      </c>
      <c r="B18" s="40" t="s">
        <v>1008</v>
      </c>
      <c r="C18" s="48" t="s">
        <v>753</v>
      </c>
      <c r="E18" s="61" t="s">
        <v>1009</v>
      </c>
      <c r="F18" s="62" t="s">
        <v>685</v>
      </c>
      <c r="G18" s="63"/>
      <c r="H18" s="64"/>
    </row>
    <row r="19" ht="22.5" customHeight="1">
      <c r="A19" s="39">
        <v>2.0</v>
      </c>
      <c r="B19" s="40" t="s">
        <v>1010</v>
      </c>
      <c r="C19" s="48" t="s">
        <v>753</v>
      </c>
      <c r="E19" s="61" t="s">
        <v>1011</v>
      </c>
      <c r="F19" s="62" t="s">
        <v>695</v>
      </c>
      <c r="G19" s="65"/>
      <c r="H19" s="64"/>
    </row>
    <row r="20" ht="22.5" customHeight="1">
      <c r="A20" s="39">
        <v>3.0</v>
      </c>
      <c r="B20" s="40" t="s">
        <v>1012</v>
      </c>
      <c r="C20" s="48" t="s">
        <v>753</v>
      </c>
      <c r="E20" s="61" t="s">
        <v>1013</v>
      </c>
      <c r="F20" s="62" t="s">
        <v>695</v>
      </c>
      <c r="G20" s="65"/>
      <c r="H20" s="64"/>
    </row>
    <row r="21" ht="22.5" customHeight="1">
      <c r="A21" s="39">
        <v>4.0</v>
      </c>
      <c r="B21" s="40" t="s">
        <v>1014</v>
      </c>
      <c r="C21" s="48" t="s">
        <v>753</v>
      </c>
      <c r="E21" s="61" t="s">
        <v>1015</v>
      </c>
      <c r="F21" s="62" t="s">
        <v>1016</v>
      </c>
      <c r="G21" s="65"/>
      <c r="H21" s="64"/>
    </row>
    <row r="22" ht="22.5" customHeight="1">
      <c r="A22" s="39">
        <v>5.0</v>
      </c>
      <c r="B22" s="40" t="s">
        <v>1017</v>
      </c>
      <c r="C22" s="48" t="s">
        <v>753</v>
      </c>
      <c r="E22" s="61" t="s">
        <v>1018</v>
      </c>
      <c r="F22" s="62" t="s">
        <v>1016</v>
      </c>
      <c r="G22" s="65"/>
      <c r="H22" s="64"/>
    </row>
    <row r="23" ht="22.5" customHeight="1">
      <c r="A23" s="39">
        <v>6.0</v>
      </c>
      <c r="B23" s="40" t="s">
        <v>1019</v>
      </c>
      <c r="C23" s="48" t="s">
        <v>753</v>
      </c>
      <c r="E23" s="61" t="s">
        <v>1020</v>
      </c>
      <c r="F23" s="62" t="s">
        <v>696</v>
      </c>
      <c r="G23" s="63">
        <v>46122.0</v>
      </c>
      <c r="H23" s="64"/>
    </row>
    <row r="24" ht="22.5" customHeight="1">
      <c r="A24" s="39">
        <v>7.0</v>
      </c>
      <c r="B24" s="40" t="s">
        <v>1021</v>
      </c>
      <c r="C24" s="48" t="s">
        <v>753</v>
      </c>
      <c r="E24" s="61" t="s">
        <v>1022</v>
      </c>
      <c r="F24" s="62" t="s">
        <v>696</v>
      </c>
      <c r="G24" s="65"/>
      <c r="H24" s="64"/>
    </row>
    <row r="25" ht="22.5" customHeight="1">
      <c r="A25" s="39">
        <v>8.0</v>
      </c>
      <c r="B25" s="40" t="s">
        <v>1023</v>
      </c>
      <c r="C25" s="48" t="s">
        <v>753</v>
      </c>
      <c r="E25" s="66" t="s">
        <v>1024</v>
      </c>
      <c r="F25" s="62" t="s">
        <v>697</v>
      </c>
      <c r="G25" s="63"/>
      <c r="H25" s="61" t="s">
        <v>1025</v>
      </c>
    </row>
    <row r="26" ht="22.5" customHeight="1">
      <c r="A26" s="39">
        <v>9.0</v>
      </c>
      <c r="B26" s="40" t="s">
        <v>1026</v>
      </c>
      <c r="C26" s="48" t="s">
        <v>753</v>
      </c>
      <c r="E26" s="61" t="s">
        <v>1027</v>
      </c>
      <c r="F26" s="62" t="s">
        <v>698</v>
      </c>
      <c r="G26" s="63">
        <v>46123.0</v>
      </c>
      <c r="H26" s="64"/>
    </row>
    <row r="27" ht="22.5" customHeight="1">
      <c r="A27" s="39">
        <v>10.0</v>
      </c>
      <c r="B27" s="40" t="s">
        <v>1028</v>
      </c>
      <c r="C27" s="48" t="s">
        <v>753</v>
      </c>
      <c r="E27" s="67" t="s">
        <v>1029</v>
      </c>
      <c r="F27" s="68" t="s">
        <v>697</v>
      </c>
      <c r="G27" s="69">
        <v>46122.0</v>
      </c>
      <c r="H27" s="70"/>
    </row>
    <row r="28">
      <c r="A28" s="39">
        <v>11.0</v>
      </c>
      <c r="B28" s="40" t="s">
        <v>1030</v>
      </c>
      <c r="C28" s="48" t="s">
        <v>753</v>
      </c>
      <c r="E28" s="71"/>
      <c r="F28" s="71"/>
      <c r="G28" s="72"/>
      <c r="H28" s="71"/>
    </row>
    <row r="29">
      <c r="A29" s="39">
        <v>12.0</v>
      </c>
      <c r="B29" s="40" t="s">
        <v>1031</v>
      </c>
      <c r="C29" s="48" t="s">
        <v>753</v>
      </c>
      <c r="E29" s="71"/>
      <c r="F29" s="71"/>
      <c r="G29" s="72"/>
      <c r="H29" s="71"/>
    </row>
    <row r="30">
      <c r="A30" s="43">
        <v>13.0</v>
      </c>
      <c r="B30" s="49" t="s">
        <v>1032</v>
      </c>
      <c r="C30" s="50" t="s">
        <v>753</v>
      </c>
      <c r="E30" s="71"/>
      <c r="F30" s="71"/>
      <c r="G30" s="72"/>
      <c r="H30" s="71"/>
    </row>
    <row r="31">
      <c r="A31" s="35"/>
      <c r="B31" s="35"/>
      <c r="C31" s="35"/>
      <c r="E31" s="71"/>
      <c r="F31" s="71"/>
      <c r="G31" s="72"/>
      <c r="H31" s="71"/>
    </row>
    <row r="32">
      <c r="A32" s="34" t="s">
        <v>756</v>
      </c>
      <c r="E32" s="71"/>
      <c r="F32" s="71"/>
      <c r="G32" s="72"/>
      <c r="H32" s="71"/>
    </row>
    <row r="33">
      <c r="A33" s="35"/>
      <c r="B33" s="35"/>
      <c r="C33" s="35"/>
      <c r="E33" s="71"/>
      <c r="F33" s="71"/>
      <c r="G33" s="72"/>
      <c r="H33" s="71"/>
    </row>
    <row r="34">
      <c r="A34" s="36" t="s">
        <v>749</v>
      </c>
      <c r="B34" s="37" t="s">
        <v>757</v>
      </c>
      <c r="C34" s="38"/>
      <c r="E34" s="71"/>
      <c r="F34" s="71"/>
      <c r="G34" s="72"/>
      <c r="H34" s="71"/>
    </row>
    <row r="35">
      <c r="A35" s="39">
        <v>1.0</v>
      </c>
      <c r="B35" s="40" t="s">
        <v>1033</v>
      </c>
      <c r="C35" s="41"/>
    </row>
    <row r="36">
      <c r="A36" s="39">
        <v>2.0</v>
      </c>
      <c r="B36" s="40" t="s">
        <v>1034</v>
      </c>
      <c r="C36" s="41"/>
    </row>
    <row r="37">
      <c r="A37" s="39">
        <v>3.0</v>
      </c>
      <c r="B37" s="40" t="s">
        <v>1035</v>
      </c>
      <c r="C37" s="41"/>
    </row>
    <row r="38">
      <c r="A38" s="39">
        <v>4.0</v>
      </c>
      <c r="B38" s="40" t="s">
        <v>1036</v>
      </c>
      <c r="C38" s="41"/>
    </row>
    <row r="39">
      <c r="A39" s="43">
        <v>5.0</v>
      </c>
      <c r="B39" s="49" t="s">
        <v>1037</v>
      </c>
      <c r="C39" s="45"/>
    </row>
    <row r="40">
      <c r="A40" s="35"/>
      <c r="B40" s="35"/>
      <c r="C40" s="35"/>
    </row>
    <row r="41">
      <c r="A41" s="34" t="s">
        <v>760</v>
      </c>
    </row>
    <row r="42">
      <c r="A42" s="35"/>
      <c r="B42" s="35"/>
      <c r="C42" s="35"/>
    </row>
    <row r="43">
      <c r="A43" s="36" t="s">
        <v>749</v>
      </c>
      <c r="B43" s="37" t="s">
        <v>757</v>
      </c>
      <c r="C43" s="38"/>
    </row>
    <row r="44">
      <c r="A44" s="39">
        <v>1.0</v>
      </c>
      <c r="B44" s="40" t="s">
        <v>1038</v>
      </c>
      <c r="C44" s="41"/>
    </row>
    <row r="45">
      <c r="A45" s="39">
        <v>2.0</v>
      </c>
      <c r="B45" s="40" t="s">
        <v>1039</v>
      </c>
      <c r="C45" s="41"/>
    </row>
    <row r="46">
      <c r="A46" s="39">
        <v>3.0</v>
      </c>
      <c r="B46" s="40" t="s">
        <v>1040</v>
      </c>
      <c r="C46" s="41"/>
    </row>
    <row r="47">
      <c r="A47" s="39">
        <v>4.0</v>
      </c>
      <c r="B47" s="40" t="s">
        <v>1041</v>
      </c>
      <c r="C47" s="41"/>
    </row>
    <row r="48">
      <c r="A48" s="39">
        <v>5.0</v>
      </c>
      <c r="B48" s="40" t="s">
        <v>1042</v>
      </c>
      <c r="C48" s="41"/>
    </row>
    <row r="49">
      <c r="A49" s="39">
        <v>6.0</v>
      </c>
      <c r="B49" s="40" t="s">
        <v>1043</v>
      </c>
      <c r="C49" s="41"/>
    </row>
    <row r="50">
      <c r="A50" s="39">
        <v>7.0</v>
      </c>
      <c r="B50" s="40" t="s">
        <v>1044</v>
      </c>
      <c r="C50" s="41"/>
    </row>
    <row r="51">
      <c r="A51" s="39">
        <v>8.0</v>
      </c>
      <c r="B51" s="40" t="s">
        <v>1045</v>
      </c>
      <c r="C51" s="41"/>
    </row>
    <row r="52">
      <c r="A52" s="39">
        <v>9.0</v>
      </c>
      <c r="B52" s="40" t="s">
        <v>1046</v>
      </c>
      <c r="C52" s="41"/>
    </row>
    <row r="53">
      <c r="A53" s="43">
        <v>10.0</v>
      </c>
      <c r="B53" s="49" t="s">
        <v>1047</v>
      </c>
      <c r="C53" s="45"/>
    </row>
    <row r="54">
      <c r="A54" s="35"/>
      <c r="B54" s="35"/>
      <c r="C54" s="35"/>
    </row>
    <row r="55">
      <c r="A55" s="34" t="s">
        <v>763</v>
      </c>
    </row>
    <row r="56">
      <c r="A56" s="35"/>
      <c r="B56" s="35"/>
      <c r="C56" s="35"/>
    </row>
    <row r="57">
      <c r="A57" s="36" t="s">
        <v>749</v>
      </c>
      <c r="B57" s="37" t="s">
        <v>757</v>
      </c>
      <c r="C57" s="38"/>
    </row>
    <row r="58">
      <c r="A58" s="39">
        <v>1.0</v>
      </c>
      <c r="B58" s="40" t="s">
        <v>1048</v>
      </c>
      <c r="C58" s="41"/>
    </row>
    <row r="59">
      <c r="A59" s="39">
        <v>2.0</v>
      </c>
      <c r="B59" s="40" t="s">
        <v>1049</v>
      </c>
      <c r="C59" s="41"/>
    </row>
    <row r="60">
      <c r="A60" s="39">
        <v>3.0</v>
      </c>
      <c r="B60" s="40" t="s">
        <v>1050</v>
      </c>
      <c r="C60" s="41"/>
    </row>
    <row r="61">
      <c r="A61" s="39">
        <v>4.0</v>
      </c>
      <c r="B61" s="40" t="s">
        <v>1051</v>
      </c>
      <c r="C61" s="41"/>
    </row>
    <row r="62">
      <c r="A62" s="39">
        <v>5.0</v>
      </c>
      <c r="B62" s="40" t="s">
        <v>1052</v>
      </c>
      <c r="C62" s="41"/>
    </row>
    <row r="63">
      <c r="A63" s="39">
        <v>6.0</v>
      </c>
      <c r="B63" s="40" t="s">
        <v>1053</v>
      </c>
      <c r="C63" s="41"/>
    </row>
    <row r="64">
      <c r="A64" s="39">
        <v>7.0</v>
      </c>
      <c r="B64" s="40" t="s">
        <v>1054</v>
      </c>
      <c r="C64" s="41"/>
    </row>
    <row r="65">
      <c r="A65" s="39">
        <v>8.0</v>
      </c>
      <c r="B65" s="40" t="s">
        <v>1055</v>
      </c>
      <c r="C65" s="41"/>
    </row>
    <row r="66">
      <c r="A66" s="39">
        <v>9.0</v>
      </c>
      <c r="B66" s="40" t="s">
        <v>1056</v>
      </c>
      <c r="C66" s="41"/>
    </row>
    <row r="67">
      <c r="A67" s="39">
        <v>10.0</v>
      </c>
      <c r="B67" s="40" t="s">
        <v>1057</v>
      </c>
      <c r="C67" s="41"/>
    </row>
    <row r="68">
      <c r="A68" s="39">
        <v>11.0</v>
      </c>
      <c r="B68" s="40" t="s">
        <v>899</v>
      </c>
      <c r="C68" s="41"/>
    </row>
    <row r="69">
      <c r="A69" s="43">
        <v>12.0</v>
      </c>
      <c r="B69" s="49" t="s">
        <v>1058</v>
      </c>
      <c r="C69" s="45"/>
    </row>
  </sheetData>
  <mergeCells count="7">
    <mergeCell ref="A1:C1"/>
    <mergeCell ref="A11:C11"/>
    <mergeCell ref="A13:C13"/>
    <mergeCell ref="A15:C15"/>
    <mergeCell ref="A32:C32"/>
    <mergeCell ref="A41:C41"/>
    <mergeCell ref="A55:C55"/>
  </mergeCells>
  <dataValidations>
    <dataValidation type="list" allowBlank="1" showErrorMessage="1" sqref="F18:F27">
      <formula1>#REF!</formula1>
    </dataValidation>
    <dataValidation type="custom" allowBlank="1" showDropDown="1" sqref="G18:G27">
      <formula1>OR(NOT(ISERROR(DATEVALUE(G18))), AND(ISNUMBER(G18), LEFT(CELL("format", G18))="D"))</formula1>
    </dataValidation>
    <dataValidation type="list" allowBlank="1" showErrorMessage="1" sqref="F28:F34">
      <formula1>Member!$A$1:$A$11</formula1>
    </dataValidation>
  </dataValidations>
  <hyperlinks>
    <hyperlink r:id="rId1" ref="B9"/>
    <hyperlink r:id="rId2" ref="E25"/>
    <hyperlink r:id="rId3" ref="E27"/>
  </hyperlinks>
  <drawing r:id="rId4"/>
  <tableParts count="1">
    <tablePart r:id="rId6"/>
  </tableParts>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2" max="2" width="87.63"/>
    <col customWidth="1" min="3" max="3" width="20.13"/>
  </cols>
  <sheetData>
    <row r="1">
      <c r="A1" s="34" t="s">
        <v>742</v>
      </c>
    </row>
    <row r="2">
      <c r="A2" s="35"/>
      <c r="B2" s="35"/>
      <c r="C2" s="35"/>
    </row>
    <row r="3">
      <c r="A3" s="36" t="s">
        <v>743</v>
      </c>
      <c r="B3" s="37" t="s">
        <v>744</v>
      </c>
      <c r="C3" s="38"/>
    </row>
    <row r="4">
      <c r="A4" s="39" t="s">
        <v>6</v>
      </c>
      <c r="B4" s="40" t="s">
        <v>57</v>
      </c>
      <c r="C4" s="41"/>
    </row>
    <row r="5">
      <c r="A5" s="39" t="s">
        <v>745</v>
      </c>
      <c r="B5" s="42">
        <v>46121.0</v>
      </c>
      <c r="C5" s="41"/>
    </row>
    <row r="6">
      <c r="A6" s="39" t="s">
        <v>0</v>
      </c>
      <c r="B6" s="40" t="s">
        <v>11</v>
      </c>
      <c r="C6" s="41"/>
    </row>
    <row r="7">
      <c r="A7" s="39" t="s">
        <v>7</v>
      </c>
      <c r="B7" s="40" t="s">
        <v>58</v>
      </c>
      <c r="C7" s="41"/>
    </row>
    <row r="8">
      <c r="A8" s="39" t="s">
        <v>746</v>
      </c>
      <c r="B8" s="40">
        <v>1.0</v>
      </c>
      <c r="C8" s="41"/>
    </row>
    <row r="9">
      <c r="A9" s="43" t="s">
        <v>8</v>
      </c>
      <c r="B9" s="44" t="s">
        <v>59</v>
      </c>
      <c r="C9" s="45"/>
    </row>
    <row r="10">
      <c r="A10" s="35"/>
      <c r="B10" s="35"/>
      <c r="C10" s="35"/>
    </row>
    <row r="11">
      <c r="A11" s="34" t="s">
        <v>747</v>
      </c>
    </row>
    <row r="12">
      <c r="A12" s="35"/>
      <c r="B12" s="35"/>
      <c r="C12" s="35"/>
    </row>
    <row r="13">
      <c r="A13" s="46" t="s">
        <v>60</v>
      </c>
    </row>
    <row r="14">
      <c r="A14" s="35"/>
      <c r="B14" s="35"/>
      <c r="C14" s="35"/>
    </row>
    <row r="15">
      <c r="A15" s="34" t="s">
        <v>748</v>
      </c>
    </row>
    <row r="16">
      <c r="A16" s="35"/>
      <c r="B16" s="35"/>
      <c r="C16" s="35"/>
    </row>
    <row r="17">
      <c r="A17" s="36" t="s">
        <v>749</v>
      </c>
      <c r="B17" s="37" t="s">
        <v>750</v>
      </c>
      <c r="C17" s="47" t="s">
        <v>751</v>
      </c>
    </row>
    <row r="18">
      <c r="A18" s="43">
        <v>1.0</v>
      </c>
      <c r="B18" s="49" t="s">
        <v>1059</v>
      </c>
      <c r="C18" s="50" t="s">
        <v>753</v>
      </c>
    </row>
    <row r="19">
      <c r="A19" s="35"/>
      <c r="B19" s="35"/>
      <c r="C19" s="35"/>
    </row>
    <row r="20">
      <c r="A20" s="34" t="s">
        <v>756</v>
      </c>
    </row>
    <row r="21">
      <c r="A21" s="35"/>
      <c r="B21" s="35"/>
      <c r="C21" s="35"/>
    </row>
    <row r="22">
      <c r="A22" s="36" t="s">
        <v>749</v>
      </c>
      <c r="B22" s="37" t="s">
        <v>757</v>
      </c>
      <c r="C22" s="38"/>
    </row>
    <row r="23">
      <c r="A23" s="43">
        <v>1.0</v>
      </c>
      <c r="B23" s="49" t="s">
        <v>1060</v>
      </c>
      <c r="C23" s="45"/>
    </row>
    <row r="24">
      <c r="A24" s="35"/>
      <c r="B24" s="35"/>
      <c r="C24" s="35"/>
    </row>
    <row r="25">
      <c r="A25" s="34" t="s">
        <v>760</v>
      </c>
    </row>
    <row r="26">
      <c r="A26" s="35"/>
      <c r="B26" s="35"/>
      <c r="C26" s="35"/>
    </row>
    <row r="27">
      <c r="A27" s="36" t="s">
        <v>749</v>
      </c>
      <c r="B27" s="37" t="s">
        <v>757</v>
      </c>
      <c r="C27" s="38"/>
    </row>
    <row r="28">
      <c r="A28" s="43">
        <v>1.0</v>
      </c>
      <c r="B28" s="49" t="s">
        <v>1061</v>
      </c>
      <c r="C28" s="45"/>
    </row>
    <row r="29">
      <c r="A29" s="35"/>
      <c r="B29" s="35"/>
      <c r="C29" s="35"/>
    </row>
    <row r="30">
      <c r="A30" s="34" t="s">
        <v>763</v>
      </c>
    </row>
    <row r="31">
      <c r="A31" s="35"/>
      <c r="B31" s="35"/>
      <c r="C31" s="35"/>
    </row>
    <row r="32">
      <c r="A32" s="36" t="s">
        <v>749</v>
      </c>
      <c r="B32" s="37" t="s">
        <v>757</v>
      </c>
      <c r="C32" s="38"/>
    </row>
    <row r="33">
      <c r="A33" s="43">
        <v>1.0</v>
      </c>
      <c r="B33" s="49" t="s">
        <v>1062</v>
      </c>
      <c r="C33" s="45"/>
    </row>
  </sheetData>
  <mergeCells count="7">
    <mergeCell ref="A1:C1"/>
    <mergeCell ref="A11:C11"/>
    <mergeCell ref="A13:C13"/>
    <mergeCell ref="A15:C15"/>
    <mergeCell ref="A20:C20"/>
    <mergeCell ref="A25:C25"/>
    <mergeCell ref="A30:C30"/>
  </mergeCells>
  <hyperlinks>
    <hyperlink r:id="rId1" ref="B9"/>
  </hyperlinks>
  <drawing r:id="rId2"/>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2" max="2" width="87.63"/>
    <col customWidth="1" min="3" max="3" width="20.13"/>
  </cols>
  <sheetData>
    <row r="1">
      <c r="A1" s="34" t="s">
        <v>742</v>
      </c>
    </row>
    <row r="2">
      <c r="A2" s="35"/>
      <c r="B2" s="35"/>
      <c r="C2" s="35"/>
    </row>
    <row r="3">
      <c r="A3" s="36" t="s">
        <v>743</v>
      </c>
      <c r="B3" s="37" t="s">
        <v>744</v>
      </c>
      <c r="C3" s="38"/>
    </row>
    <row r="4">
      <c r="A4" s="39" t="s">
        <v>6</v>
      </c>
      <c r="B4" s="40" t="s">
        <v>67</v>
      </c>
      <c r="C4" s="41"/>
    </row>
    <row r="5">
      <c r="A5" s="39" t="s">
        <v>745</v>
      </c>
      <c r="B5" s="42">
        <v>46121.0</v>
      </c>
      <c r="C5" s="41"/>
    </row>
    <row r="6">
      <c r="A6" s="39" t="s">
        <v>0</v>
      </c>
      <c r="B6" s="40" t="s">
        <v>11</v>
      </c>
      <c r="C6" s="41"/>
    </row>
    <row r="7">
      <c r="A7" s="39" t="s">
        <v>7</v>
      </c>
      <c r="B7" s="40" t="s">
        <v>68</v>
      </c>
      <c r="C7" s="41"/>
    </row>
    <row r="8">
      <c r="A8" s="39" t="s">
        <v>746</v>
      </c>
      <c r="B8" s="40">
        <v>2.0</v>
      </c>
      <c r="C8" s="41"/>
    </row>
    <row r="9">
      <c r="A9" s="43" t="s">
        <v>8</v>
      </c>
      <c r="B9" s="44" t="s">
        <v>69</v>
      </c>
      <c r="C9" s="45"/>
    </row>
    <row r="10">
      <c r="A10" s="35"/>
      <c r="B10" s="35"/>
      <c r="C10" s="35"/>
    </row>
    <row r="11">
      <c r="A11" s="34" t="s">
        <v>747</v>
      </c>
    </row>
    <row r="12">
      <c r="A12" s="35"/>
      <c r="B12" s="35"/>
      <c r="C12" s="35"/>
    </row>
    <row r="13">
      <c r="A13" s="46" t="s">
        <v>1063</v>
      </c>
    </row>
    <row r="14">
      <c r="A14" s="35"/>
      <c r="B14" s="35"/>
      <c r="C14" s="35"/>
    </row>
    <row r="15">
      <c r="A15" s="34" t="s">
        <v>748</v>
      </c>
    </row>
    <row r="16">
      <c r="A16" s="35"/>
      <c r="B16" s="35"/>
      <c r="C16" s="35"/>
    </row>
    <row r="17">
      <c r="A17" s="36" t="s">
        <v>749</v>
      </c>
      <c r="B17" s="37" t="s">
        <v>750</v>
      </c>
      <c r="C17" s="47" t="s">
        <v>751</v>
      </c>
    </row>
    <row r="18">
      <c r="A18" s="39">
        <v>1.0</v>
      </c>
      <c r="B18" s="40" t="s">
        <v>1064</v>
      </c>
      <c r="C18" s="48" t="s">
        <v>753</v>
      </c>
    </row>
    <row r="19">
      <c r="A19" s="39">
        <v>2.0</v>
      </c>
      <c r="B19" s="40" t="s">
        <v>1065</v>
      </c>
      <c r="C19" s="48" t="s">
        <v>753</v>
      </c>
    </row>
    <row r="20">
      <c r="A20" s="39">
        <v>3.0</v>
      </c>
      <c r="B20" s="40" t="s">
        <v>1066</v>
      </c>
      <c r="C20" s="48" t="s">
        <v>753</v>
      </c>
    </row>
    <row r="21">
      <c r="A21" s="39">
        <v>4.0</v>
      </c>
      <c r="B21" s="40" t="s">
        <v>1067</v>
      </c>
      <c r="C21" s="48" t="s">
        <v>753</v>
      </c>
    </row>
    <row r="22">
      <c r="A22" s="39">
        <v>5.0</v>
      </c>
      <c r="B22" s="40" t="s">
        <v>1068</v>
      </c>
      <c r="C22" s="48" t="s">
        <v>753</v>
      </c>
    </row>
    <row r="23">
      <c r="A23" s="39">
        <v>6.0</v>
      </c>
      <c r="B23" s="40" t="s">
        <v>1069</v>
      </c>
      <c r="C23" s="48" t="s">
        <v>753</v>
      </c>
    </row>
    <row r="24">
      <c r="A24" s="39">
        <v>7.0</v>
      </c>
      <c r="B24" s="40" t="s">
        <v>1070</v>
      </c>
      <c r="C24" s="48" t="s">
        <v>753</v>
      </c>
    </row>
    <row r="25">
      <c r="A25" s="39">
        <v>8.0</v>
      </c>
      <c r="B25" s="40" t="s">
        <v>1071</v>
      </c>
      <c r="C25" s="48" t="s">
        <v>753</v>
      </c>
    </row>
    <row r="26">
      <c r="A26" s="39">
        <v>9.0</v>
      </c>
      <c r="B26" s="40" t="s">
        <v>1072</v>
      </c>
      <c r="C26" s="48" t="s">
        <v>753</v>
      </c>
    </row>
    <row r="27">
      <c r="A27" s="39">
        <v>10.0</v>
      </c>
      <c r="B27" s="40" t="s">
        <v>1073</v>
      </c>
      <c r="C27" s="48" t="s">
        <v>753</v>
      </c>
    </row>
    <row r="28">
      <c r="A28" s="39">
        <v>11.0</v>
      </c>
      <c r="B28" s="40" t="s">
        <v>1074</v>
      </c>
      <c r="C28" s="48" t="s">
        <v>753</v>
      </c>
    </row>
    <row r="29">
      <c r="A29" s="43">
        <v>12.0</v>
      </c>
      <c r="B29" s="49" t="s">
        <v>1075</v>
      </c>
      <c r="C29" s="50" t="s">
        <v>753</v>
      </c>
    </row>
    <row r="30">
      <c r="A30" s="35"/>
      <c r="B30" s="35"/>
      <c r="C30" s="35"/>
    </row>
    <row r="31">
      <c r="A31" s="34" t="s">
        <v>756</v>
      </c>
    </row>
    <row r="32">
      <c r="A32" s="35"/>
      <c r="B32" s="35"/>
      <c r="C32" s="35"/>
    </row>
    <row r="33">
      <c r="A33" s="36" t="s">
        <v>749</v>
      </c>
      <c r="B33" s="37" t="s">
        <v>757</v>
      </c>
      <c r="C33" s="38"/>
    </row>
    <row r="34">
      <c r="A34" s="39">
        <v>1.0</v>
      </c>
      <c r="B34" s="40" t="s">
        <v>1076</v>
      </c>
      <c r="C34" s="41"/>
    </row>
    <row r="35">
      <c r="A35" s="39">
        <v>2.0</v>
      </c>
      <c r="B35" s="40" t="s">
        <v>1077</v>
      </c>
      <c r="C35" s="41"/>
    </row>
    <row r="36">
      <c r="A36" s="39">
        <v>3.0</v>
      </c>
      <c r="B36" s="40" t="s">
        <v>1078</v>
      </c>
      <c r="C36" s="41"/>
    </row>
    <row r="37">
      <c r="A37" s="39">
        <v>4.0</v>
      </c>
      <c r="B37" s="40" t="s">
        <v>1079</v>
      </c>
      <c r="C37" s="41"/>
    </row>
    <row r="38">
      <c r="A38" s="43">
        <v>5.0</v>
      </c>
      <c r="B38" s="49" t="s">
        <v>1080</v>
      </c>
      <c r="C38" s="45"/>
    </row>
    <row r="39">
      <c r="A39" s="35"/>
      <c r="B39" s="35"/>
      <c r="C39" s="35"/>
    </row>
    <row r="40">
      <c r="A40" s="34" t="s">
        <v>760</v>
      </c>
    </row>
    <row r="41">
      <c r="A41" s="35"/>
      <c r="B41" s="35"/>
      <c r="C41" s="35"/>
    </row>
    <row r="42">
      <c r="A42" s="36" t="s">
        <v>749</v>
      </c>
      <c r="B42" s="37" t="s">
        <v>757</v>
      </c>
      <c r="C42" s="38"/>
    </row>
    <row r="43">
      <c r="A43" s="39">
        <v>1.0</v>
      </c>
      <c r="B43" s="40" t="s">
        <v>1081</v>
      </c>
      <c r="C43" s="41"/>
    </row>
    <row r="44">
      <c r="A44" s="39">
        <v>2.0</v>
      </c>
      <c r="B44" s="40" t="s">
        <v>1082</v>
      </c>
      <c r="C44" s="41"/>
    </row>
    <row r="45">
      <c r="A45" s="39">
        <v>3.0</v>
      </c>
      <c r="B45" s="40" t="s">
        <v>1083</v>
      </c>
      <c r="C45" s="41"/>
    </row>
    <row r="46">
      <c r="A46" s="39">
        <v>4.0</v>
      </c>
      <c r="B46" s="40" t="s">
        <v>1084</v>
      </c>
      <c r="C46" s="41"/>
    </row>
    <row r="47">
      <c r="A47" s="43">
        <v>5.0</v>
      </c>
      <c r="B47" s="49" t="s">
        <v>1085</v>
      </c>
      <c r="C47" s="45"/>
    </row>
    <row r="48">
      <c r="A48" s="35"/>
      <c r="B48" s="35"/>
      <c r="C48" s="35"/>
    </row>
    <row r="49">
      <c r="A49" s="34" t="s">
        <v>763</v>
      </c>
    </row>
    <row r="50">
      <c r="A50" s="35"/>
      <c r="B50" s="35"/>
      <c r="C50" s="35"/>
    </row>
    <row r="51">
      <c r="A51" s="36" t="s">
        <v>749</v>
      </c>
      <c r="B51" s="37" t="s">
        <v>757</v>
      </c>
      <c r="C51" s="38"/>
    </row>
    <row r="52">
      <c r="A52" s="39">
        <v>1.0</v>
      </c>
      <c r="B52" s="40" t="s">
        <v>1086</v>
      </c>
      <c r="C52" s="41"/>
    </row>
    <row r="53">
      <c r="A53" s="39">
        <v>2.0</v>
      </c>
      <c r="B53" s="40" t="s">
        <v>1087</v>
      </c>
      <c r="C53" s="41"/>
    </row>
    <row r="54">
      <c r="A54" s="39">
        <v>3.0</v>
      </c>
      <c r="B54" s="40" t="s">
        <v>1088</v>
      </c>
      <c r="C54" s="41"/>
    </row>
    <row r="55">
      <c r="A55" s="39">
        <v>4.0</v>
      </c>
      <c r="B55" s="40" t="s">
        <v>1089</v>
      </c>
      <c r="C55" s="41"/>
    </row>
    <row r="56">
      <c r="A56" s="39">
        <v>5.0</v>
      </c>
      <c r="B56" s="40" t="s">
        <v>1090</v>
      </c>
      <c r="C56" s="41"/>
    </row>
    <row r="57">
      <c r="A57" s="39">
        <v>6.0</v>
      </c>
      <c r="B57" s="40" t="s">
        <v>1091</v>
      </c>
      <c r="C57" s="41"/>
    </row>
    <row r="58">
      <c r="A58" s="39">
        <v>7.0</v>
      </c>
      <c r="B58" s="40" t="s">
        <v>1092</v>
      </c>
      <c r="C58" s="41"/>
    </row>
    <row r="59">
      <c r="A59" s="39">
        <v>8.0</v>
      </c>
      <c r="B59" s="40" t="s">
        <v>1093</v>
      </c>
      <c r="C59" s="41"/>
    </row>
    <row r="60">
      <c r="A60" s="43">
        <v>9.0</v>
      </c>
      <c r="B60" s="49" t="s">
        <v>1094</v>
      </c>
      <c r="C60" s="45"/>
    </row>
  </sheetData>
  <mergeCells count="7">
    <mergeCell ref="A1:C1"/>
    <mergeCell ref="A11:C11"/>
    <mergeCell ref="A13:C13"/>
    <mergeCell ref="A15:C15"/>
    <mergeCell ref="A31:C31"/>
    <mergeCell ref="A40:C40"/>
    <mergeCell ref="A49:C49"/>
  </mergeCells>
  <hyperlinks>
    <hyperlink r:id="rId1" ref="B9"/>
  </hyperlinks>
  <drawing r:id="rId2"/>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2" max="2" width="87.63"/>
    <col customWidth="1" min="3" max="3" width="20.13"/>
  </cols>
  <sheetData>
    <row r="1">
      <c r="A1" s="34" t="s">
        <v>742</v>
      </c>
    </row>
    <row r="2">
      <c r="A2" s="35"/>
      <c r="B2" s="35"/>
      <c r="C2" s="35"/>
    </row>
    <row r="3">
      <c r="A3" s="36" t="s">
        <v>743</v>
      </c>
      <c r="B3" s="37" t="s">
        <v>744</v>
      </c>
      <c r="C3" s="38"/>
    </row>
    <row r="4">
      <c r="A4" s="39" t="s">
        <v>6</v>
      </c>
      <c r="B4" s="40" t="s">
        <v>72</v>
      </c>
      <c r="C4" s="41"/>
    </row>
    <row r="5">
      <c r="A5" s="39" t="s">
        <v>745</v>
      </c>
      <c r="B5" s="42">
        <v>46122.0</v>
      </c>
      <c r="C5" s="41"/>
    </row>
    <row r="6">
      <c r="A6" s="39" t="s">
        <v>0</v>
      </c>
      <c r="B6" s="40" t="s">
        <v>11</v>
      </c>
      <c r="C6" s="41"/>
    </row>
    <row r="7">
      <c r="A7" s="39" t="s">
        <v>7</v>
      </c>
      <c r="B7" s="40" t="s">
        <v>21</v>
      </c>
      <c r="C7" s="41"/>
    </row>
    <row r="8">
      <c r="A8" s="39" t="s">
        <v>746</v>
      </c>
      <c r="B8" s="40">
        <v>2.0</v>
      </c>
      <c r="C8" s="41"/>
    </row>
    <row r="9">
      <c r="A9" s="43" t="s">
        <v>8</v>
      </c>
      <c r="B9" s="44" t="s">
        <v>73</v>
      </c>
      <c r="C9" s="45"/>
    </row>
    <row r="10">
      <c r="A10" s="35"/>
      <c r="B10" s="35"/>
      <c r="C10" s="35"/>
    </row>
    <row r="11">
      <c r="A11" s="34" t="s">
        <v>747</v>
      </c>
    </row>
    <row r="12">
      <c r="A12" s="35"/>
      <c r="B12" s="35"/>
      <c r="C12" s="35"/>
    </row>
    <row r="13">
      <c r="A13" s="46" t="s">
        <v>74</v>
      </c>
    </row>
    <row r="14">
      <c r="A14" s="35"/>
      <c r="B14" s="35"/>
      <c r="C14" s="35"/>
    </row>
    <row r="15">
      <c r="A15" s="34" t="s">
        <v>748</v>
      </c>
    </row>
    <row r="16">
      <c r="A16" s="35"/>
      <c r="B16" s="35"/>
      <c r="C16" s="35"/>
    </row>
    <row r="17">
      <c r="A17" s="36" t="s">
        <v>749</v>
      </c>
      <c r="B17" s="37" t="s">
        <v>750</v>
      </c>
      <c r="C17" s="47" t="s">
        <v>751</v>
      </c>
    </row>
    <row r="18">
      <c r="A18" s="39">
        <v>1.0</v>
      </c>
      <c r="B18" s="40" t="s">
        <v>1095</v>
      </c>
      <c r="C18" s="48" t="s">
        <v>753</v>
      </c>
    </row>
    <row r="19">
      <c r="A19" s="39">
        <v>2.0</v>
      </c>
      <c r="B19" s="40" t="s">
        <v>1096</v>
      </c>
      <c r="C19" s="48" t="s">
        <v>753</v>
      </c>
    </row>
    <row r="20">
      <c r="A20" s="39">
        <v>3.0</v>
      </c>
      <c r="B20" s="40" t="s">
        <v>1097</v>
      </c>
      <c r="C20" s="48" t="s">
        <v>753</v>
      </c>
    </row>
    <row r="21">
      <c r="A21" s="39">
        <v>4.0</v>
      </c>
      <c r="B21" s="40" t="s">
        <v>1098</v>
      </c>
      <c r="C21" s="48" t="s">
        <v>753</v>
      </c>
    </row>
    <row r="22">
      <c r="A22" s="39">
        <v>5.0</v>
      </c>
      <c r="B22" s="40" t="s">
        <v>1099</v>
      </c>
      <c r="C22" s="48" t="s">
        <v>753</v>
      </c>
    </row>
    <row r="23">
      <c r="A23" s="39">
        <v>6.0</v>
      </c>
      <c r="B23" s="40" t="s">
        <v>1100</v>
      </c>
      <c r="C23" s="48" t="s">
        <v>753</v>
      </c>
    </row>
    <row r="24">
      <c r="A24" s="39">
        <v>7.0</v>
      </c>
      <c r="B24" s="40" t="s">
        <v>1101</v>
      </c>
      <c r="C24" s="48" t="s">
        <v>753</v>
      </c>
    </row>
    <row r="25">
      <c r="A25" s="39">
        <v>8.0</v>
      </c>
      <c r="B25" s="40" t="s">
        <v>1102</v>
      </c>
      <c r="C25" s="48" t="s">
        <v>753</v>
      </c>
    </row>
    <row r="26">
      <c r="A26" s="39">
        <v>9.0</v>
      </c>
      <c r="B26" s="40" t="s">
        <v>1103</v>
      </c>
      <c r="C26" s="48" t="s">
        <v>753</v>
      </c>
    </row>
    <row r="27">
      <c r="A27" s="39">
        <v>10.0</v>
      </c>
      <c r="B27" s="40" t="s">
        <v>1104</v>
      </c>
      <c r="C27" s="48" t="s">
        <v>753</v>
      </c>
    </row>
    <row r="28">
      <c r="A28" s="39">
        <v>11.0</v>
      </c>
      <c r="B28" s="40" t="s">
        <v>1105</v>
      </c>
      <c r="C28" s="48" t="s">
        <v>753</v>
      </c>
    </row>
    <row r="29">
      <c r="A29" s="43">
        <v>12.0</v>
      </c>
      <c r="B29" s="49" t="s">
        <v>1106</v>
      </c>
      <c r="C29" s="50" t="s">
        <v>753</v>
      </c>
    </row>
    <row r="30">
      <c r="A30" s="35"/>
      <c r="B30" s="35"/>
      <c r="C30" s="35"/>
    </row>
    <row r="31">
      <c r="A31" s="34" t="s">
        <v>756</v>
      </c>
    </row>
    <row r="32">
      <c r="A32" s="35"/>
      <c r="B32" s="35"/>
      <c r="C32" s="35"/>
    </row>
    <row r="33">
      <c r="A33" s="36" t="s">
        <v>749</v>
      </c>
      <c r="B33" s="37" t="s">
        <v>757</v>
      </c>
      <c r="C33" s="38"/>
    </row>
    <row r="34">
      <c r="A34" s="39">
        <v>1.0</v>
      </c>
      <c r="B34" s="40" t="s">
        <v>1107</v>
      </c>
      <c r="C34" s="41"/>
    </row>
    <row r="35">
      <c r="A35" s="39">
        <v>2.0</v>
      </c>
      <c r="B35" s="40" t="s">
        <v>1108</v>
      </c>
      <c r="C35" s="41"/>
    </row>
    <row r="36">
      <c r="A36" s="39">
        <v>3.0</v>
      </c>
      <c r="B36" s="40" t="s">
        <v>1109</v>
      </c>
      <c r="C36" s="41"/>
    </row>
    <row r="37">
      <c r="A37" s="39">
        <v>4.0</v>
      </c>
      <c r="B37" s="40" t="s">
        <v>1110</v>
      </c>
      <c r="C37" s="41"/>
    </row>
    <row r="38">
      <c r="A38" s="39">
        <v>5.0</v>
      </c>
      <c r="B38" s="40" t="s">
        <v>1111</v>
      </c>
      <c r="C38" s="41"/>
    </row>
    <row r="39">
      <c r="A39" s="39">
        <v>6.0</v>
      </c>
      <c r="B39" s="40" t="s">
        <v>1112</v>
      </c>
      <c r="C39" s="41"/>
    </row>
    <row r="40">
      <c r="A40" s="39">
        <v>7.0</v>
      </c>
      <c r="B40" s="40" t="s">
        <v>1113</v>
      </c>
      <c r="C40" s="41"/>
    </row>
    <row r="41">
      <c r="A41" s="43">
        <v>8.0</v>
      </c>
      <c r="B41" s="49" t="s">
        <v>1114</v>
      </c>
      <c r="C41" s="45"/>
    </row>
    <row r="42">
      <c r="A42" s="35"/>
      <c r="B42" s="35"/>
      <c r="C42" s="35"/>
    </row>
    <row r="43">
      <c r="A43" s="34" t="s">
        <v>760</v>
      </c>
    </row>
    <row r="44">
      <c r="A44" s="35"/>
      <c r="B44" s="35"/>
      <c r="C44" s="35"/>
    </row>
    <row r="45">
      <c r="A45" s="36" t="s">
        <v>749</v>
      </c>
      <c r="B45" s="37" t="s">
        <v>757</v>
      </c>
      <c r="C45" s="38"/>
    </row>
    <row r="46">
      <c r="A46" s="39">
        <v>1.0</v>
      </c>
      <c r="B46" s="40" t="s">
        <v>1115</v>
      </c>
      <c r="C46" s="41"/>
    </row>
    <row r="47">
      <c r="A47" s="39">
        <v>2.0</v>
      </c>
      <c r="B47" s="40" t="s">
        <v>1116</v>
      </c>
      <c r="C47" s="41"/>
    </row>
    <row r="48">
      <c r="A48" s="39">
        <v>3.0</v>
      </c>
      <c r="B48" s="40" t="s">
        <v>1117</v>
      </c>
      <c r="C48" s="41"/>
    </row>
    <row r="49">
      <c r="A49" s="39">
        <v>4.0</v>
      </c>
      <c r="B49" s="40" t="s">
        <v>1118</v>
      </c>
      <c r="C49" s="41"/>
    </row>
    <row r="50">
      <c r="A50" s="43">
        <v>5.0</v>
      </c>
      <c r="B50" s="49" t="s">
        <v>1119</v>
      </c>
      <c r="C50" s="45"/>
    </row>
    <row r="51">
      <c r="A51" s="35"/>
      <c r="B51" s="35"/>
      <c r="C51" s="35"/>
    </row>
    <row r="52">
      <c r="A52" s="34" t="s">
        <v>763</v>
      </c>
    </row>
    <row r="53">
      <c r="A53" s="35"/>
      <c r="B53" s="35"/>
      <c r="C53" s="35"/>
    </row>
    <row r="54">
      <c r="A54" s="36" t="s">
        <v>749</v>
      </c>
      <c r="B54" s="37" t="s">
        <v>757</v>
      </c>
      <c r="C54" s="38"/>
    </row>
    <row r="55">
      <c r="A55" s="39">
        <v>1.0</v>
      </c>
      <c r="B55" s="40" t="s">
        <v>1120</v>
      </c>
      <c r="C55" s="41"/>
    </row>
    <row r="56">
      <c r="A56" s="39">
        <v>2.0</v>
      </c>
      <c r="B56" s="40" t="s">
        <v>1121</v>
      </c>
      <c r="C56" s="41"/>
    </row>
    <row r="57">
      <c r="A57" s="39">
        <v>3.0</v>
      </c>
      <c r="B57" s="40" t="s">
        <v>1122</v>
      </c>
      <c r="C57" s="41"/>
    </row>
    <row r="58">
      <c r="A58" s="39">
        <v>4.0</v>
      </c>
      <c r="B58" s="40" t="s">
        <v>1123</v>
      </c>
      <c r="C58" s="41"/>
    </row>
    <row r="59">
      <c r="A59" s="39">
        <v>5.0</v>
      </c>
      <c r="B59" s="40" t="s">
        <v>1124</v>
      </c>
      <c r="C59" s="41"/>
    </row>
    <row r="60">
      <c r="A60" s="39">
        <v>6.0</v>
      </c>
      <c r="B60" s="40" t="s">
        <v>1125</v>
      </c>
      <c r="C60" s="41"/>
    </row>
    <row r="61">
      <c r="A61" s="39">
        <v>7.0</v>
      </c>
      <c r="B61" s="40" t="s">
        <v>1126</v>
      </c>
      <c r="C61" s="41"/>
    </row>
    <row r="62">
      <c r="A62" s="43">
        <v>8.0</v>
      </c>
      <c r="B62" s="49" t="s">
        <v>1127</v>
      </c>
      <c r="C62" s="45"/>
    </row>
  </sheetData>
  <mergeCells count="7">
    <mergeCell ref="A1:C1"/>
    <mergeCell ref="A11:C11"/>
    <mergeCell ref="A13:C13"/>
    <mergeCell ref="A15:C15"/>
    <mergeCell ref="A31:C31"/>
    <mergeCell ref="A43:C43"/>
    <mergeCell ref="A52:C52"/>
  </mergeCells>
  <hyperlinks>
    <hyperlink r:id="rId1" ref="B9"/>
  </hyperlinks>
  <drawing r:id="rId2"/>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2" max="2" width="87.63"/>
    <col customWidth="1" min="3" max="3" width="20.13"/>
  </cols>
  <sheetData>
    <row r="1">
      <c r="A1" s="34" t="s">
        <v>742</v>
      </c>
    </row>
    <row r="2">
      <c r="A2" s="35"/>
      <c r="B2" s="35"/>
      <c r="C2" s="35"/>
    </row>
    <row r="3">
      <c r="A3" s="36" t="s">
        <v>743</v>
      </c>
      <c r="B3" s="37" t="s">
        <v>744</v>
      </c>
      <c r="C3" s="38"/>
    </row>
    <row r="4">
      <c r="A4" s="39" t="s">
        <v>6</v>
      </c>
      <c r="B4" s="40" t="s">
        <v>79</v>
      </c>
      <c r="C4" s="41"/>
    </row>
    <row r="5">
      <c r="A5" s="39" t="s">
        <v>745</v>
      </c>
      <c r="B5" s="42">
        <v>46125.0</v>
      </c>
      <c r="C5" s="41"/>
    </row>
    <row r="6">
      <c r="A6" s="39" t="s">
        <v>0</v>
      </c>
      <c r="B6" s="40" t="s">
        <v>76</v>
      </c>
      <c r="C6" s="41"/>
    </row>
    <row r="7">
      <c r="A7" s="39" t="s">
        <v>7</v>
      </c>
      <c r="B7" s="40" t="s">
        <v>80</v>
      </c>
      <c r="C7" s="41"/>
    </row>
    <row r="8">
      <c r="A8" s="39" t="s">
        <v>746</v>
      </c>
      <c r="B8" s="40">
        <v>3.0</v>
      </c>
      <c r="C8" s="41"/>
    </row>
    <row r="9">
      <c r="A9" s="43" t="s">
        <v>8</v>
      </c>
      <c r="B9" s="44" t="s">
        <v>81</v>
      </c>
      <c r="C9" s="45"/>
    </row>
    <row r="10">
      <c r="A10" s="35"/>
      <c r="B10" s="35"/>
      <c r="C10" s="35"/>
    </row>
    <row r="11">
      <c r="A11" s="34" t="s">
        <v>747</v>
      </c>
    </row>
    <row r="12">
      <c r="A12" s="35"/>
      <c r="B12" s="35"/>
      <c r="C12" s="35"/>
    </row>
    <row r="13">
      <c r="A13" s="46" t="s">
        <v>1128</v>
      </c>
    </row>
    <row r="14">
      <c r="A14" s="35"/>
      <c r="B14" s="35"/>
      <c r="C14" s="35"/>
    </row>
    <row r="15">
      <c r="A15" s="34" t="s">
        <v>748</v>
      </c>
    </row>
    <row r="16">
      <c r="A16" s="35"/>
      <c r="B16" s="35"/>
      <c r="C16" s="35"/>
    </row>
    <row r="17">
      <c r="A17" s="36" t="s">
        <v>749</v>
      </c>
      <c r="B17" s="37" t="s">
        <v>750</v>
      </c>
      <c r="C17" s="47" t="s">
        <v>751</v>
      </c>
    </row>
    <row r="18">
      <c r="A18" s="39">
        <v>1.0</v>
      </c>
      <c r="B18" s="40" t="s">
        <v>1129</v>
      </c>
      <c r="C18" s="48" t="s">
        <v>753</v>
      </c>
    </row>
    <row r="19">
      <c r="A19" s="39">
        <v>2.0</v>
      </c>
      <c r="B19" s="40" t="s">
        <v>1130</v>
      </c>
      <c r="C19" s="48" t="s">
        <v>753</v>
      </c>
    </row>
    <row r="20">
      <c r="A20" s="39">
        <v>3.0</v>
      </c>
      <c r="B20" s="40" t="s">
        <v>1131</v>
      </c>
      <c r="C20" s="48" t="s">
        <v>753</v>
      </c>
    </row>
    <row r="21">
      <c r="A21" s="39">
        <v>4.0</v>
      </c>
      <c r="B21" s="40" t="s">
        <v>1132</v>
      </c>
      <c r="C21" s="48" t="s">
        <v>753</v>
      </c>
    </row>
    <row r="22">
      <c r="A22" s="39">
        <v>5.0</v>
      </c>
      <c r="B22" s="40" t="s">
        <v>1133</v>
      </c>
      <c r="C22" s="48" t="s">
        <v>753</v>
      </c>
    </row>
    <row r="23">
      <c r="A23" s="39">
        <v>6.0</v>
      </c>
      <c r="B23" s="40" t="s">
        <v>1134</v>
      </c>
      <c r="C23" s="48" t="s">
        <v>753</v>
      </c>
    </row>
    <row r="24">
      <c r="A24" s="39">
        <v>7.0</v>
      </c>
      <c r="B24" s="40" t="s">
        <v>1135</v>
      </c>
      <c r="C24" s="48" t="s">
        <v>753</v>
      </c>
    </row>
    <row r="25">
      <c r="A25" s="39">
        <v>8.0</v>
      </c>
      <c r="B25" s="40" t="s">
        <v>1136</v>
      </c>
      <c r="C25" s="48" t="s">
        <v>753</v>
      </c>
    </row>
    <row r="26">
      <c r="A26" s="39">
        <v>9.0</v>
      </c>
      <c r="B26" s="40" t="s">
        <v>1137</v>
      </c>
      <c r="C26" s="48" t="s">
        <v>753</v>
      </c>
    </row>
    <row r="27">
      <c r="A27" s="39">
        <v>10.0</v>
      </c>
      <c r="B27" s="40" t="s">
        <v>1138</v>
      </c>
      <c r="C27" s="48" t="s">
        <v>753</v>
      </c>
    </row>
    <row r="28">
      <c r="A28" s="39">
        <v>11.0</v>
      </c>
      <c r="B28" s="40" t="s">
        <v>1139</v>
      </c>
      <c r="C28" s="48" t="s">
        <v>753</v>
      </c>
    </row>
    <row r="29">
      <c r="A29" s="39">
        <v>12.0</v>
      </c>
      <c r="B29" s="40" t="s">
        <v>1140</v>
      </c>
      <c r="C29" s="48" t="s">
        <v>753</v>
      </c>
    </row>
    <row r="30">
      <c r="A30" s="39">
        <v>13.0</v>
      </c>
      <c r="B30" s="40" t="s">
        <v>1141</v>
      </c>
      <c r="C30" s="48" t="s">
        <v>753</v>
      </c>
    </row>
    <row r="31">
      <c r="A31" s="39">
        <v>14.0</v>
      </c>
      <c r="B31" s="40" t="s">
        <v>1142</v>
      </c>
      <c r="C31" s="48" t="s">
        <v>753</v>
      </c>
    </row>
    <row r="32">
      <c r="A32" s="39">
        <v>15.0</v>
      </c>
      <c r="B32" s="40" t="s">
        <v>1143</v>
      </c>
      <c r="C32" s="48" t="s">
        <v>753</v>
      </c>
    </row>
    <row r="33">
      <c r="A33" s="39">
        <v>16.0</v>
      </c>
      <c r="B33" s="40" t="s">
        <v>1144</v>
      </c>
      <c r="C33" s="48" t="s">
        <v>753</v>
      </c>
    </row>
    <row r="34">
      <c r="A34" s="43">
        <v>17.0</v>
      </c>
      <c r="B34" s="49" t="s">
        <v>1145</v>
      </c>
      <c r="C34" s="50" t="s">
        <v>753</v>
      </c>
    </row>
    <row r="35">
      <c r="A35" s="35"/>
      <c r="B35" s="35"/>
      <c r="C35" s="35"/>
    </row>
    <row r="36">
      <c r="A36" s="34" t="s">
        <v>756</v>
      </c>
    </row>
    <row r="37">
      <c r="A37" s="35"/>
      <c r="B37" s="35"/>
      <c r="C37" s="35"/>
    </row>
    <row r="38">
      <c r="A38" s="36" t="s">
        <v>749</v>
      </c>
      <c r="B38" s="37" t="s">
        <v>757</v>
      </c>
      <c r="C38" s="38"/>
    </row>
    <row r="39">
      <c r="A39" s="39">
        <v>1.0</v>
      </c>
      <c r="B39" s="40" t="s">
        <v>1146</v>
      </c>
      <c r="C39" s="41"/>
    </row>
    <row r="40">
      <c r="A40" s="39">
        <v>2.0</v>
      </c>
      <c r="B40" s="40" t="s">
        <v>1147</v>
      </c>
      <c r="C40" s="41"/>
    </row>
    <row r="41">
      <c r="A41" s="39">
        <v>3.0</v>
      </c>
      <c r="B41" s="40" t="s">
        <v>1148</v>
      </c>
      <c r="C41" s="41"/>
    </row>
    <row r="42">
      <c r="A42" s="39">
        <v>4.0</v>
      </c>
      <c r="B42" s="40" t="s">
        <v>1149</v>
      </c>
      <c r="C42" s="41"/>
    </row>
    <row r="43">
      <c r="A43" s="39">
        <v>5.0</v>
      </c>
      <c r="B43" s="40" t="s">
        <v>1150</v>
      </c>
      <c r="C43" s="41"/>
    </row>
    <row r="44">
      <c r="A44" s="39">
        <v>6.0</v>
      </c>
      <c r="B44" s="40" t="s">
        <v>1151</v>
      </c>
      <c r="C44" s="41"/>
    </row>
    <row r="45">
      <c r="A45" s="39">
        <v>7.0</v>
      </c>
      <c r="B45" s="40" t="s">
        <v>1152</v>
      </c>
      <c r="C45" s="41"/>
    </row>
    <row r="46">
      <c r="A46" s="39">
        <v>8.0</v>
      </c>
      <c r="B46" s="40" t="s">
        <v>1153</v>
      </c>
      <c r="C46" s="41"/>
    </row>
    <row r="47">
      <c r="A47" s="39">
        <v>9.0</v>
      </c>
      <c r="B47" s="40" t="s">
        <v>1154</v>
      </c>
      <c r="C47" s="41"/>
    </row>
    <row r="48">
      <c r="A48" s="43">
        <v>10.0</v>
      </c>
      <c r="B48" s="49" t="s">
        <v>1155</v>
      </c>
      <c r="C48" s="45"/>
    </row>
    <row r="49">
      <c r="A49" s="35"/>
      <c r="B49" s="35"/>
      <c r="C49" s="35"/>
    </row>
    <row r="50">
      <c r="A50" s="34" t="s">
        <v>760</v>
      </c>
    </row>
    <row r="51">
      <c r="A51" s="35"/>
      <c r="B51" s="35"/>
      <c r="C51" s="35"/>
    </row>
    <row r="52">
      <c r="A52" s="36" t="s">
        <v>749</v>
      </c>
      <c r="B52" s="37" t="s">
        <v>757</v>
      </c>
      <c r="C52" s="38"/>
    </row>
    <row r="53">
      <c r="A53" s="39">
        <v>1.0</v>
      </c>
      <c r="B53" s="40" t="s">
        <v>1156</v>
      </c>
      <c r="C53" s="41"/>
    </row>
    <row r="54">
      <c r="A54" s="39">
        <v>2.0</v>
      </c>
      <c r="B54" s="40" t="s">
        <v>1157</v>
      </c>
      <c r="C54" s="41"/>
    </row>
    <row r="55">
      <c r="A55" s="39">
        <v>3.0</v>
      </c>
      <c r="B55" s="40" t="s">
        <v>1158</v>
      </c>
      <c r="C55" s="41"/>
    </row>
    <row r="56">
      <c r="A56" s="39">
        <v>4.0</v>
      </c>
      <c r="B56" s="40" t="s">
        <v>1159</v>
      </c>
      <c r="C56" s="41"/>
    </row>
    <row r="57">
      <c r="A57" s="43">
        <v>5.0</v>
      </c>
      <c r="B57" s="49" t="s">
        <v>1160</v>
      </c>
      <c r="C57" s="45"/>
    </row>
    <row r="58">
      <c r="A58" s="35"/>
      <c r="B58" s="35"/>
      <c r="C58" s="35"/>
    </row>
    <row r="59">
      <c r="A59" s="34" t="s">
        <v>763</v>
      </c>
    </row>
    <row r="60">
      <c r="A60" s="35"/>
      <c r="B60" s="35"/>
      <c r="C60" s="35"/>
    </row>
    <row r="61">
      <c r="A61" s="36" t="s">
        <v>749</v>
      </c>
      <c r="B61" s="37" t="s">
        <v>757</v>
      </c>
      <c r="C61" s="38"/>
    </row>
    <row r="62">
      <c r="A62" s="39">
        <v>1.0</v>
      </c>
      <c r="B62" s="40" t="s">
        <v>1161</v>
      </c>
      <c r="C62" s="41"/>
    </row>
    <row r="63">
      <c r="A63" s="39">
        <v>2.0</v>
      </c>
      <c r="B63" s="40" t="s">
        <v>1162</v>
      </c>
      <c r="C63" s="41"/>
    </row>
    <row r="64">
      <c r="A64" s="39">
        <v>3.0</v>
      </c>
      <c r="B64" s="40" t="s">
        <v>1163</v>
      </c>
      <c r="C64" s="41"/>
    </row>
    <row r="65">
      <c r="A65" s="39">
        <v>4.0</v>
      </c>
      <c r="B65" s="40" t="s">
        <v>1164</v>
      </c>
      <c r="C65" s="41"/>
    </row>
    <row r="66">
      <c r="A66" s="39">
        <v>5.0</v>
      </c>
      <c r="B66" s="40" t="s">
        <v>1165</v>
      </c>
      <c r="C66" s="41"/>
    </row>
    <row r="67">
      <c r="A67" s="39">
        <v>6.0</v>
      </c>
      <c r="B67" s="40" t="s">
        <v>1166</v>
      </c>
      <c r="C67" s="41"/>
    </row>
    <row r="68">
      <c r="A68" s="39">
        <v>7.0</v>
      </c>
      <c r="B68" s="40" t="s">
        <v>1167</v>
      </c>
      <c r="C68" s="41"/>
    </row>
    <row r="69">
      <c r="A69" s="43">
        <v>8.0</v>
      </c>
      <c r="B69" s="49" t="s">
        <v>1168</v>
      </c>
      <c r="C69" s="45"/>
    </row>
  </sheetData>
  <mergeCells count="7">
    <mergeCell ref="A1:C1"/>
    <mergeCell ref="A11:C11"/>
    <mergeCell ref="A13:C13"/>
    <mergeCell ref="A15:C15"/>
    <mergeCell ref="A36:C36"/>
    <mergeCell ref="A50:C50"/>
    <mergeCell ref="A59:C59"/>
  </mergeCells>
  <hyperlinks>
    <hyperlink r:id="rId1" ref="B9"/>
  </hyperlinks>
  <drawing r:id="rId2"/>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2" max="2" width="87.63"/>
    <col customWidth="1" min="3" max="3" width="20.13"/>
  </cols>
  <sheetData>
    <row r="1">
      <c r="A1" s="34" t="s">
        <v>742</v>
      </c>
    </row>
    <row r="2">
      <c r="A2" s="35"/>
      <c r="B2" s="35"/>
      <c r="C2" s="35"/>
    </row>
    <row r="3">
      <c r="A3" s="36" t="s">
        <v>743</v>
      </c>
      <c r="B3" s="37" t="s">
        <v>744</v>
      </c>
      <c r="C3" s="38"/>
    </row>
    <row r="4">
      <c r="A4" s="39" t="s">
        <v>6</v>
      </c>
      <c r="B4" s="40" t="s">
        <v>85</v>
      </c>
      <c r="C4" s="41"/>
    </row>
    <row r="5">
      <c r="A5" s="39" t="s">
        <v>745</v>
      </c>
      <c r="B5" s="42">
        <v>46125.0</v>
      </c>
      <c r="C5" s="41"/>
    </row>
    <row r="6">
      <c r="A6" s="39" t="s">
        <v>0</v>
      </c>
      <c r="B6" s="40" t="s">
        <v>76</v>
      </c>
      <c r="C6" s="41"/>
    </row>
    <row r="7">
      <c r="A7" s="39" t="s">
        <v>7</v>
      </c>
      <c r="B7" s="40" t="s">
        <v>21</v>
      </c>
      <c r="C7" s="41"/>
    </row>
    <row r="8">
      <c r="A8" s="39" t="s">
        <v>746</v>
      </c>
      <c r="B8" s="40">
        <v>4.0</v>
      </c>
      <c r="C8" s="41"/>
    </row>
    <row r="9">
      <c r="A9" s="43" t="s">
        <v>8</v>
      </c>
      <c r="B9" s="44" t="s">
        <v>86</v>
      </c>
      <c r="C9" s="45"/>
    </row>
    <row r="10">
      <c r="A10" s="35"/>
      <c r="B10" s="35"/>
      <c r="C10" s="35"/>
    </row>
    <row r="11">
      <c r="A11" s="34" t="s">
        <v>747</v>
      </c>
    </row>
    <row r="12">
      <c r="A12" s="35"/>
      <c r="B12" s="35"/>
      <c r="C12" s="35"/>
    </row>
    <row r="13">
      <c r="A13" s="46" t="s">
        <v>87</v>
      </c>
    </row>
    <row r="14">
      <c r="A14" s="35"/>
      <c r="B14" s="35"/>
      <c r="C14" s="35"/>
    </row>
    <row r="15">
      <c r="A15" s="34" t="s">
        <v>748</v>
      </c>
    </row>
    <row r="16">
      <c r="A16" s="35"/>
      <c r="B16" s="35"/>
      <c r="C16" s="35"/>
    </row>
    <row r="17">
      <c r="A17" s="36" t="s">
        <v>749</v>
      </c>
      <c r="B17" s="37" t="s">
        <v>750</v>
      </c>
      <c r="C17" s="47" t="s">
        <v>751</v>
      </c>
    </row>
    <row r="18">
      <c r="A18" s="39">
        <v>1.0</v>
      </c>
      <c r="B18" s="40" t="s">
        <v>1169</v>
      </c>
      <c r="C18" s="48" t="s">
        <v>1170</v>
      </c>
    </row>
    <row r="19">
      <c r="A19" s="39">
        <v>2.0</v>
      </c>
      <c r="B19" s="40" t="s">
        <v>1171</v>
      </c>
      <c r="C19" s="48" t="s">
        <v>1172</v>
      </c>
    </row>
    <row r="20">
      <c r="A20" s="39">
        <v>3.0</v>
      </c>
      <c r="B20" s="40" t="s">
        <v>1173</v>
      </c>
      <c r="C20" s="48" t="s">
        <v>753</v>
      </c>
    </row>
    <row r="21">
      <c r="A21" s="39">
        <v>4.0</v>
      </c>
      <c r="B21" s="40" t="s">
        <v>1174</v>
      </c>
      <c r="C21" s="48" t="s">
        <v>753</v>
      </c>
    </row>
    <row r="22">
      <c r="A22" s="39">
        <v>5.0</v>
      </c>
      <c r="B22" s="40" t="s">
        <v>1175</v>
      </c>
      <c r="C22" s="48" t="s">
        <v>753</v>
      </c>
    </row>
    <row r="23">
      <c r="A23" s="39">
        <v>6.0</v>
      </c>
      <c r="B23" s="40" t="s">
        <v>1176</v>
      </c>
      <c r="C23" s="48" t="s">
        <v>753</v>
      </c>
    </row>
    <row r="24">
      <c r="A24" s="39">
        <v>7.0</v>
      </c>
      <c r="B24" s="40" t="s">
        <v>1177</v>
      </c>
      <c r="C24" s="48" t="s">
        <v>753</v>
      </c>
    </row>
    <row r="25">
      <c r="A25" s="39">
        <v>8.0</v>
      </c>
      <c r="B25" s="40" t="s">
        <v>1178</v>
      </c>
      <c r="C25" s="48" t="s">
        <v>753</v>
      </c>
    </row>
    <row r="26">
      <c r="A26" s="39">
        <v>9.0</v>
      </c>
      <c r="B26" s="40" t="s">
        <v>1179</v>
      </c>
      <c r="C26" s="48" t="s">
        <v>753</v>
      </c>
    </row>
    <row r="27">
      <c r="A27" s="39">
        <v>10.0</v>
      </c>
      <c r="B27" s="40" t="s">
        <v>1180</v>
      </c>
      <c r="C27" s="48" t="s">
        <v>753</v>
      </c>
    </row>
    <row r="28">
      <c r="A28" s="39">
        <v>11.0</v>
      </c>
      <c r="B28" s="40" t="s">
        <v>1181</v>
      </c>
      <c r="C28" s="48" t="s">
        <v>753</v>
      </c>
    </row>
    <row r="29">
      <c r="A29" s="39">
        <v>12.0</v>
      </c>
      <c r="B29" s="40" t="s">
        <v>1182</v>
      </c>
      <c r="C29" s="48" t="s">
        <v>753</v>
      </c>
    </row>
    <row r="30">
      <c r="A30" s="39">
        <v>13.0</v>
      </c>
      <c r="B30" s="40" t="s">
        <v>1183</v>
      </c>
      <c r="C30" s="48" t="s">
        <v>753</v>
      </c>
    </row>
    <row r="31">
      <c r="A31" s="39">
        <v>14.0</v>
      </c>
      <c r="B31" s="40" t="s">
        <v>1184</v>
      </c>
      <c r="C31" s="48" t="s">
        <v>753</v>
      </c>
    </row>
    <row r="32">
      <c r="A32" s="39">
        <v>15.0</v>
      </c>
      <c r="B32" s="40" t="s">
        <v>1185</v>
      </c>
      <c r="C32" s="48" t="s">
        <v>753</v>
      </c>
    </row>
    <row r="33">
      <c r="A33" s="39">
        <v>16.0</v>
      </c>
      <c r="B33" s="40" t="s">
        <v>1186</v>
      </c>
      <c r="C33" s="48" t="s">
        <v>753</v>
      </c>
    </row>
    <row r="34">
      <c r="A34" s="39">
        <v>17.0</v>
      </c>
      <c r="B34" s="40" t="s">
        <v>1187</v>
      </c>
      <c r="C34" s="48" t="s">
        <v>1188</v>
      </c>
    </row>
    <row r="35">
      <c r="A35" s="39">
        <v>18.0</v>
      </c>
      <c r="B35" s="40" t="s">
        <v>1189</v>
      </c>
      <c r="C35" s="48" t="s">
        <v>1190</v>
      </c>
    </row>
    <row r="36">
      <c r="A36" s="39">
        <v>19.0</v>
      </c>
      <c r="B36" s="40" t="s">
        <v>1191</v>
      </c>
      <c r="C36" s="48" t="s">
        <v>753</v>
      </c>
    </row>
    <row r="37">
      <c r="A37" s="39">
        <v>20.0</v>
      </c>
      <c r="B37" s="40" t="s">
        <v>1192</v>
      </c>
      <c r="C37" s="48" t="s">
        <v>1170</v>
      </c>
    </row>
    <row r="38">
      <c r="A38" s="39">
        <v>21.0</v>
      </c>
      <c r="B38" s="40" t="s">
        <v>1193</v>
      </c>
      <c r="C38" s="48" t="s">
        <v>753</v>
      </c>
    </row>
    <row r="39">
      <c r="A39" s="39">
        <v>22.0</v>
      </c>
      <c r="B39" s="40" t="s">
        <v>1194</v>
      </c>
      <c r="C39" s="48" t="s">
        <v>1195</v>
      </c>
    </row>
    <row r="40">
      <c r="A40" s="39">
        <v>23.0</v>
      </c>
      <c r="B40" s="40" t="s">
        <v>1196</v>
      </c>
      <c r="C40" s="48" t="s">
        <v>1197</v>
      </c>
    </row>
    <row r="41">
      <c r="A41" s="43">
        <v>24.0</v>
      </c>
      <c r="B41" s="49" t="s">
        <v>1198</v>
      </c>
      <c r="C41" s="50" t="s">
        <v>1199</v>
      </c>
    </row>
    <row r="42">
      <c r="A42" s="35"/>
      <c r="B42" s="35"/>
      <c r="C42" s="35"/>
    </row>
    <row r="43">
      <c r="A43" s="34" t="s">
        <v>756</v>
      </c>
    </row>
    <row r="44">
      <c r="A44" s="35"/>
      <c r="B44" s="35"/>
      <c r="C44" s="35"/>
    </row>
    <row r="45">
      <c r="A45" s="36" t="s">
        <v>749</v>
      </c>
      <c r="B45" s="37" t="s">
        <v>757</v>
      </c>
      <c r="C45" s="38"/>
    </row>
    <row r="46">
      <c r="A46" s="39">
        <v>1.0</v>
      </c>
      <c r="B46" s="40" t="s">
        <v>1200</v>
      </c>
      <c r="C46" s="41"/>
    </row>
    <row r="47">
      <c r="A47" s="39">
        <v>2.0</v>
      </c>
      <c r="B47" s="40" t="s">
        <v>1201</v>
      </c>
      <c r="C47" s="41"/>
    </row>
    <row r="48">
      <c r="A48" s="39">
        <v>3.0</v>
      </c>
      <c r="B48" s="40" t="s">
        <v>1202</v>
      </c>
      <c r="C48" s="41"/>
    </row>
    <row r="49">
      <c r="A49" s="39">
        <v>4.0</v>
      </c>
      <c r="B49" s="40" t="s">
        <v>1203</v>
      </c>
      <c r="C49" s="41"/>
    </row>
    <row r="50">
      <c r="A50" s="39">
        <v>5.0</v>
      </c>
      <c r="B50" s="40" t="s">
        <v>1204</v>
      </c>
      <c r="C50" s="41"/>
    </row>
    <row r="51">
      <c r="A51" s="39">
        <v>6.0</v>
      </c>
      <c r="B51" s="40" t="s">
        <v>1205</v>
      </c>
      <c r="C51" s="41"/>
    </row>
    <row r="52">
      <c r="A52" s="39">
        <v>7.0</v>
      </c>
      <c r="B52" s="40" t="s">
        <v>1206</v>
      </c>
      <c r="C52" s="41"/>
    </row>
    <row r="53">
      <c r="A53" s="39">
        <v>8.0</v>
      </c>
      <c r="B53" s="40" t="s">
        <v>1207</v>
      </c>
      <c r="C53" s="41"/>
    </row>
    <row r="54">
      <c r="A54" s="39">
        <v>9.0</v>
      </c>
      <c r="B54" s="40" t="s">
        <v>1208</v>
      </c>
      <c r="C54" s="41"/>
    </row>
    <row r="55">
      <c r="A55" s="43">
        <v>10.0</v>
      </c>
      <c r="B55" s="49" t="s">
        <v>1209</v>
      </c>
      <c r="C55" s="45"/>
    </row>
    <row r="56">
      <c r="A56" s="35"/>
      <c r="B56" s="35"/>
      <c r="C56" s="35"/>
    </row>
    <row r="57">
      <c r="A57" s="34" t="s">
        <v>760</v>
      </c>
    </row>
    <row r="58">
      <c r="A58" s="35"/>
      <c r="B58" s="35"/>
      <c r="C58" s="35"/>
    </row>
    <row r="59">
      <c r="A59" s="36" t="s">
        <v>749</v>
      </c>
      <c r="B59" s="37" t="s">
        <v>757</v>
      </c>
      <c r="C59" s="38"/>
    </row>
    <row r="60">
      <c r="A60" s="39">
        <v>1.0</v>
      </c>
      <c r="B60" s="40" t="s">
        <v>1210</v>
      </c>
      <c r="C60" s="41"/>
    </row>
    <row r="61">
      <c r="A61" s="39">
        <v>2.0</v>
      </c>
      <c r="B61" s="40" t="s">
        <v>1211</v>
      </c>
      <c r="C61" s="41"/>
    </row>
    <row r="62">
      <c r="A62" s="39">
        <v>3.0</v>
      </c>
      <c r="B62" s="40" t="s">
        <v>1212</v>
      </c>
      <c r="C62" s="41"/>
    </row>
    <row r="63">
      <c r="A63" s="39">
        <v>4.0</v>
      </c>
      <c r="B63" s="40" t="s">
        <v>1213</v>
      </c>
      <c r="C63" s="41"/>
    </row>
    <row r="64">
      <c r="A64" s="39">
        <v>5.0</v>
      </c>
      <c r="B64" s="40" t="s">
        <v>1214</v>
      </c>
      <c r="C64" s="41"/>
    </row>
    <row r="65">
      <c r="A65" s="39">
        <v>6.0</v>
      </c>
      <c r="B65" s="40" t="s">
        <v>1215</v>
      </c>
      <c r="C65" s="41"/>
    </row>
    <row r="66">
      <c r="A66" s="39">
        <v>7.0</v>
      </c>
      <c r="B66" s="40" t="s">
        <v>1216</v>
      </c>
      <c r="C66" s="41"/>
    </row>
    <row r="67">
      <c r="A67" s="39">
        <v>8.0</v>
      </c>
      <c r="B67" s="40" t="s">
        <v>1217</v>
      </c>
      <c r="C67" s="41"/>
    </row>
    <row r="68">
      <c r="A68" s="43">
        <v>9.0</v>
      </c>
      <c r="B68" s="49" t="s">
        <v>1218</v>
      </c>
      <c r="C68" s="45"/>
    </row>
    <row r="69">
      <c r="A69" s="35"/>
      <c r="B69" s="35"/>
      <c r="C69" s="35"/>
    </row>
    <row r="70">
      <c r="A70" s="34" t="s">
        <v>763</v>
      </c>
    </row>
    <row r="71">
      <c r="A71" s="35"/>
      <c r="B71" s="35"/>
      <c r="C71" s="35"/>
    </row>
    <row r="72">
      <c r="A72" s="36" t="s">
        <v>749</v>
      </c>
      <c r="B72" s="37" t="s">
        <v>757</v>
      </c>
      <c r="C72" s="38"/>
    </row>
    <row r="73">
      <c r="A73" s="39">
        <v>1.0</v>
      </c>
      <c r="B73" s="40" t="s">
        <v>1219</v>
      </c>
      <c r="C73" s="41"/>
    </row>
    <row r="74">
      <c r="A74" s="39">
        <v>2.0</v>
      </c>
      <c r="B74" s="40" t="s">
        <v>1220</v>
      </c>
      <c r="C74" s="41"/>
    </row>
    <row r="75">
      <c r="A75" s="39">
        <v>3.0</v>
      </c>
      <c r="B75" s="40" t="s">
        <v>1221</v>
      </c>
      <c r="C75" s="41"/>
    </row>
    <row r="76">
      <c r="A76" s="39">
        <v>4.0</v>
      </c>
      <c r="B76" s="40" t="s">
        <v>1222</v>
      </c>
      <c r="C76" s="41"/>
    </row>
    <row r="77">
      <c r="A77" s="39">
        <v>5.0</v>
      </c>
      <c r="B77" s="40" t="s">
        <v>1223</v>
      </c>
      <c r="C77" s="41"/>
    </row>
    <row r="78">
      <c r="A78" s="39">
        <v>6.0</v>
      </c>
      <c r="B78" s="40" t="s">
        <v>1224</v>
      </c>
      <c r="C78" s="41"/>
    </row>
    <row r="79">
      <c r="A79" s="39">
        <v>7.0</v>
      </c>
      <c r="B79" s="40" t="s">
        <v>1225</v>
      </c>
      <c r="C79" s="41"/>
    </row>
    <row r="80">
      <c r="A80" s="39">
        <v>8.0</v>
      </c>
      <c r="B80" s="40" t="s">
        <v>1226</v>
      </c>
      <c r="C80" s="41"/>
    </row>
    <row r="81">
      <c r="A81" s="39">
        <v>9.0</v>
      </c>
      <c r="B81" s="40" t="s">
        <v>1227</v>
      </c>
      <c r="C81" s="41"/>
    </row>
    <row r="82">
      <c r="A82" s="43">
        <v>10.0</v>
      </c>
      <c r="B82" s="49" t="s">
        <v>1228</v>
      </c>
      <c r="C82" s="45"/>
    </row>
  </sheetData>
  <mergeCells count="7">
    <mergeCell ref="A1:C1"/>
    <mergeCell ref="A11:C11"/>
    <mergeCell ref="A13:C13"/>
    <mergeCell ref="A15:C15"/>
    <mergeCell ref="A43:C43"/>
    <mergeCell ref="A57:C57"/>
    <mergeCell ref="A70:C70"/>
  </mergeCells>
  <hyperlinks>
    <hyperlink r:id="rId1" ref="B9"/>
  </hyperlinks>
  <drawing r:id="rId2"/>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2" max="2" width="87.63"/>
    <col customWidth="1" min="3" max="3" width="20.13"/>
  </cols>
  <sheetData>
    <row r="1">
      <c r="A1" s="34" t="s">
        <v>742</v>
      </c>
    </row>
    <row r="2">
      <c r="A2" s="35"/>
      <c r="B2" s="35"/>
      <c r="C2" s="35"/>
    </row>
    <row r="3">
      <c r="A3" s="36" t="s">
        <v>743</v>
      </c>
      <c r="B3" s="37" t="s">
        <v>744</v>
      </c>
      <c r="C3" s="38"/>
    </row>
    <row r="4">
      <c r="A4" s="39" t="s">
        <v>6</v>
      </c>
      <c r="B4" s="40" t="s">
        <v>91</v>
      </c>
      <c r="C4" s="41"/>
    </row>
    <row r="5">
      <c r="A5" s="39" t="s">
        <v>745</v>
      </c>
      <c r="B5" s="42">
        <v>46125.0</v>
      </c>
      <c r="C5" s="41"/>
    </row>
    <row r="6">
      <c r="A6" s="39" t="s">
        <v>0</v>
      </c>
      <c r="B6" s="40" t="s">
        <v>76</v>
      </c>
      <c r="C6" s="41"/>
    </row>
    <row r="7">
      <c r="A7" s="39" t="s">
        <v>7</v>
      </c>
      <c r="B7" s="40" t="s">
        <v>92</v>
      </c>
      <c r="C7" s="41"/>
    </row>
    <row r="8">
      <c r="A8" s="39" t="s">
        <v>746</v>
      </c>
      <c r="B8" s="40">
        <v>4.0</v>
      </c>
      <c r="C8" s="41"/>
    </row>
    <row r="9">
      <c r="A9" s="43" t="s">
        <v>8</v>
      </c>
      <c r="B9" s="44" t="s">
        <v>93</v>
      </c>
      <c r="C9" s="45"/>
    </row>
    <row r="10">
      <c r="A10" s="35"/>
      <c r="B10" s="35"/>
      <c r="C10" s="35"/>
    </row>
    <row r="11">
      <c r="A11" s="34" t="s">
        <v>747</v>
      </c>
    </row>
    <row r="12">
      <c r="A12" s="35"/>
      <c r="B12" s="35"/>
      <c r="C12" s="35"/>
    </row>
    <row r="13">
      <c r="A13" s="46" t="s">
        <v>1229</v>
      </c>
    </row>
    <row r="14">
      <c r="A14" s="35"/>
      <c r="B14" s="35"/>
      <c r="C14" s="35"/>
    </row>
    <row r="15">
      <c r="A15" s="34" t="s">
        <v>748</v>
      </c>
    </row>
    <row r="16">
      <c r="A16" s="35"/>
      <c r="B16" s="35"/>
      <c r="C16" s="35"/>
    </row>
    <row r="17">
      <c r="A17" s="36" t="s">
        <v>749</v>
      </c>
      <c r="B17" s="37" t="s">
        <v>750</v>
      </c>
      <c r="C17" s="47" t="s">
        <v>751</v>
      </c>
    </row>
    <row r="18">
      <c r="A18" s="39">
        <v>1.0</v>
      </c>
      <c r="B18" s="40" t="s">
        <v>1230</v>
      </c>
      <c r="C18" s="48" t="s">
        <v>753</v>
      </c>
    </row>
    <row r="19">
      <c r="A19" s="39">
        <v>2.0</v>
      </c>
      <c r="B19" s="40" t="s">
        <v>1231</v>
      </c>
      <c r="C19" s="48" t="s">
        <v>753</v>
      </c>
    </row>
    <row r="20">
      <c r="A20" s="39">
        <v>3.0</v>
      </c>
      <c r="B20" s="40" t="s">
        <v>1232</v>
      </c>
      <c r="C20" s="48" t="s">
        <v>753</v>
      </c>
    </row>
    <row r="21">
      <c r="A21" s="39">
        <v>4.0</v>
      </c>
      <c r="B21" s="40" t="s">
        <v>1233</v>
      </c>
      <c r="C21" s="48" t="s">
        <v>753</v>
      </c>
    </row>
    <row r="22">
      <c r="A22" s="39">
        <v>5.0</v>
      </c>
      <c r="B22" s="40" t="s">
        <v>1234</v>
      </c>
      <c r="C22" s="48" t="s">
        <v>753</v>
      </c>
    </row>
    <row r="23">
      <c r="A23" s="39">
        <v>6.0</v>
      </c>
      <c r="B23" s="40" t="s">
        <v>1235</v>
      </c>
      <c r="C23" s="48" t="s">
        <v>753</v>
      </c>
    </row>
    <row r="24">
      <c r="A24" s="39">
        <v>7.0</v>
      </c>
      <c r="B24" s="40" t="s">
        <v>1236</v>
      </c>
      <c r="C24" s="48" t="s">
        <v>753</v>
      </c>
    </row>
    <row r="25">
      <c r="A25" s="39">
        <v>8.0</v>
      </c>
      <c r="B25" s="40" t="s">
        <v>1237</v>
      </c>
      <c r="C25" s="48" t="s">
        <v>753</v>
      </c>
    </row>
    <row r="26">
      <c r="A26" s="39">
        <v>9.0</v>
      </c>
      <c r="B26" s="40" t="s">
        <v>1238</v>
      </c>
      <c r="C26" s="48" t="s">
        <v>753</v>
      </c>
    </row>
    <row r="27">
      <c r="A27" s="39">
        <v>10.0</v>
      </c>
      <c r="B27" s="40" t="s">
        <v>1239</v>
      </c>
      <c r="C27" s="48" t="s">
        <v>753</v>
      </c>
    </row>
    <row r="28">
      <c r="A28" s="39">
        <v>11.0</v>
      </c>
      <c r="B28" s="40" t="s">
        <v>1240</v>
      </c>
      <c r="C28" s="48" t="s">
        <v>753</v>
      </c>
    </row>
    <row r="29">
      <c r="A29" s="39">
        <v>12.0</v>
      </c>
      <c r="B29" s="40" t="s">
        <v>1241</v>
      </c>
      <c r="C29" s="48" t="s">
        <v>753</v>
      </c>
    </row>
    <row r="30">
      <c r="A30" s="39">
        <v>13.0</v>
      </c>
      <c r="B30" s="40" t="s">
        <v>1242</v>
      </c>
      <c r="C30" s="48" t="s">
        <v>753</v>
      </c>
    </row>
    <row r="31">
      <c r="A31" s="39">
        <v>14.0</v>
      </c>
      <c r="B31" s="40" t="s">
        <v>1243</v>
      </c>
      <c r="C31" s="48" t="s">
        <v>753</v>
      </c>
    </row>
    <row r="32">
      <c r="A32" s="39">
        <v>15.0</v>
      </c>
      <c r="B32" s="40" t="s">
        <v>1244</v>
      </c>
      <c r="C32" s="48" t="s">
        <v>753</v>
      </c>
    </row>
    <row r="33">
      <c r="A33" s="43">
        <v>16.0</v>
      </c>
      <c r="B33" s="49" t="s">
        <v>1245</v>
      </c>
      <c r="C33" s="50" t="s">
        <v>753</v>
      </c>
    </row>
    <row r="34">
      <c r="A34" s="35"/>
      <c r="B34" s="35"/>
      <c r="C34" s="35"/>
    </row>
    <row r="35">
      <c r="A35" s="34" t="s">
        <v>756</v>
      </c>
    </row>
    <row r="36">
      <c r="A36" s="35"/>
      <c r="B36" s="35"/>
      <c r="C36" s="35"/>
    </row>
    <row r="37">
      <c r="A37" s="36" t="s">
        <v>749</v>
      </c>
      <c r="B37" s="37" t="s">
        <v>757</v>
      </c>
      <c r="C37" s="38"/>
    </row>
    <row r="38">
      <c r="A38" s="39">
        <v>1.0</v>
      </c>
      <c r="B38" s="40" t="s">
        <v>1246</v>
      </c>
      <c r="C38" s="41"/>
    </row>
    <row r="39">
      <c r="A39" s="39">
        <v>2.0</v>
      </c>
      <c r="B39" s="40" t="s">
        <v>1247</v>
      </c>
      <c r="C39" s="41"/>
    </row>
    <row r="40">
      <c r="A40" s="39">
        <v>3.0</v>
      </c>
      <c r="B40" s="40" t="s">
        <v>1248</v>
      </c>
      <c r="C40" s="41"/>
    </row>
    <row r="41">
      <c r="A41" s="39">
        <v>4.0</v>
      </c>
      <c r="B41" s="40" t="s">
        <v>1249</v>
      </c>
      <c r="C41" s="41"/>
    </row>
    <row r="42">
      <c r="A42" s="39">
        <v>5.0</v>
      </c>
      <c r="B42" s="40" t="s">
        <v>1250</v>
      </c>
      <c r="C42" s="41"/>
    </row>
    <row r="43">
      <c r="A43" s="39">
        <v>6.0</v>
      </c>
      <c r="B43" s="40" t="s">
        <v>1251</v>
      </c>
      <c r="C43" s="41"/>
    </row>
    <row r="44">
      <c r="A44" s="43">
        <v>7.0</v>
      </c>
      <c r="B44" s="49" t="s">
        <v>1252</v>
      </c>
      <c r="C44" s="45"/>
    </row>
    <row r="45">
      <c r="A45" s="35"/>
      <c r="B45" s="35"/>
      <c r="C45" s="35"/>
    </row>
    <row r="46">
      <c r="A46" s="34" t="s">
        <v>760</v>
      </c>
    </row>
    <row r="47">
      <c r="A47" s="35"/>
      <c r="B47" s="35"/>
      <c r="C47" s="35"/>
    </row>
    <row r="48">
      <c r="A48" s="36" t="s">
        <v>749</v>
      </c>
      <c r="B48" s="37" t="s">
        <v>757</v>
      </c>
      <c r="C48" s="38"/>
    </row>
    <row r="49">
      <c r="A49" s="39">
        <v>1.0</v>
      </c>
      <c r="B49" s="40" t="s">
        <v>1253</v>
      </c>
      <c r="C49" s="41"/>
    </row>
    <row r="50">
      <c r="A50" s="39">
        <v>2.0</v>
      </c>
      <c r="B50" s="40" t="s">
        <v>1254</v>
      </c>
      <c r="C50" s="41"/>
    </row>
    <row r="51">
      <c r="A51" s="39">
        <v>3.0</v>
      </c>
      <c r="B51" s="40" t="s">
        <v>1255</v>
      </c>
      <c r="C51" s="41"/>
    </row>
    <row r="52">
      <c r="A52" s="39">
        <v>4.0</v>
      </c>
      <c r="B52" s="40" t="s">
        <v>1256</v>
      </c>
      <c r="C52" s="41"/>
    </row>
    <row r="53">
      <c r="A53" s="39">
        <v>5.0</v>
      </c>
      <c r="B53" s="40" t="s">
        <v>1257</v>
      </c>
      <c r="C53" s="41"/>
    </row>
    <row r="54">
      <c r="A54" s="39">
        <v>6.0</v>
      </c>
      <c r="B54" s="40" t="s">
        <v>1258</v>
      </c>
      <c r="C54" s="41"/>
    </row>
    <row r="55">
      <c r="A55" s="39">
        <v>7.0</v>
      </c>
      <c r="B55" s="40" t="s">
        <v>1259</v>
      </c>
      <c r="C55" s="41"/>
    </row>
    <row r="56">
      <c r="A56" s="39">
        <v>8.0</v>
      </c>
      <c r="B56" s="40" t="s">
        <v>1260</v>
      </c>
      <c r="C56" s="41"/>
    </row>
    <row r="57">
      <c r="A57" s="39">
        <v>9.0</v>
      </c>
      <c r="B57" s="40" t="s">
        <v>1261</v>
      </c>
      <c r="C57" s="41"/>
    </row>
    <row r="58">
      <c r="A58" s="39">
        <v>10.0</v>
      </c>
      <c r="B58" s="40" t="s">
        <v>1262</v>
      </c>
      <c r="C58" s="41"/>
    </row>
    <row r="59">
      <c r="A59" s="43">
        <v>11.0</v>
      </c>
      <c r="B59" s="49" t="s">
        <v>1263</v>
      </c>
      <c r="C59" s="45"/>
    </row>
    <row r="60">
      <c r="A60" s="35"/>
      <c r="B60" s="35"/>
      <c r="C60" s="35"/>
    </row>
    <row r="61">
      <c r="A61" s="34" t="s">
        <v>763</v>
      </c>
    </row>
    <row r="62">
      <c r="A62" s="35"/>
      <c r="B62" s="35"/>
      <c r="C62" s="35"/>
    </row>
    <row r="63">
      <c r="A63" s="36" t="s">
        <v>749</v>
      </c>
      <c r="B63" s="37" t="s">
        <v>757</v>
      </c>
      <c r="C63" s="38"/>
    </row>
    <row r="64">
      <c r="A64" s="39">
        <v>1.0</v>
      </c>
      <c r="B64" s="40" t="s">
        <v>1264</v>
      </c>
      <c r="C64" s="41"/>
    </row>
    <row r="65">
      <c r="A65" s="39">
        <v>2.0</v>
      </c>
      <c r="B65" s="40" t="s">
        <v>1265</v>
      </c>
      <c r="C65" s="41"/>
    </row>
    <row r="66">
      <c r="A66" s="39">
        <v>3.0</v>
      </c>
      <c r="B66" s="40" t="s">
        <v>1266</v>
      </c>
      <c r="C66" s="41"/>
    </row>
    <row r="67">
      <c r="A67" s="39">
        <v>4.0</v>
      </c>
      <c r="B67" s="40" t="s">
        <v>1267</v>
      </c>
      <c r="C67" s="41"/>
    </row>
    <row r="68">
      <c r="A68" s="39">
        <v>5.0</v>
      </c>
      <c r="B68" s="40" t="s">
        <v>1268</v>
      </c>
      <c r="C68" s="41"/>
    </row>
    <row r="69">
      <c r="A69" s="39">
        <v>6.0</v>
      </c>
      <c r="B69" s="40" t="s">
        <v>1269</v>
      </c>
      <c r="C69" s="41"/>
    </row>
    <row r="70">
      <c r="A70" s="39">
        <v>7.0</v>
      </c>
      <c r="B70" s="40" t="s">
        <v>1270</v>
      </c>
      <c r="C70" s="41"/>
    </row>
    <row r="71">
      <c r="A71" s="39">
        <v>8.0</v>
      </c>
      <c r="B71" s="40" t="s">
        <v>1271</v>
      </c>
      <c r="C71" s="41"/>
    </row>
    <row r="72">
      <c r="A72" s="43">
        <v>9.0</v>
      </c>
      <c r="B72" s="49" t="s">
        <v>1272</v>
      </c>
      <c r="C72" s="45"/>
    </row>
  </sheetData>
  <mergeCells count="7">
    <mergeCell ref="A1:C1"/>
    <mergeCell ref="A11:C11"/>
    <mergeCell ref="A13:C13"/>
    <mergeCell ref="A15:C15"/>
    <mergeCell ref="A35:C35"/>
    <mergeCell ref="A46:C46"/>
    <mergeCell ref="A61:C61"/>
  </mergeCells>
  <hyperlinks>
    <hyperlink r:id="rId1" ref="B9"/>
  </hyperlinks>
  <drawing r:id="rId2"/>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2" max="2" width="87.63"/>
    <col customWidth="1" min="3" max="3" width="20.13"/>
  </cols>
  <sheetData>
    <row r="1">
      <c r="A1" s="34" t="s">
        <v>742</v>
      </c>
    </row>
    <row r="2">
      <c r="A2" s="35"/>
      <c r="B2" s="35"/>
      <c r="C2" s="35"/>
    </row>
    <row r="3">
      <c r="A3" s="36" t="s">
        <v>743</v>
      </c>
      <c r="B3" s="37" t="s">
        <v>744</v>
      </c>
      <c r="C3" s="38"/>
    </row>
    <row r="4">
      <c r="A4" s="39" t="s">
        <v>6</v>
      </c>
      <c r="B4" s="40" t="s">
        <v>96</v>
      </c>
      <c r="C4" s="41"/>
    </row>
    <row r="5">
      <c r="A5" s="39" t="s">
        <v>745</v>
      </c>
      <c r="B5" s="42">
        <v>46126.0</v>
      </c>
      <c r="C5" s="41"/>
    </row>
    <row r="6">
      <c r="A6" s="39" t="s">
        <v>0</v>
      </c>
      <c r="B6" s="40" t="s">
        <v>76</v>
      </c>
      <c r="C6" s="41"/>
    </row>
    <row r="7">
      <c r="A7" s="39" t="s">
        <v>7</v>
      </c>
      <c r="B7" s="40" t="s">
        <v>97</v>
      </c>
      <c r="C7" s="41"/>
    </row>
    <row r="8">
      <c r="A8" s="39" t="s">
        <v>746</v>
      </c>
      <c r="B8" s="40">
        <v>6.0</v>
      </c>
      <c r="C8" s="41"/>
    </row>
    <row r="9">
      <c r="A9" s="43" t="s">
        <v>8</v>
      </c>
      <c r="B9" s="44" t="s">
        <v>98</v>
      </c>
      <c r="C9" s="45"/>
    </row>
    <row r="10">
      <c r="A10" s="35"/>
      <c r="B10" s="35"/>
      <c r="C10" s="35"/>
    </row>
    <row r="11">
      <c r="A11" s="34" t="s">
        <v>747</v>
      </c>
    </row>
    <row r="12">
      <c r="A12" s="35"/>
      <c r="B12" s="35"/>
      <c r="C12" s="35"/>
    </row>
    <row r="13">
      <c r="A13" s="46" t="s">
        <v>1273</v>
      </c>
    </row>
    <row r="14">
      <c r="A14" s="35"/>
      <c r="B14" s="35"/>
      <c r="C14" s="35"/>
    </row>
    <row r="15">
      <c r="A15" s="34" t="s">
        <v>748</v>
      </c>
    </row>
    <row r="16">
      <c r="A16" s="35"/>
      <c r="B16" s="35"/>
      <c r="C16" s="35"/>
    </row>
    <row r="17">
      <c r="A17" s="36" t="s">
        <v>749</v>
      </c>
      <c r="B17" s="37" t="s">
        <v>750</v>
      </c>
      <c r="C17" s="47" t="s">
        <v>751</v>
      </c>
    </row>
    <row r="18">
      <c r="A18" s="39">
        <v>1.0</v>
      </c>
      <c r="B18" s="40" t="s">
        <v>1274</v>
      </c>
      <c r="C18" s="48" t="s">
        <v>753</v>
      </c>
    </row>
    <row r="19">
      <c r="A19" s="39">
        <v>2.0</v>
      </c>
      <c r="B19" s="40" t="s">
        <v>1275</v>
      </c>
      <c r="C19" s="48" t="s">
        <v>753</v>
      </c>
    </row>
    <row r="20">
      <c r="A20" s="39">
        <v>3.0</v>
      </c>
      <c r="B20" s="40" t="s">
        <v>1276</v>
      </c>
      <c r="C20" s="48" t="s">
        <v>753</v>
      </c>
    </row>
    <row r="21">
      <c r="A21" s="39">
        <v>4.0</v>
      </c>
      <c r="B21" s="40" t="s">
        <v>1277</v>
      </c>
      <c r="C21" s="48" t="s">
        <v>753</v>
      </c>
    </row>
    <row r="22">
      <c r="A22" s="39">
        <v>5.0</v>
      </c>
      <c r="B22" s="40" t="s">
        <v>1278</v>
      </c>
      <c r="C22" s="48" t="s">
        <v>753</v>
      </c>
    </row>
    <row r="23">
      <c r="A23" s="39">
        <v>6.0</v>
      </c>
      <c r="B23" s="40" t="s">
        <v>1279</v>
      </c>
      <c r="C23" s="48" t="s">
        <v>753</v>
      </c>
    </row>
    <row r="24">
      <c r="A24" s="39">
        <v>7.0</v>
      </c>
      <c r="B24" s="40" t="s">
        <v>1280</v>
      </c>
      <c r="C24" s="48" t="s">
        <v>753</v>
      </c>
    </row>
    <row r="25">
      <c r="A25" s="39">
        <v>8.0</v>
      </c>
      <c r="B25" s="40" t="s">
        <v>1281</v>
      </c>
      <c r="C25" s="48" t="s">
        <v>753</v>
      </c>
    </row>
    <row r="26">
      <c r="A26" s="39">
        <v>9.0</v>
      </c>
      <c r="B26" s="40" t="s">
        <v>1282</v>
      </c>
      <c r="C26" s="48" t="s">
        <v>1283</v>
      </c>
    </row>
    <row r="27">
      <c r="A27" s="39">
        <v>10.0</v>
      </c>
      <c r="B27" s="40" t="s">
        <v>1284</v>
      </c>
      <c r="C27" s="48" t="s">
        <v>1283</v>
      </c>
    </row>
    <row r="28">
      <c r="A28" s="39">
        <v>11.0</v>
      </c>
      <c r="B28" s="40" t="s">
        <v>1285</v>
      </c>
      <c r="C28" s="48" t="s">
        <v>1286</v>
      </c>
    </row>
    <row r="29">
      <c r="A29" s="39">
        <v>12.0</v>
      </c>
      <c r="B29" s="40" t="s">
        <v>1287</v>
      </c>
      <c r="C29" s="48" t="s">
        <v>753</v>
      </c>
    </row>
    <row r="30">
      <c r="A30" s="39">
        <v>13.0</v>
      </c>
      <c r="B30" s="40" t="s">
        <v>1288</v>
      </c>
      <c r="C30" s="48" t="s">
        <v>753</v>
      </c>
    </row>
    <row r="31">
      <c r="A31" s="39">
        <v>14.0</v>
      </c>
      <c r="B31" s="40" t="s">
        <v>1289</v>
      </c>
      <c r="C31" s="48" t="s">
        <v>753</v>
      </c>
    </row>
    <row r="32">
      <c r="A32" s="39">
        <v>15.0</v>
      </c>
      <c r="B32" s="40" t="s">
        <v>1290</v>
      </c>
      <c r="C32" s="48" t="s">
        <v>1291</v>
      </c>
    </row>
    <row r="33">
      <c r="A33" s="39">
        <v>16.0</v>
      </c>
      <c r="B33" s="40" t="s">
        <v>1292</v>
      </c>
      <c r="C33" s="48" t="s">
        <v>1170</v>
      </c>
    </row>
    <row r="34">
      <c r="A34" s="43">
        <v>17.0</v>
      </c>
      <c r="B34" s="49" t="s">
        <v>1293</v>
      </c>
      <c r="C34" s="50" t="s">
        <v>753</v>
      </c>
    </row>
    <row r="35">
      <c r="A35" s="35"/>
      <c r="B35" s="35"/>
      <c r="C35" s="35"/>
    </row>
    <row r="36">
      <c r="A36" s="34" t="s">
        <v>756</v>
      </c>
    </row>
    <row r="37">
      <c r="A37" s="35"/>
      <c r="B37" s="35"/>
      <c r="C37" s="35"/>
    </row>
    <row r="38">
      <c r="A38" s="36" t="s">
        <v>749</v>
      </c>
      <c r="B38" s="37" t="s">
        <v>757</v>
      </c>
      <c r="C38" s="38"/>
    </row>
    <row r="39">
      <c r="A39" s="39">
        <v>1.0</v>
      </c>
      <c r="B39" s="40" t="s">
        <v>1294</v>
      </c>
      <c r="C39" s="41"/>
    </row>
    <row r="40">
      <c r="A40" s="39">
        <v>2.0</v>
      </c>
      <c r="B40" s="40" t="s">
        <v>1295</v>
      </c>
      <c r="C40" s="41"/>
    </row>
    <row r="41">
      <c r="A41" s="39">
        <v>3.0</v>
      </c>
      <c r="B41" s="40" t="s">
        <v>1296</v>
      </c>
      <c r="C41" s="41"/>
    </row>
    <row r="42">
      <c r="A42" s="39">
        <v>4.0</v>
      </c>
      <c r="B42" s="40" t="s">
        <v>1297</v>
      </c>
      <c r="C42" s="41"/>
    </row>
    <row r="43">
      <c r="A43" s="39">
        <v>5.0</v>
      </c>
      <c r="B43" s="40" t="s">
        <v>1298</v>
      </c>
      <c r="C43" s="41"/>
    </row>
    <row r="44">
      <c r="A44" s="39">
        <v>6.0</v>
      </c>
      <c r="B44" s="40" t="s">
        <v>1299</v>
      </c>
      <c r="C44" s="41"/>
    </row>
    <row r="45">
      <c r="A45" s="39">
        <v>7.0</v>
      </c>
      <c r="B45" s="40" t="s">
        <v>1300</v>
      </c>
      <c r="C45" s="41"/>
    </row>
    <row r="46">
      <c r="A46" s="39">
        <v>8.0</v>
      </c>
      <c r="B46" s="40" t="s">
        <v>1301</v>
      </c>
      <c r="C46" s="41"/>
    </row>
    <row r="47">
      <c r="A47" s="39">
        <v>9.0</v>
      </c>
      <c r="B47" s="40" t="s">
        <v>1302</v>
      </c>
      <c r="C47" s="41"/>
    </row>
    <row r="48">
      <c r="A48" s="43">
        <v>10.0</v>
      </c>
      <c r="B48" s="49" t="s">
        <v>1303</v>
      </c>
      <c r="C48" s="45"/>
    </row>
    <row r="49">
      <c r="A49" s="35"/>
      <c r="B49" s="35"/>
      <c r="C49" s="35"/>
    </row>
    <row r="50">
      <c r="A50" s="34" t="s">
        <v>760</v>
      </c>
    </row>
    <row r="51">
      <c r="A51" s="35"/>
      <c r="B51" s="35"/>
      <c r="C51" s="35"/>
    </row>
    <row r="52">
      <c r="A52" s="36" t="s">
        <v>749</v>
      </c>
      <c r="B52" s="37" t="s">
        <v>757</v>
      </c>
      <c r="C52" s="38"/>
    </row>
    <row r="53">
      <c r="A53" s="39">
        <v>1.0</v>
      </c>
      <c r="B53" s="40" t="s">
        <v>1304</v>
      </c>
      <c r="C53" s="41"/>
    </row>
    <row r="54">
      <c r="A54" s="39">
        <v>2.0</v>
      </c>
      <c r="B54" s="40" t="s">
        <v>1305</v>
      </c>
      <c r="C54" s="41"/>
    </row>
    <row r="55">
      <c r="A55" s="39">
        <v>3.0</v>
      </c>
      <c r="B55" s="40" t="s">
        <v>1306</v>
      </c>
      <c r="C55" s="41"/>
    </row>
    <row r="56">
      <c r="A56" s="39">
        <v>4.0</v>
      </c>
      <c r="B56" s="40" t="s">
        <v>1307</v>
      </c>
      <c r="C56" s="41"/>
    </row>
    <row r="57">
      <c r="A57" s="39">
        <v>5.0</v>
      </c>
      <c r="B57" s="40" t="s">
        <v>1308</v>
      </c>
      <c r="C57" s="41"/>
    </row>
    <row r="58">
      <c r="A58" s="39">
        <v>6.0</v>
      </c>
      <c r="B58" s="40" t="s">
        <v>1309</v>
      </c>
      <c r="C58" s="41"/>
    </row>
    <row r="59">
      <c r="A59" s="39">
        <v>7.0</v>
      </c>
      <c r="B59" s="40" t="s">
        <v>1310</v>
      </c>
      <c r="C59" s="41"/>
    </row>
    <row r="60">
      <c r="A60" s="43">
        <v>8.0</v>
      </c>
      <c r="B60" s="49" t="s">
        <v>1311</v>
      </c>
      <c r="C60" s="45"/>
    </row>
    <row r="61">
      <c r="A61" s="35"/>
      <c r="B61" s="35"/>
      <c r="C61" s="35"/>
    </row>
    <row r="62">
      <c r="A62" s="34" t="s">
        <v>763</v>
      </c>
    </row>
    <row r="63">
      <c r="A63" s="35"/>
      <c r="B63" s="35"/>
      <c r="C63" s="35"/>
    </row>
    <row r="64">
      <c r="A64" s="36" t="s">
        <v>749</v>
      </c>
      <c r="B64" s="37" t="s">
        <v>757</v>
      </c>
      <c r="C64" s="38"/>
    </row>
    <row r="65">
      <c r="A65" s="39">
        <v>1.0</v>
      </c>
      <c r="B65" s="40" t="s">
        <v>1312</v>
      </c>
      <c r="C65" s="41"/>
    </row>
    <row r="66">
      <c r="A66" s="39">
        <v>2.0</v>
      </c>
      <c r="B66" s="40" t="s">
        <v>1313</v>
      </c>
      <c r="C66" s="41"/>
    </row>
    <row r="67">
      <c r="A67" s="39">
        <v>3.0</v>
      </c>
      <c r="B67" s="40" t="s">
        <v>1314</v>
      </c>
      <c r="C67" s="41"/>
    </row>
    <row r="68">
      <c r="A68" s="39">
        <v>4.0</v>
      </c>
      <c r="B68" s="40" t="s">
        <v>1315</v>
      </c>
      <c r="C68" s="41"/>
    </row>
    <row r="69">
      <c r="A69" s="39">
        <v>5.0</v>
      </c>
      <c r="B69" s="40" t="s">
        <v>1316</v>
      </c>
      <c r="C69" s="41"/>
    </row>
    <row r="70">
      <c r="A70" s="39">
        <v>6.0</v>
      </c>
      <c r="B70" s="40" t="s">
        <v>1317</v>
      </c>
      <c r="C70" s="41"/>
    </row>
    <row r="71">
      <c r="A71" s="43">
        <v>7.0</v>
      </c>
      <c r="B71" s="49" t="s">
        <v>1318</v>
      </c>
      <c r="C71" s="45"/>
    </row>
  </sheetData>
  <mergeCells count="7">
    <mergeCell ref="A1:C1"/>
    <mergeCell ref="A11:C11"/>
    <mergeCell ref="A13:C13"/>
    <mergeCell ref="A15:C15"/>
    <mergeCell ref="A36:C36"/>
    <mergeCell ref="A50:C50"/>
    <mergeCell ref="A62:C62"/>
  </mergeCells>
  <hyperlinks>
    <hyperlink r:id="rId1" ref="B9"/>
  </hyperlinks>
  <drawing r:id="rId2"/>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2" max="2" width="87.63"/>
    <col customWidth="1" min="3" max="3" width="20.13"/>
  </cols>
  <sheetData>
    <row r="1">
      <c r="A1" s="34" t="s">
        <v>742</v>
      </c>
    </row>
    <row r="2">
      <c r="A2" s="35"/>
      <c r="B2" s="35"/>
      <c r="C2" s="35"/>
    </row>
    <row r="3">
      <c r="A3" s="36" t="s">
        <v>743</v>
      </c>
      <c r="B3" s="37" t="s">
        <v>744</v>
      </c>
      <c r="C3" s="38"/>
    </row>
    <row r="4">
      <c r="A4" s="39" t="s">
        <v>6</v>
      </c>
      <c r="B4" s="40" t="s">
        <v>102</v>
      </c>
      <c r="C4" s="41"/>
    </row>
    <row r="5">
      <c r="A5" s="39" t="s">
        <v>745</v>
      </c>
      <c r="B5" s="42">
        <v>46127.0</v>
      </c>
      <c r="C5" s="41"/>
    </row>
    <row r="6">
      <c r="A6" s="39" t="s">
        <v>0</v>
      </c>
      <c r="B6" s="40" t="s">
        <v>76</v>
      </c>
      <c r="C6" s="41"/>
    </row>
    <row r="7">
      <c r="A7" s="39" t="s">
        <v>7</v>
      </c>
      <c r="B7" s="40" t="s">
        <v>103</v>
      </c>
      <c r="C7" s="41"/>
    </row>
    <row r="8">
      <c r="A8" s="39" t="s">
        <v>746</v>
      </c>
      <c r="B8" s="40">
        <v>2.0</v>
      </c>
      <c r="C8" s="41"/>
    </row>
    <row r="9">
      <c r="A9" s="43" t="s">
        <v>8</v>
      </c>
      <c r="B9" s="44" t="s">
        <v>104</v>
      </c>
      <c r="C9" s="45"/>
    </row>
    <row r="10">
      <c r="A10" s="35"/>
      <c r="B10" s="35"/>
      <c r="C10" s="35"/>
    </row>
    <row r="11">
      <c r="A11" s="34" t="s">
        <v>747</v>
      </c>
    </row>
    <row r="12">
      <c r="A12" s="35"/>
      <c r="B12" s="35"/>
      <c r="C12" s="35"/>
    </row>
    <row r="13">
      <c r="A13" s="46" t="s">
        <v>1319</v>
      </c>
    </row>
    <row r="14">
      <c r="A14" s="35"/>
      <c r="B14" s="35"/>
      <c r="C14" s="35"/>
    </row>
    <row r="15">
      <c r="A15" s="34" t="s">
        <v>748</v>
      </c>
    </row>
    <row r="16">
      <c r="A16" s="35"/>
      <c r="B16" s="35"/>
      <c r="C16" s="35"/>
    </row>
    <row r="17">
      <c r="A17" s="36" t="s">
        <v>749</v>
      </c>
      <c r="B17" s="37" t="s">
        <v>750</v>
      </c>
      <c r="C17" s="47" t="s">
        <v>751</v>
      </c>
    </row>
    <row r="18">
      <c r="A18" s="39">
        <v>1.0</v>
      </c>
      <c r="B18" s="40" t="s">
        <v>1320</v>
      </c>
      <c r="C18" s="48" t="s">
        <v>1321</v>
      </c>
    </row>
    <row r="19">
      <c r="A19" s="39">
        <v>2.0</v>
      </c>
      <c r="B19" s="40" t="s">
        <v>1322</v>
      </c>
      <c r="C19" s="48" t="s">
        <v>753</v>
      </c>
    </row>
    <row r="20">
      <c r="A20" s="39">
        <v>3.0</v>
      </c>
      <c r="B20" s="40" t="s">
        <v>1323</v>
      </c>
      <c r="C20" s="48" t="s">
        <v>753</v>
      </c>
    </row>
    <row r="21">
      <c r="A21" s="39">
        <v>4.0</v>
      </c>
      <c r="B21" s="40" t="s">
        <v>1324</v>
      </c>
      <c r="C21" s="48" t="s">
        <v>753</v>
      </c>
    </row>
    <row r="22">
      <c r="A22" s="39">
        <v>5.0</v>
      </c>
      <c r="B22" s="40" t="s">
        <v>1325</v>
      </c>
      <c r="C22" s="48" t="s">
        <v>753</v>
      </c>
    </row>
    <row r="23">
      <c r="A23" s="39">
        <v>6.0</v>
      </c>
      <c r="B23" s="40" t="s">
        <v>1326</v>
      </c>
      <c r="C23" s="48" t="s">
        <v>753</v>
      </c>
    </row>
    <row r="24">
      <c r="A24" s="39">
        <v>7.0</v>
      </c>
      <c r="B24" s="40" t="s">
        <v>1327</v>
      </c>
      <c r="C24" s="48" t="s">
        <v>753</v>
      </c>
    </row>
    <row r="25">
      <c r="A25" s="43">
        <v>8.0</v>
      </c>
      <c r="B25" s="49" t="s">
        <v>1328</v>
      </c>
      <c r="C25" s="50" t="s">
        <v>753</v>
      </c>
    </row>
    <row r="26">
      <c r="A26" s="35"/>
      <c r="B26" s="35"/>
      <c r="C26" s="35"/>
    </row>
    <row r="27">
      <c r="A27" s="34" t="s">
        <v>756</v>
      </c>
    </row>
    <row r="28">
      <c r="A28" s="35"/>
      <c r="B28" s="35"/>
      <c r="C28" s="35"/>
    </row>
    <row r="29">
      <c r="A29" s="36" t="s">
        <v>749</v>
      </c>
      <c r="B29" s="37" t="s">
        <v>757</v>
      </c>
      <c r="C29" s="38"/>
    </row>
    <row r="30">
      <c r="A30" s="39">
        <v>1.0</v>
      </c>
      <c r="B30" s="40" t="s">
        <v>1329</v>
      </c>
      <c r="C30" s="41"/>
    </row>
    <row r="31">
      <c r="A31" s="39">
        <v>2.0</v>
      </c>
      <c r="B31" s="40" t="s">
        <v>1330</v>
      </c>
      <c r="C31" s="41"/>
    </row>
    <row r="32">
      <c r="A32" s="39">
        <v>3.0</v>
      </c>
      <c r="B32" s="40" t="s">
        <v>1331</v>
      </c>
      <c r="C32" s="41"/>
    </row>
    <row r="33">
      <c r="A33" s="39">
        <v>4.0</v>
      </c>
      <c r="B33" s="40" t="s">
        <v>1332</v>
      </c>
      <c r="C33" s="41"/>
    </row>
    <row r="34">
      <c r="A34" s="39">
        <v>5.0</v>
      </c>
      <c r="B34" s="40" t="s">
        <v>1333</v>
      </c>
      <c r="C34" s="41"/>
    </row>
    <row r="35">
      <c r="A35" s="39">
        <v>6.0</v>
      </c>
      <c r="B35" s="40" t="s">
        <v>1334</v>
      </c>
      <c r="C35" s="41"/>
    </row>
    <row r="36">
      <c r="A36" s="43">
        <v>7.0</v>
      </c>
      <c r="B36" s="49" t="s">
        <v>1335</v>
      </c>
      <c r="C36" s="45"/>
    </row>
    <row r="37">
      <c r="A37" s="35"/>
      <c r="B37" s="35"/>
      <c r="C37" s="35"/>
    </row>
    <row r="38">
      <c r="A38" s="34" t="s">
        <v>760</v>
      </c>
    </row>
    <row r="39">
      <c r="A39" s="35"/>
      <c r="B39" s="35"/>
      <c r="C39" s="35"/>
    </row>
    <row r="40">
      <c r="A40" s="36" t="s">
        <v>749</v>
      </c>
      <c r="B40" s="37" t="s">
        <v>757</v>
      </c>
      <c r="C40" s="38"/>
    </row>
    <row r="41">
      <c r="A41" s="39">
        <v>1.0</v>
      </c>
      <c r="B41" s="40" t="s">
        <v>1336</v>
      </c>
      <c r="C41" s="41"/>
    </row>
    <row r="42">
      <c r="A42" s="39">
        <v>2.0</v>
      </c>
      <c r="B42" s="40" t="s">
        <v>1337</v>
      </c>
      <c r="C42" s="41"/>
    </row>
    <row r="43">
      <c r="A43" s="39">
        <v>3.0</v>
      </c>
      <c r="B43" s="40" t="s">
        <v>1338</v>
      </c>
      <c r="C43" s="41"/>
    </row>
    <row r="44">
      <c r="A44" s="39">
        <v>4.0</v>
      </c>
      <c r="B44" s="40" t="s">
        <v>1339</v>
      </c>
      <c r="C44" s="41"/>
    </row>
    <row r="45">
      <c r="A45" s="39">
        <v>5.0</v>
      </c>
      <c r="B45" s="40" t="s">
        <v>1340</v>
      </c>
      <c r="C45" s="41"/>
    </row>
    <row r="46">
      <c r="A46" s="39">
        <v>6.0</v>
      </c>
      <c r="B46" s="40" t="s">
        <v>1341</v>
      </c>
      <c r="C46" s="41"/>
    </row>
    <row r="47">
      <c r="A47" s="43">
        <v>7.0</v>
      </c>
      <c r="B47" s="49" t="s">
        <v>1342</v>
      </c>
      <c r="C47" s="45"/>
    </row>
    <row r="48">
      <c r="A48" s="35"/>
      <c r="B48" s="35"/>
      <c r="C48" s="35"/>
    </row>
    <row r="49">
      <c r="A49" s="34" t="s">
        <v>763</v>
      </c>
    </row>
    <row r="50">
      <c r="A50" s="35"/>
      <c r="B50" s="35"/>
      <c r="C50" s="35"/>
    </row>
    <row r="51">
      <c r="A51" s="36" t="s">
        <v>749</v>
      </c>
      <c r="B51" s="37" t="s">
        <v>757</v>
      </c>
      <c r="C51" s="38"/>
    </row>
    <row r="52">
      <c r="A52" s="39">
        <v>1.0</v>
      </c>
      <c r="B52" s="40" t="s">
        <v>1343</v>
      </c>
      <c r="C52" s="41"/>
    </row>
    <row r="53">
      <c r="A53" s="39">
        <v>2.0</v>
      </c>
      <c r="B53" s="40" t="s">
        <v>1344</v>
      </c>
      <c r="C53" s="41"/>
    </row>
    <row r="54">
      <c r="A54" s="39">
        <v>3.0</v>
      </c>
      <c r="B54" s="40" t="s">
        <v>1345</v>
      </c>
      <c r="C54" s="41"/>
    </row>
    <row r="55">
      <c r="A55" s="39">
        <v>4.0</v>
      </c>
      <c r="B55" s="40" t="s">
        <v>1346</v>
      </c>
      <c r="C55" s="41"/>
    </row>
    <row r="56">
      <c r="A56" s="39">
        <v>5.0</v>
      </c>
      <c r="B56" s="40" t="s">
        <v>1347</v>
      </c>
      <c r="C56" s="41"/>
    </row>
    <row r="57">
      <c r="A57" s="39">
        <v>6.0</v>
      </c>
      <c r="B57" s="40" t="s">
        <v>1348</v>
      </c>
      <c r="C57" s="41"/>
    </row>
    <row r="58">
      <c r="A58" s="43">
        <v>7.0</v>
      </c>
      <c r="B58" s="49" t="s">
        <v>1349</v>
      </c>
      <c r="C58" s="45"/>
    </row>
  </sheetData>
  <mergeCells count="7">
    <mergeCell ref="A1:C1"/>
    <mergeCell ref="A11:C11"/>
    <mergeCell ref="A13:C13"/>
    <mergeCell ref="A15:C15"/>
    <mergeCell ref="A27:C27"/>
    <mergeCell ref="A38:C38"/>
    <mergeCell ref="A49:C49"/>
  </mergeCells>
  <hyperlinks>
    <hyperlink r:id="rId1" ref="B9"/>
  </hyperlinks>
  <drawing r:id="rId2"/>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2" max="2" width="87.63"/>
    <col customWidth="1" min="3" max="3" width="20.13"/>
  </cols>
  <sheetData>
    <row r="1">
      <c r="A1" s="34" t="s">
        <v>742</v>
      </c>
    </row>
    <row r="2">
      <c r="A2" s="35"/>
      <c r="B2" s="35"/>
      <c r="C2" s="35"/>
    </row>
    <row r="3">
      <c r="A3" s="36" t="s">
        <v>743</v>
      </c>
      <c r="B3" s="37" t="s">
        <v>744</v>
      </c>
      <c r="C3" s="38"/>
    </row>
    <row r="4">
      <c r="A4" s="39" t="s">
        <v>6</v>
      </c>
      <c r="B4" s="40" t="s">
        <v>109</v>
      </c>
      <c r="C4" s="41"/>
    </row>
    <row r="5">
      <c r="A5" s="39" t="s">
        <v>745</v>
      </c>
      <c r="B5" s="42">
        <v>46127.0</v>
      </c>
      <c r="C5" s="41"/>
    </row>
    <row r="6">
      <c r="A6" s="39" t="s">
        <v>0</v>
      </c>
      <c r="B6" s="40" t="s">
        <v>76</v>
      </c>
      <c r="C6" s="41"/>
    </row>
    <row r="7">
      <c r="A7" s="39" t="s">
        <v>7</v>
      </c>
      <c r="B7" s="40" t="s">
        <v>110</v>
      </c>
      <c r="C7" s="41"/>
    </row>
    <row r="8">
      <c r="A8" s="39" t="s">
        <v>746</v>
      </c>
      <c r="B8" s="40">
        <v>2.0</v>
      </c>
      <c r="C8" s="41"/>
    </row>
    <row r="9">
      <c r="A9" s="43" t="s">
        <v>8</v>
      </c>
      <c r="B9" s="44" t="s">
        <v>111</v>
      </c>
      <c r="C9" s="45"/>
    </row>
    <row r="10">
      <c r="A10" s="35"/>
      <c r="B10" s="35"/>
      <c r="C10" s="35"/>
    </row>
    <row r="11">
      <c r="A11" s="34" t="s">
        <v>747</v>
      </c>
    </row>
    <row r="12">
      <c r="A12" s="35"/>
      <c r="B12" s="35"/>
      <c r="C12" s="35"/>
    </row>
    <row r="13">
      <c r="A13" s="46" t="s">
        <v>112</v>
      </c>
    </row>
    <row r="14">
      <c r="A14" s="35"/>
      <c r="B14" s="35"/>
      <c r="C14" s="35"/>
    </row>
    <row r="15">
      <c r="A15" s="34" t="s">
        <v>748</v>
      </c>
    </row>
    <row r="16">
      <c r="A16" s="35"/>
      <c r="B16" s="35"/>
      <c r="C16" s="35"/>
    </row>
    <row r="17">
      <c r="A17" s="36" t="s">
        <v>749</v>
      </c>
      <c r="B17" s="37" t="s">
        <v>750</v>
      </c>
      <c r="C17" s="47" t="s">
        <v>751</v>
      </c>
    </row>
    <row r="18">
      <c r="A18" s="39">
        <v>1.0</v>
      </c>
      <c r="B18" s="40" t="s">
        <v>1350</v>
      </c>
      <c r="C18" s="48" t="s">
        <v>1351</v>
      </c>
    </row>
    <row r="19">
      <c r="A19" s="39">
        <v>2.0</v>
      </c>
      <c r="B19" s="40" t="s">
        <v>1352</v>
      </c>
      <c r="C19" s="48" t="s">
        <v>1353</v>
      </c>
    </row>
    <row r="20">
      <c r="A20" s="39">
        <v>3.0</v>
      </c>
      <c r="B20" s="40" t="s">
        <v>1354</v>
      </c>
      <c r="C20" s="48" t="s">
        <v>753</v>
      </c>
    </row>
    <row r="21">
      <c r="A21" s="39">
        <v>4.0</v>
      </c>
      <c r="B21" s="40" t="s">
        <v>1355</v>
      </c>
      <c r="C21" s="48" t="s">
        <v>753</v>
      </c>
    </row>
    <row r="22">
      <c r="A22" s="39">
        <v>5.0</v>
      </c>
      <c r="B22" s="40" t="s">
        <v>1356</v>
      </c>
      <c r="C22" s="48" t="s">
        <v>753</v>
      </c>
    </row>
    <row r="23">
      <c r="A23" s="39">
        <v>6.0</v>
      </c>
      <c r="B23" s="40" t="s">
        <v>1357</v>
      </c>
      <c r="C23" s="48" t="s">
        <v>753</v>
      </c>
    </row>
    <row r="24">
      <c r="A24" s="39">
        <v>7.0</v>
      </c>
      <c r="B24" s="40" t="s">
        <v>1358</v>
      </c>
      <c r="C24" s="48" t="s">
        <v>753</v>
      </c>
    </row>
    <row r="25">
      <c r="A25" s="39">
        <v>8.0</v>
      </c>
      <c r="B25" s="40" t="s">
        <v>1359</v>
      </c>
      <c r="C25" s="48" t="s">
        <v>1360</v>
      </c>
    </row>
    <row r="26">
      <c r="A26" s="39">
        <v>9.0</v>
      </c>
      <c r="B26" s="40" t="s">
        <v>1361</v>
      </c>
      <c r="C26" s="48" t="s">
        <v>1360</v>
      </c>
    </row>
    <row r="27">
      <c r="A27" s="39">
        <v>10.0</v>
      </c>
      <c r="B27" s="40" t="s">
        <v>1362</v>
      </c>
      <c r="C27" s="48" t="s">
        <v>753</v>
      </c>
    </row>
    <row r="28">
      <c r="A28" s="43">
        <v>11.0</v>
      </c>
      <c r="B28" s="49" t="s">
        <v>1363</v>
      </c>
      <c r="C28" s="50" t="s">
        <v>753</v>
      </c>
    </row>
    <row r="29">
      <c r="A29" s="35"/>
      <c r="B29" s="35"/>
      <c r="C29" s="35"/>
    </row>
    <row r="30">
      <c r="A30" s="34" t="s">
        <v>756</v>
      </c>
    </row>
    <row r="31">
      <c r="A31" s="35"/>
      <c r="B31" s="35"/>
      <c r="C31" s="35"/>
    </row>
    <row r="32">
      <c r="A32" s="36" t="s">
        <v>749</v>
      </c>
      <c r="B32" s="37" t="s">
        <v>757</v>
      </c>
      <c r="C32" s="38"/>
    </row>
    <row r="33">
      <c r="A33" s="39">
        <v>1.0</v>
      </c>
      <c r="B33" s="40" t="s">
        <v>1364</v>
      </c>
      <c r="C33" s="41"/>
    </row>
    <row r="34">
      <c r="A34" s="39">
        <v>2.0</v>
      </c>
      <c r="B34" s="40" t="s">
        <v>1365</v>
      </c>
      <c r="C34" s="41"/>
    </row>
    <row r="35">
      <c r="A35" s="39">
        <v>3.0</v>
      </c>
      <c r="B35" s="40" t="s">
        <v>1366</v>
      </c>
      <c r="C35" s="41"/>
    </row>
    <row r="36">
      <c r="A36" s="39">
        <v>4.0</v>
      </c>
      <c r="B36" s="40" t="s">
        <v>1367</v>
      </c>
      <c r="C36" s="41"/>
    </row>
    <row r="37">
      <c r="A37" s="39">
        <v>5.0</v>
      </c>
      <c r="B37" s="40" t="s">
        <v>1368</v>
      </c>
      <c r="C37" s="41"/>
    </row>
    <row r="38">
      <c r="A38" s="43">
        <v>6.0</v>
      </c>
      <c r="B38" s="49" t="s">
        <v>1369</v>
      </c>
      <c r="C38" s="45"/>
    </row>
    <row r="39">
      <c r="A39" s="35"/>
      <c r="B39" s="35"/>
      <c r="C39" s="35"/>
    </row>
    <row r="40">
      <c r="A40" s="34" t="s">
        <v>760</v>
      </c>
    </row>
    <row r="41">
      <c r="A41" s="35"/>
      <c r="B41" s="35"/>
      <c r="C41" s="35"/>
    </row>
    <row r="42">
      <c r="A42" s="36" t="s">
        <v>749</v>
      </c>
      <c r="B42" s="37" t="s">
        <v>757</v>
      </c>
      <c r="C42" s="38"/>
    </row>
    <row r="43">
      <c r="A43" s="39">
        <v>1.0</v>
      </c>
      <c r="B43" s="40" t="s">
        <v>1370</v>
      </c>
      <c r="C43" s="41"/>
    </row>
    <row r="44">
      <c r="A44" s="39">
        <v>2.0</v>
      </c>
      <c r="B44" s="40" t="s">
        <v>1371</v>
      </c>
      <c r="C44" s="41"/>
    </row>
    <row r="45">
      <c r="A45" s="43">
        <v>3.0</v>
      </c>
      <c r="B45" s="49" t="s">
        <v>1372</v>
      </c>
      <c r="C45" s="45"/>
    </row>
    <row r="46">
      <c r="A46" s="35"/>
      <c r="B46" s="35"/>
      <c r="C46" s="35"/>
    </row>
    <row r="47">
      <c r="A47" s="34" t="s">
        <v>763</v>
      </c>
    </row>
    <row r="48">
      <c r="A48" s="35"/>
      <c r="B48" s="35"/>
      <c r="C48" s="35"/>
    </row>
    <row r="49">
      <c r="A49" s="36" t="s">
        <v>749</v>
      </c>
      <c r="B49" s="37" t="s">
        <v>757</v>
      </c>
      <c r="C49" s="38"/>
    </row>
    <row r="50">
      <c r="A50" s="39">
        <v>1.0</v>
      </c>
      <c r="B50" s="40" t="s">
        <v>1373</v>
      </c>
      <c r="C50" s="41"/>
    </row>
    <row r="51">
      <c r="A51" s="39">
        <v>2.0</v>
      </c>
      <c r="B51" s="40" t="s">
        <v>1374</v>
      </c>
      <c r="C51" s="41"/>
    </row>
    <row r="52">
      <c r="A52" s="39">
        <v>3.0</v>
      </c>
      <c r="B52" s="40" t="s">
        <v>1375</v>
      </c>
      <c r="C52" s="41"/>
    </row>
    <row r="53">
      <c r="A53" s="39">
        <v>4.0</v>
      </c>
      <c r="B53" s="40" t="s">
        <v>1376</v>
      </c>
      <c r="C53" s="41"/>
    </row>
    <row r="54">
      <c r="A54" s="43">
        <v>5.0</v>
      </c>
      <c r="B54" s="49" t="s">
        <v>1377</v>
      </c>
      <c r="C54" s="45"/>
    </row>
  </sheetData>
  <mergeCells count="7">
    <mergeCell ref="A1:C1"/>
    <mergeCell ref="A11:C11"/>
    <mergeCell ref="A13:C13"/>
    <mergeCell ref="A15:C15"/>
    <mergeCell ref="A30:C30"/>
    <mergeCell ref="A40:C40"/>
    <mergeCell ref="A47:C47"/>
  </mergeCells>
  <hyperlinks>
    <hyperlink r:id="rId1" ref="B9"/>
  </hyperlinks>
  <drawing r:id="rId2"/>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2" max="2" width="87.63"/>
    <col customWidth="1" min="3" max="3" width="20.13"/>
  </cols>
  <sheetData>
    <row r="1">
      <c r="A1" s="34" t="s">
        <v>742</v>
      </c>
    </row>
    <row r="2">
      <c r="A2" s="35"/>
      <c r="B2" s="35"/>
      <c r="C2" s="35"/>
    </row>
    <row r="3">
      <c r="A3" s="36" t="s">
        <v>743</v>
      </c>
      <c r="B3" s="37" t="s">
        <v>744</v>
      </c>
      <c r="C3" s="38"/>
    </row>
    <row r="4">
      <c r="A4" s="39" t="s">
        <v>6</v>
      </c>
      <c r="B4" s="40" t="s">
        <v>115</v>
      </c>
      <c r="C4" s="41"/>
    </row>
    <row r="5">
      <c r="A5" s="39" t="s">
        <v>745</v>
      </c>
      <c r="B5" s="42">
        <v>46127.0</v>
      </c>
      <c r="C5" s="41"/>
    </row>
    <row r="6">
      <c r="A6" s="39" t="s">
        <v>0</v>
      </c>
      <c r="B6" s="40" t="s">
        <v>76</v>
      </c>
      <c r="C6" s="41"/>
    </row>
    <row r="7">
      <c r="A7" s="39" t="s">
        <v>7</v>
      </c>
      <c r="B7" s="40" t="s">
        <v>26</v>
      </c>
      <c r="C7" s="41"/>
    </row>
    <row r="8">
      <c r="A8" s="39" t="s">
        <v>746</v>
      </c>
      <c r="B8" s="40">
        <v>5.0</v>
      </c>
      <c r="C8" s="41"/>
    </row>
    <row r="9">
      <c r="A9" s="43" t="s">
        <v>8</v>
      </c>
      <c r="B9" s="44" t="s">
        <v>116</v>
      </c>
      <c r="C9" s="45"/>
    </row>
    <row r="10">
      <c r="A10" s="35"/>
      <c r="B10" s="35"/>
      <c r="C10" s="35"/>
    </row>
    <row r="11">
      <c r="A11" s="34" t="s">
        <v>747</v>
      </c>
    </row>
    <row r="12">
      <c r="A12" s="35"/>
      <c r="B12" s="35"/>
      <c r="C12" s="35"/>
    </row>
    <row r="13">
      <c r="A13" s="46" t="s">
        <v>1378</v>
      </c>
    </row>
    <row r="14">
      <c r="A14" s="35"/>
      <c r="B14" s="35"/>
      <c r="C14" s="35"/>
    </row>
    <row r="15">
      <c r="A15" s="34" t="s">
        <v>748</v>
      </c>
    </row>
    <row r="16">
      <c r="A16" s="35"/>
      <c r="B16" s="35"/>
      <c r="C16" s="35"/>
    </row>
    <row r="17">
      <c r="A17" s="36" t="s">
        <v>749</v>
      </c>
      <c r="B17" s="37" t="s">
        <v>750</v>
      </c>
      <c r="C17" s="47" t="s">
        <v>751</v>
      </c>
    </row>
    <row r="18">
      <c r="A18" s="39">
        <v>1.0</v>
      </c>
      <c r="B18" s="40" t="s">
        <v>1379</v>
      </c>
      <c r="C18" s="48" t="s">
        <v>1380</v>
      </c>
    </row>
    <row r="19">
      <c r="A19" s="39">
        <v>2.0</v>
      </c>
      <c r="B19" s="40" t="s">
        <v>1381</v>
      </c>
      <c r="C19" s="48" t="s">
        <v>1382</v>
      </c>
    </row>
    <row r="20">
      <c r="A20" s="39">
        <v>3.0</v>
      </c>
      <c r="B20" s="40" t="s">
        <v>1383</v>
      </c>
      <c r="C20" s="48" t="s">
        <v>1384</v>
      </c>
    </row>
    <row r="21">
      <c r="A21" s="39">
        <v>4.0</v>
      </c>
      <c r="B21" s="40" t="s">
        <v>1385</v>
      </c>
      <c r="C21" s="48" t="s">
        <v>753</v>
      </c>
    </row>
    <row r="22">
      <c r="A22" s="39">
        <v>5.0</v>
      </c>
      <c r="B22" s="40" t="s">
        <v>1386</v>
      </c>
      <c r="C22" s="48" t="s">
        <v>1384</v>
      </c>
    </row>
    <row r="23">
      <c r="A23" s="39">
        <v>6.0</v>
      </c>
      <c r="B23" s="40" t="s">
        <v>1387</v>
      </c>
      <c r="C23" s="48" t="s">
        <v>753</v>
      </c>
    </row>
    <row r="24">
      <c r="A24" s="39">
        <v>7.0</v>
      </c>
      <c r="B24" s="40" t="s">
        <v>1388</v>
      </c>
      <c r="C24" s="48" t="s">
        <v>753</v>
      </c>
    </row>
    <row r="25">
      <c r="A25" s="43">
        <v>8.0</v>
      </c>
      <c r="B25" s="49" t="s">
        <v>1389</v>
      </c>
      <c r="C25" s="50" t="s">
        <v>753</v>
      </c>
    </row>
    <row r="26">
      <c r="A26" s="35"/>
      <c r="B26" s="35"/>
      <c r="C26" s="35"/>
    </row>
    <row r="27">
      <c r="A27" s="34" t="s">
        <v>756</v>
      </c>
    </row>
    <row r="28">
      <c r="A28" s="35"/>
      <c r="B28" s="35"/>
      <c r="C28" s="35"/>
    </row>
    <row r="29">
      <c r="A29" s="36" t="s">
        <v>749</v>
      </c>
      <c r="B29" s="37" t="s">
        <v>757</v>
      </c>
      <c r="C29" s="38"/>
    </row>
    <row r="30">
      <c r="A30" s="39">
        <v>1.0</v>
      </c>
      <c r="B30" s="40" t="s">
        <v>1390</v>
      </c>
      <c r="C30" s="41"/>
    </row>
    <row r="31">
      <c r="A31" s="39">
        <v>2.0</v>
      </c>
      <c r="B31" s="40" t="s">
        <v>1391</v>
      </c>
      <c r="C31" s="41"/>
    </row>
    <row r="32">
      <c r="A32" s="39">
        <v>3.0</v>
      </c>
      <c r="B32" s="40" t="s">
        <v>1392</v>
      </c>
      <c r="C32" s="41"/>
    </row>
    <row r="33">
      <c r="A33" s="39">
        <v>4.0</v>
      </c>
      <c r="B33" s="40" t="s">
        <v>1393</v>
      </c>
      <c r="C33" s="41"/>
    </row>
    <row r="34">
      <c r="A34" s="39">
        <v>5.0</v>
      </c>
      <c r="B34" s="40" t="s">
        <v>1394</v>
      </c>
      <c r="C34" s="41"/>
    </row>
    <row r="35">
      <c r="A35" s="39">
        <v>6.0</v>
      </c>
      <c r="B35" s="40" t="s">
        <v>1395</v>
      </c>
      <c r="C35" s="41"/>
    </row>
    <row r="36">
      <c r="A36" s="39">
        <v>7.0</v>
      </c>
      <c r="B36" s="40" t="s">
        <v>1396</v>
      </c>
      <c r="C36" s="41"/>
    </row>
    <row r="37">
      <c r="A37" s="39">
        <v>8.0</v>
      </c>
      <c r="B37" s="40" t="s">
        <v>1397</v>
      </c>
      <c r="C37" s="41"/>
    </row>
    <row r="38">
      <c r="A38" s="39">
        <v>9.0</v>
      </c>
      <c r="B38" s="40" t="s">
        <v>1398</v>
      </c>
      <c r="C38" s="41"/>
    </row>
    <row r="39">
      <c r="A39" s="43">
        <v>10.0</v>
      </c>
      <c r="B39" s="49" t="s">
        <v>1399</v>
      </c>
      <c r="C39" s="45"/>
    </row>
    <row r="40">
      <c r="A40" s="35"/>
      <c r="B40" s="35"/>
      <c r="C40" s="35"/>
    </row>
    <row r="41">
      <c r="A41" s="34" t="s">
        <v>760</v>
      </c>
    </row>
    <row r="42">
      <c r="A42" s="35"/>
      <c r="B42" s="35"/>
      <c r="C42" s="35"/>
    </row>
    <row r="43">
      <c r="A43" s="36" t="s">
        <v>749</v>
      </c>
      <c r="B43" s="37" t="s">
        <v>757</v>
      </c>
      <c r="C43" s="38"/>
    </row>
    <row r="44">
      <c r="A44" s="39">
        <v>1.0</v>
      </c>
      <c r="B44" s="40" t="s">
        <v>1400</v>
      </c>
      <c r="C44" s="41"/>
    </row>
    <row r="45">
      <c r="A45" s="39">
        <v>2.0</v>
      </c>
      <c r="B45" s="40" t="s">
        <v>1401</v>
      </c>
      <c r="C45" s="41"/>
    </row>
    <row r="46">
      <c r="A46" s="39">
        <v>3.0</v>
      </c>
      <c r="B46" s="40" t="s">
        <v>1402</v>
      </c>
      <c r="C46" s="41"/>
    </row>
    <row r="47">
      <c r="A47" s="39">
        <v>4.0</v>
      </c>
      <c r="B47" s="40" t="s">
        <v>1403</v>
      </c>
      <c r="C47" s="41"/>
    </row>
    <row r="48">
      <c r="A48" s="43">
        <v>5.0</v>
      </c>
      <c r="B48" s="49" t="s">
        <v>1404</v>
      </c>
      <c r="C48" s="45"/>
    </row>
    <row r="49">
      <c r="A49" s="35"/>
      <c r="B49" s="35"/>
      <c r="C49" s="35"/>
    </row>
    <row r="50">
      <c r="A50" s="34" t="s">
        <v>763</v>
      </c>
    </row>
    <row r="51">
      <c r="A51" s="35"/>
      <c r="B51" s="35"/>
      <c r="C51" s="35"/>
    </row>
    <row r="52">
      <c r="A52" s="36" t="s">
        <v>749</v>
      </c>
      <c r="B52" s="37" t="s">
        <v>757</v>
      </c>
      <c r="C52" s="38"/>
    </row>
    <row r="53">
      <c r="A53" s="39">
        <v>1.0</v>
      </c>
      <c r="B53" s="40" t="s">
        <v>1405</v>
      </c>
      <c r="C53" s="41"/>
    </row>
    <row r="54">
      <c r="A54" s="39">
        <v>2.0</v>
      </c>
      <c r="B54" s="40" t="s">
        <v>1406</v>
      </c>
      <c r="C54" s="41"/>
    </row>
    <row r="55">
      <c r="A55" s="39">
        <v>3.0</v>
      </c>
      <c r="B55" s="40" t="s">
        <v>1407</v>
      </c>
      <c r="C55" s="41"/>
    </row>
    <row r="56">
      <c r="A56" s="39">
        <v>4.0</v>
      </c>
      <c r="B56" s="40" t="s">
        <v>1408</v>
      </c>
      <c r="C56" s="41"/>
    </row>
    <row r="57">
      <c r="A57" s="39">
        <v>5.0</v>
      </c>
      <c r="B57" s="40" t="s">
        <v>1409</v>
      </c>
      <c r="C57" s="41"/>
    </row>
    <row r="58">
      <c r="A58" s="39">
        <v>6.0</v>
      </c>
      <c r="B58" s="40" t="s">
        <v>1410</v>
      </c>
      <c r="C58" s="41"/>
    </row>
    <row r="59">
      <c r="A59" s="43">
        <v>7.0</v>
      </c>
      <c r="B59" s="49" t="s">
        <v>1411</v>
      </c>
      <c r="C59" s="45"/>
    </row>
  </sheetData>
  <mergeCells count="7">
    <mergeCell ref="A1:C1"/>
    <mergeCell ref="A11:C11"/>
    <mergeCell ref="A13:C13"/>
    <mergeCell ref="A15:C15"/>
    <mergeCell ref="A27:C27"/>
    <mergeCell ref="A41:C41"/>
    <mergeCell ref="A50:C50"/>
  </mergeCells>
  <hyperlinks>
    <hyperlink r:id="rId1" ref="B9"/>
  </hyperlinks>
  <drawing r:id="rId2"/>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2" max="2" width="87.63"/>
    <col customWidth="1" min="3" max="3" width="20.13"/>
  </cols>
  <sheetData>
    <row r="1">
      <c r="A1" s="34" t="s">
        <v>742</v>
      </c>
    </row>
    <row r="2">
      <c r="A2" s="35"/>
      <c r="B2" s="35"/>
      <c r="C2" s="35"/>
    </row>
    <row r="3">
      <c r="A3" s="36" t="s">
        <v>743</v>
      </c>
      <c r="B3" s="37" t="s">
        <v>744</v>
      </c>
      <c r="C3" s="38"/>
    </row>
    <row r="4">
      <c r="A4" s="39" t="s">
        <v>6</v>
      </c>
      <c r="B4" s="40" t="s">
        <v>119</v>
      </c>
      <c r="C4" s="41"/>
    </row>
    <row r="5">
      <c r="A5" s="39" t="s">
        <v>745</v>
      </c>
      <c r="B5" s="42">
        <v>46127.0</v>
      </c>
      <c r="C5" s="41"/>
    </row>
    <row r="6">
      <c r="A6" s="39" t="s">
        <v>0</v>
      </c>
      <c r="B6" s="40" t="s">
        <v>76</v>
      </c>
      <c r="C6" s="41"/>
    </row>
    <row r="7">
      <c r="A7" s="39" t="s">
        <v>7</v>
      </c>
      <c r="B7" s="40" t="s">
        <v>120</v>
      </c>
      <c r="C7" s="41"/>
    </row>
    <row r="8">
      <c r="A8" s="39" t="s">
        <v>746</v>
      </c>
      <c r="B8" s="40">
        <v>4.0</v>
      </c>
      <c r="C8" s="41"/>
    </row>
    <row r="9">
      <c r="A9" s="43" t="s">
        <v>8</v>
      </c>
      <c r="B9" s="44" t="s">
        <v>121</v>
      </c>
      <c r="C9" s="45"/>
    </row>
    <row r="10">
      <c r="A10" s="35"/>
      <c r="B10" s="35"/>
      <c r="C10" s="35"/>
    </row>
    <row r="11">
      <c r="A11" s="34" t="s">
        <v>747</v>
      </c>
    </row>
    <row r="12">
      <c r="A12" s="35"/>
      <c r="B12" s="35"/>
      <c r="C12" s="35"/>
    </row>
    <row r="13">
      <c r="A13" s="46" t="s">
        <v>1412</v>
      </c>
    </row>
    <row r="14">
      <c r="A14" s="35"/>
      <c r="B14" s="35"/>
      <c r="C14" s="35"/>
    </row>
    <row r="15">
      <c r="A15" s="34" t="s">
        <v>748</v>
      </c>
    </row>
    <row r="16">
      <c r="A16" s="35"/>
      <c r="B16" s="35"/>
      <c r="C16" s="35"/>
    </row>
    <row r="17">
      <c r="A17" s="36" t="s">
        <v>749</v>
      </c>
      <c r="B17" s="37" t="s">
        <v>750</v>
      </c>
      <c r="C17" s="47" t="s">
        <v>751</v>
      </c>
    </row>
    <row r="18">
      <c r="A18" s="39">
        <v>1.0</v>
      </c>
      <c r="B18" s="40" t="s">
        <v>1413</v>
      </c>
      <c r="C18" s="48" t="s">
        <v>1414</v>
      </c>
    </row>
    <row r="19">
      <c r="A19" s="39">
        <v>2.0</v>
      </c>
      <c r="B19" s="40" t="s">
        <v>1415</v>
      </c>
      <c r="C19" s="48" t="s">
        <v>1416</v>
      </c>
    </row>
    <row r="20">
      <c r="A20" s="39">
        <v>3.0</v>
      </c>
      <c r="B20" s="40" t="s">
        <v>1417</v>
      </c>
      <c r="C20" s="48" t="s">
        <v>1418</v>
      </c>
    </row>
    <row r="21">
      <c r="A21" s="39">
        <v>4.0</v>
      </c>
      <c r="B21" s="40" t="s">
        <v>1419</v>
      </c>
      <c r="C21" s="48" t="s">
        <v>1418</v>
      </c>
    </row>
    <row r="22">
      <c r="A22" s="39">
        <v>5.0</v>
      </c>
      <c r="B22" s="40" t="s">
        <v>1420</v>
      </c>
      <c r="C22" s="48" t="s">
        <v>1418</v>
      </c>
    </row>
    <row r="23">
      <c r="A23" s="39">
        <v>6.0</v>
      </c>
      <c r="B23" s="40" t="s">
        <v>1421</v>
      </c>
      <c r="C23" s="48" t="s">
        <v>1418</v>
      </c>
    </row>
    <row r="24">
      <c r="A24" s="39">
        <v>7.0</v>
      </c>
      <c r="B24" s="40" t="s">
        <v>1422</v>
      </c>
      <c r="C24" s="48" t="s">
        <v>1418</v>
      </c>
    </row>
    <row r="25">
      <c r="A25" s="43">
        <v>8.0</v>
      </c>
      <c r="B25" s="49" t="s">
        <v>1423</v>
      </c>
      <c r="C25" s="50" t="s">
        <v>1418</v>
      </c>
    </row>
    <row r="26">
      <c r="A26" s="35"/>
      <c r="B26" s="35"/>
      <c r="C26" s="35"/>
    </row>
    <row r="27">
      <c r="A27" s="34" t="s">
        <v>756</v>
      </c>
    </row>
    <row r="28">
      <c r="A28" s="35"/>
      <c r="B28" s="35"/>
      <c r="C28" s="35"/>
    </row>
    <row r="29">
      <c r="A29" s="36" t="s">
        <v>749</v>
      </c>
      <c r="B29" s="37" t="s">
        <v>757</v>
      </c>
      <c r="C29" s="38"/>
    </row>
    <row r="30">
      <c r="A30" s="39">
        <v>1.0</v>
      </c>
      <c r="B30" s="40" t="s">
        <v>1424</v>
      </c>
      <c r="C30" s="41"/>
    </row>
    <row r="31">
      <c r="A31" s="39">
        <v>2.0</v>
      </c>
      <c r="B31" s="40" t="s">
        <v>1425</v>
      </c>
      <c r="C31" s="41"/>
    </row>
    <row r="32">
      <c r="A32" s="39">
        <v>3.0</v>
      </c>
      <c r="B32" s="40" t="s">
        <v>1426</v>
      </c>
      <c r="C32" s="41"/>
    </row>
    <row r="33">
      <c r="A33" s="39">
        <v>4.0</v>
      </c>
      <c r="B33" s="40" t="s">
        <v>1427</v>
      </c>
      <c r="C33" s="41"/>
    </row>
    <row r="34">
      <c r="A34" s="39">
        <v>5.0</v>
      </c>
      <c r="B34" s="40" t="s">
        <v>1428</v>
      </c>
      <c r="C34" s="41"/>
    </row>
    <row r="35">
      <c r="A35" s="43">
        <v>6.0</v>
      </c>
      <c r="B35" s="49" t="s">
        <v>1429</v>
      </c>
      <c r="C35" s="45"/>
    </row>
    <row r="36">
      <c r="A36" s="35"/>
      <c r="B36" s="35"/>
      <c r="C36" s="35"/>
    </row>
    <row r="37">
      <c r="A37" s="34" t="s">
        <v>760</v>
      </c>
    </row>
    <row r="38">
      <c r="A38" s="35"/>
      <c r="B38" s="35"/>
      <c r="C38" s="35"/>
    </row>
    <row r="39">
      <c r="A39" s="36" t="s">
        <v>749</v>
      </c>
      <c r="B39" s="37" t="s">
        <v>757</v>
      </c>
      <c r="C39" s="38"/>
    </row>
    <row r="40">
      <c r="A40" s="39">
        <v>1.0</v>
      </c>
      <c r="B40" s="40" t="s">
        <v>1430</v>
      </c>
      <c r="C40" s="41"/>
    </row>
    <row r="41">
      <c r="A41" s="39">
        <v>2.0</v>
      </c>
      <c r="B41" s="40" t="s">
        <v>1431</v>
      </c>
      <c r="C41" s="41"/>
    </row>
    <row r="42">
      <c r="A42" s="39">
        <v>3.0</v>
      </c>
      <c r="B42" s="40" t="s">
        <v>1432</v>
      </c>
      <c r="C42" s="41"/>
    </row>
    <row r="43">
      <c r="A43" s="39">
        <v>4.0</v>
      </c>
      <c r="B43" s="40" t="s">
        <v>1433</v>
      </c>
      <c r="C43" s="41"/>
    </row>
    <row r="44">
      <c r="A44" s="43">
        <v>5.0</v>
      </c>
      <c r="B44" s="49" t="s">
        <v>1434</v>
      </c>
      <c r="C44" s="45"/>
    </row>
    <row r="45">
      <c r="A45" s="35"/>
      <c r="B45" s="35"/>
      <c r="C45" s="35"/>
    </row>
    <row r="46">
      <c r="A46" s="34" t="s">
        <v>763</v>
      </c>
    </row>
    <row r="47">
      <c r="A47" s="35"/>
      <c r="B47" s="35"/>
      <c r="C47" s="35"/>
    </row>
    <row r="48">
      <c r="A48" s="36" t="s">
        <v>749</v>
      </c>
      <c r="B48" s="37" t="s">
        <v>757</v>
      </c>
      <c r="C48" s="38"/>
    </row>
    <row r="49">
      <c r="A49" s="39">
        <v>1.0</v>
      </c>
      <c r="B49" s="40" t="s">
        <v>1435</v>
      </c>
      <c r="C49" s="41"/>
    </row>
    <row r="50">
      <c r="A50" s="39">
        <v>2.0</v>
      </c>
      <c r="B50" s="40" t="s">
        <v>1436</v>
      </c>
      <c r="C50" s="41"/>
    </row>
    <row r="51">
      <c r="A51" s="39">
        <v>3.0</v>
      </c>
      <c r="B51" s="40" t="s">
        <v>1437</v>
      </c>
      <c r="C51" s="41"/>
    </row>
    <row r="52">
      <c r="A52" s="39">
        <v>4.0</v>
      </c>
      <c r="B52" s="40" t="s">
        <v>1438</v>
      </c>
      <c r="C52" s="41"/>
    </row>
    <row r="53">
      <c r="A53" s="39">
        <v>5.0</v>
      </c>
      <c r="B53" s="40" t="s">
        <v>1439</v>
      </c>
      <c r="C53" s="41"/>
    </row>
    <row r="54">
      <c r="A54" s="43">
        <v>6.0</v>
      </c>
      <c r="B54" s="49" t="s">
        <v>1440</v>
      </c>
      <c r="C54" s="45"/>
    </row>
  </sheetData>
  <mergeCells count="7">
    <mergeCell ref="A1:C1"/>
    <mergeCell ref="A11:C11"/>
    <mergeCell ref="A13:C13"/>
    <mergeCell ref="A15:C15"/>
    <mergeCell ref="A27:C27"/>
    <mergeCell ref="A37:C37"/>
    <mergeCell ref="A46:C46"/>
  </mergeCells>
  <hyperlinks>
    <hyperlink r:id="rId1" ref="B9"/>
  </hyperlinks>
  <drawing r:id="rId2"/>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2" max="2" width="87.63"/>
    <col customWidth="1" min="3" max="3" width="20.13"/>
  </cols>
  <sheetData>
    <row r="1">
      <c r="A1" s="34" t="s">
        <v>742</v>
      </c>
    </row>
    <row r="2">
      <c r="A2" s="35"/>
      <c r="B2" s="35"/>
      <c r="C2" s="35"/>
    </row>
    <row r="3">
      <c r="A3" s="36" t="s">
        <v>743</v>
      </c>
      <c r="B3" s="37" t="s">
        <v>744</v>
      </c>
      <c r="C3" s="38"/>
    </row>
    <row r="4">
      <c r="A4" s="39" t="s">
        <v>6</v>
      </c>
      <c r="B4" s="40" t="s">
        <v>124</v>
      </c>
      <c r="C4" s="41"/>
    </row>
    <row r="5">
      <c r="A5" s="39" t="s">
        <v>745</v>
      </c>
      <c r="B5" s="42">
        <v>46127.0</v>
      </c>
      <c r="C5" s="41"/>
    </row>
    <row r="6">
      <c r="A6" s="39" t="s">
        <v>0</v>
      </c>
      <c r="B6" s="40" t="s">
        <v>76</v>
      </c>
      <c r="C6" s="41"/>
    </row>
    <row r="7">
      <c r="A7" s="39" t="s">
        <v>7</v>
      </c>
      <c r="B7" s="40" t="s">
        <v>80</v>
      </c>
      <c r="C7" s="41"/>
    </row>
    <row r="8">
      <c r="A8" s="39" t="s">
        <v>746</v>
      </c>
      <c r="B8" s="40">
        <v>1.0</v>
      </c>
      <c r="C8" s="41"/>
    </row>
    <row r="9">
      <c r="A9" s="43" t="s">
        <v>8</v>
      </c>
      <c r="B9" s="44" t="s">
        <v>125</v>
      </c>
      <c r="C9" s="45"/>
    </row>
    <row r="10">
      <c r="A10" s="35"/>
      <c r="B10" s="35"/>
      <c r="C10" s="35"/>
    </row>
    <row r="11">
      <c r="A11" s="34" t="s">
        <v>747</v>
      </c>
    </row>
    <row r="12">
      <c r="A12" s="35"/>
      <c r="B12" s="35"/>
      <c r="C12" s="35"/>
    </row>
    <row r="13">
      <c r="A13" s="46" t="s">
        <v>1441</v>
      </c>
    </row>
    <row r="14">
      <c r="A14" s="35"/>
      <c r="B14" s="35"/>
      <c r="C14" s="35"/>
    </row>
    <row r="15">
      <c r="A15" s="34" t="s">
        <v>748</v>
      </c>
    </row>
    <row r="16">
      <c r="A16" s="35"/>
      <c r="B16" s="35"/>
      <c r="C16" s="35"/>
    </row>
    <row r="17">
      <c r="A17" s="36" t="s">
        <v>749</v>
      </c>
      <c r="B17" s="37" t="s">
        <v>750</v>
      </c>
      <c r="C17" s="47" t="s">
        <v>751</v>
      </c>
    </row>
    <row r="18">
      <c r="A18" s="39">
        <v>1.0</v>
      </c>
      <c r="B18" s="40" t="s">
        <v>1442</v>
      </c>
      <c r="C18" s="48" t="s">
        <v>753</v>
      </c>
    </row>
    <row r="19">
      <c r="A19" s="39">
        <v>2.0</v>
      </c>
      <c r="B19" s="40" t="s">
        <v>1443</v>
      </c>
      <c r="C19" s="48" t="s">
        <v>753</v>
      </c>
    </row>
    <row r="20">
      <c r="A20" s="39">
        <v>3.0</v>
      </c>
      <c r="B20" s="40" t="s">
        <v>1444</v>
      </c>
      <c r="C20" s="48" t="s">
        <v>753</v>
      </c>
    </row>
    <row r="21">
      <c r="A21" s="39">
        <v>4.0</v>
      </c>
      <c r="B21" s="40" t="s">
        <v>1445</v>
      </c>
      <c r="C21" s="48" t="s">
        <v>753</v>
      </c>
    </row>
    <row r="22">
      <c r="A22" s="39">
        <v>5.0</v>
      </c>
      <c r="B22" s="40" t="s">
        <v>1446</v>
      </c>
      <c r="C22" s="48" t="s">
        <v>753</v>
      </c>
    </row>
    <row r="23">
      <c r="A23" s="39">
        <v>6.0</v>
      </c>
      <c r="B23" s="40" t="s">
        <v>1447</v>
      </c>
      <c r="C23" s="48" t="s">
        <v>753</v>
      </c>
    </row>
    <row r="24">
      <c r="A24" s="39">
        <v>7.0</v>
      </c>
      <c r="B24" s="40" t="s">
        <v>1448</v>
      </c>
      <c r="C24" s="48" t="s">
        <v>753</v>
      </c>
    </row>
    <row r="25">
      <c r="A25" s="39">
        <v>8.0</v>
      </c>
      <c r="B25" s="40" t="s">
        <v>1449</v>
      </c>
      <c r="C25" s="48" t="s">
        <v>753</v>
      </c>
    </row>
    <row r="26">
      <c r="A26" s="43">
        <v>9.0</v>
      </c>
      <c r="B26" s="49" t="s">
        <v>1450</v>
      </c>
      <c r="C26" s="50" t="s">
        <v>753</v>
      </c>
    </row>
    <row r="27">
      <c r="A27" s="35"/>
      <c r="B27" s="35"/>
      <c r="C27" s="35"/>
    </row>
    <row r="28">
      <c r="A28" s="34" t="s">
        <v>756</v>
      </c>
    </row>
    <row r="29">
      <c r="A29" s="35"/>
      <c r="B29" s="35"/>
      <c r="C29" s="35"/>
    </row>
    <row r="30">
      <c r="A30" s="36" t="s">
        <v>749</v>
      </c>
      <c r="B30" s="37" t="s">
        <v>757</v>
      </c>
      <c r="C30" s="38"/>
    </row>
    <row r="31">
      <c r="A31" s="39">
        <v>1.0</v>
      </c>
      <c r="B31" s="40" t="s">
        <v>1451</v>
      </c>
      <c r="C31" s="41"/>
    </row>
    <row r="32">
      <c r="A32" s="39">
        <v>2.0</v>
      </c>
      <c r="B32" s="40" t="s">
        <v>1452</v>
      </c>
      <c r="C32" s="41"/>
    </row>
    <row r="33">
      <c r="A33" s="39">
        <v>3.0</v>
      </c>
      <c r="B33" s="40" t="s">
        <v>1453</v>
      </c>
      <c r="C33" s="41"/>
    </row>
    <row r="34">
      <c r="A34" s="39">
        <v>4.0</v>
      </c>
      <c r="B34" s="40" t="s">
        <v>1454</v>
      </c>
      <c r="C34" s="41"/>
    </row>
    <row r="35">
      <c r="A35" s="39">
        <v>5.0</v>
      </c>
      <c r="B35" s="40" t="s">
        <v>1455</v>
      </c>
      <c r="C35" s="41"/>
    </row>
    <row r="36">
      <c r="A36" s="39">
        <v>6.0</v>
      </c>
      <c r="B36" s="40" t="s">
        <v>1456</v>
      </c>
      <c r="C36" s="41"/>
    </row>
    <row r="37">
      <c r="A37" s="39">
        <v>7.0</v>
      </c>
      <c r="B37" s="40" t="s">
        <v>1457</v>
      </c>
      <c r="C37" s="41"/>
    </row>
    <row r="38">
      <c r="A38" s="39">
        <v>8.0</v>
      </c>
      <c r="B38" s="40" t="s">
        <v>1458</v>
      </c>
      <c r="C38" s="41"/>
    </row>
    <row r="39">
      <c r="A39" s="43">
        <v>9.0</v>
      </c>
      <c r="B39" s="49" t="s">
        <v>1459</v>
      </c>
      <c r="C39" s="45"/>
    </row>
    <row r="40">
      <c r="A40" s="35"/>
      <c r="B40" s="35"/>
      <c r="C40" s="35"/>
    </row>
    <row r="41">
      <c r="A41" s="34" t="s">
        <v>760</v>
      </c>
    </row>
    <row r="42">
      <c r="A42" s="35"/>
      <c r="B42" s="35"/>
      <c r="C42" s="35"/>
    </row>
    <row r="43">
      <c r="A43" s="36" t="s">
        <v>749</v>
      </c>
      <c r="B43" s="37" t="s">
        <v>757</v>
      </c>
      <c r="C43" s="38"/>
    </row>
    <row r="44">
      <c r="A44" s="39">
        <v>1.0</v>
      </c>
      <c r="B44" s="40" t="s">
        <v>1460</v>
      </c>
      <c r="C44" s="41"/>
    </row>
    <row r="45">
      <c r="A45" s="39">
        <v>2.0</v>
      </c>
      <c r="B45" s="40" t="s">
        <v>1461</v>
      </c>
      <c r="C45" s="41"/>
    </row>
    <row r="46">
      <c r="A46" s="39">
        <v>3.0</v>
      </c>
      <c r="B46" s="40" t="s">
        <v>1462</v>
      </c>
      <c r="C46" s="41"/>
    </row>
    <row r="47">
      <c r="A47" s="39">
        <v>4.0</v>
      </c>
      <c r="B47" s="40" t="s">
        <v>1463</v>
      </c>
      <c r="C47" s="41"/>
    </row>
    <row r="48">
      <c r="A48" s="43">
        <v>5.0</v>
      </c>
      <c r="B48" s="49" t="s">
        <v>1464</v>
      </c>
      <c r="C48" s="45"/>
    </row>
    <row r="49">
      <c r="A49" s="35"/>
      <c r="B49" s="35"/>
      <c r="C49" s="35"/>
    </row>
    <row r="50">
      <c r="A50" s="34" t="s">
        <v>763</v>
      </c>
    </row>
    <row r="51">
      <c r="A51" s="35"/>
      <c r="B51" s="35"/>
      <c r="C51" s="35"/>
    </row>
    <row r="52">
      <c r="A52" s="36" t="s">
        <v>749</v>
      </c>
      <c r="B52" s="37" t="s">
        <v>757</v>
      </c>
      <c r="C52" s="38"/>
    </row>
    <row r="53">
      <c r="A53" s="39">
        <v>1.0</v>
      </c>
      <c r="B53" s="40" t="s">
        <v>1465</v>
      </c>
      <c r="C53" s="41"/>
    </row>
    <row r="54">
      <c r="A54" s="39">
        <v>2.0</v>
      </c>
      <c r="B54" s="40" t="s">
        <v>1466</v>
      </c>
      <c r="C54" s="41"/>
    </row>
    <row r="55">
      <c r="A55" s="39">
        <v>3.0</v>
      </c>
      <c r="B55" s="40" t="s">
        <v>1467</v>
      </c>
      <c r="C55" s="41"/>
    </row>
    <row r="56">
      <c r="A56" s="39">
        <v>4.0</v>
      </c>
      <c r="B56" s="40" t="s">
        <v>1468</v>
      </c>
      <c r="C56" s="41"/>
    </row>
    <row r="57">
      <c r="A57" s="39">
        <v>5.0</v>
      </c>
      <c r="B57" s="40" t="s">
        <v>1469</v>
      </c>
      <c r="C57" s="41"/>
    </row>
    <row r="58">
      <c r="A58" s="39">
        <v>6.0</v>
      </c>
      <c r="B58" s="40" t="s">
        <v>1470</v>
      </c>
      <c r="C58" s="41"/>
    </row>
    <row r="59">
      <c r="A59" s="43">
        <v>7.0</v>
      </c>
      <c r="B59" s="49" t="s">
        <v>1471</v>
      </c>
      <c r="C59" s="45"/>
    </row>
  </sheetData>
  <mergeCells count="7">
    <mergeCell ref="A1:C1"/>
    <mergeCell ref="A11:C11"/>
    <mergeCell ref="A13:C13"/>
    <mergeCell ref="A15:C15"/>
    <mergeCell ref="A28:C28"/>
    <mergeCell ref="A41:C41"/>
    <mergeCell ref="A50:C50"/>
  </mergeCells>
  <hyperlinks>
    <hyperlink r:id="rId1" ref="B9"/>
  </hyperlinks>
  <drawing r:id="rId2"/>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2" max="2" width="87.63"/>
    <col customWidth="1" min="3" max="3" width="20.13"/>
  </cols>
  <sheetData>
    <row r="1">
      <c r="A1" s="34" t="s">
        <v>742</v>
      </c>
    </row>
    <row r="2">
      <c r="A2" s="35"/>
      <c r="B2" s="35"/>
      <c r="C2" s="35"/>
    </row>
    <row r="3">
      <c r="A3" s="36" t="s">
        <v>743</v>
      </c>
      <c r="B3" s="37" t="s">
        <v>744</v>
      </c>
      <c r="C3" s="38"/>
    </row>
    <row r="4">
      <c r="A4" s="39" t="s">
        <v>6</v>
      </c>
      <c r="B4" s="40" t="s">
        <v>128</v>
      </c>
      <c r="C4" s="41"/>
    </row>
    <row r="5">
      <c r="A5" s="39" t="s">
        <v>745</v>
      </c>
      <c r="B5" s="42">
        <v>46127.0</v>
      </c>
      <c r="C5" s="41"/>
    </row>
    <row r="6">
      <c r="A6" s="39" t="s">
        <v>0</v>
      </c>
      <c r="B6" s="40" t="s">
        <v>76</v>
      </c>
      <c r="C6" s="41"/>
    </row>
    <row r="7">
      <c r="A7" s="39" t="s">
        <v>7</v>
      </c>
      <c r="B7" s="40" t="s">
        <v>129</v>
      </c>
      <c r="C7" s="41"/>
    </row>
    <row r="8">
      <c r="A8" s="39" t="s">
        <v>746</v>
      </c>
      <c r="B8" s="40">
        <v>3.0</v>
      </c>
      <c r="C8" s="41"/>
    </row>
    <row r="9">
      <c r="A9" s="43" t="s">
        <v>8</v>
      </c>
      <c r="B9" s="44" t="s">
        <v>130</v>
      </c>
      <c r="C9" s="45"/>
    </row>
    <row r="10">
      <c r="A10" s="35"/>
      <c r="B10" s="35"/>
      <c r="C10" s="35"/>
    </row>
    <row r="11">
      <c r="A11" s="34" t="s">
        <v>747</v>
      </c>
    </row>
    <row r="12">
      <c r="A12" s="35"/>
      <c r="B12" s="35"/>
      <c r="C12" s="35"/>
    </row>
    <row r="13">
      <c r="A13" s="46" t="s">
        <v>1472</v>
      </c>
    </row>
    <row r="14">
      <c r="A14" s="35"/>
      <c r="B14" s="35"/>
      <c r="C14" s="35"/>
    </row>
    <row r="15">
      <c r="A15" s="34" t="s">
        <v>748</v>
      </c>
    </row>
    <row r="16">
      <c r="A16" s="35"/>
      <c r="B16" s="35"/>
      <c r="C16" s="35"/>
    </row>
    <row r="17">
      <c r="A17" s="36" t="s">
        <v>749</v>
      </c>
      <c r="B17" s="37" t="s">
        <v>750</v>
      </c>
      <c r="C17" s="47" t="s">
        <v>751</v>
      </c>
    </row>
    <row r="18">
      <c r="A18" s="39">
        <v>1.0</v>
      </c>
      <c r="B18" s="40" t="s">
        <v>1473</v>
      </c>
      <c r="C18" s="48" t="s">
        <v>753</v>
      </c>
    </row>
    <row r="19">
      <c r="A19" s="39">
        <v>2.0</v>
      </c>
      <c r="B19" s="40" t="s">
        <v>1474</v>
      </c>
      <c r="C19" s="48" t="s">
        <v>753</v>
      </c>
    </row>
    <row r="20">
      <c r="A20" s="39">
        <v>3.0</v>
      </c>
      <c r="B20" s="40" t="s">
        <v>1475</v>
      </c>
      <c r="C20" s="48" t="s">
        <v>1476</v>
      </c>
    </row>
    <row r="21">
      <c r="A21" s="39">
        <v>4.0</v>
      </c>
      <c r="B21" s="40" t="s">
        <v>1477</v>
      </c>
      <c r="C21" s="48" t="s">
        <v>1478</v>
      </c>
    </row>
    <row r="22">
      <c r="A22" s="39">
        <v>5.0</v>
      </c>
      <c r="B22" s="40" t="s">
        <v>1479</v>
      </c>
      <c r="C22" s="48" t="s">
        <v>1478</v>
      </c>
    </row>
    <row r="23">
      <c r="A23" s="39">
        <v>6.0</v>
      </c>
      <c r="B23" s="40" t="s">
        <v>1480</v>
      </c>
      <c r="C23" s="48" t="s">
        <v>1478</v>
      </c>
    </row>
    <row r="24">
      <c r="A24" s="39">
        <v>7.0</v>
      </c>
      <c r="B24" s="40" t="s">
        <v>1481</v>
      </c>
      <c r="C24" s="48" t="s">
        <v>753</v>
      </c>
    </row>
    <row r="25">
      <c r="A25" s="39">
        <v>8.0</v>
      </c>
      <c r="B25" s="40" t="s">
        <v>1482</v>
      </c>
      <c r="C25" s="48" t="s">
        <v>753</v>
      </c>
    </row>
    <row r="26">
      <c r="A26" s="39">
        <v>9.0</v>
      </c>
      <c r="B26" s="40" t="s">
        <v>1483</v>
      </c>
      <c r="C26" s="48" t="s">
        <v>753</v>
      </c>
    </row>
    <row r="27">
      <c r="A27" s="39">
        <v>10.0</v>
      </c>
      <c r="B27" s="40" t="s">
        <v>1484</v>
      </c>
      <c r="C27" s="48" t="s">
        <v>753</v>
      </c>
    </row>
    <row r="28">
      <c r="A28" s="39">
        <v>11.0</v>
      </c>
      <c r="B28" s="40" t="s">
        <v>1485</v>
      </c>
      <c r="C28" s="48" t="s">
        <v>753</v>
      </c>
    </row>
    <row r="29">
      <c r="A29" s="39">
        <v>12.0</v>
      </c>
      <c r="B29" s="40" t="s">
        <v>1486</v>
      </c>
      <c r="C29" s="48" t="s">
        <v>753</v>
      </c>
    </row>
    <row r="30">
      <c r="A30" s="39">
        <v>13.0</v>
      </c>
      <c r="B30" s="40" t="s">
        <v>1487</v>
      </c>
      <c r="C30" s="48" t="s">
        <v>1488</v>
      </c>
    </row>
    <row r="31">
      <c r="A31" s="39">
        <v>14.0</v>
      </c>
      <c r="B31" s="40" t="s">
        <v>1489</v>
      </c>
      <c r="C31" s="48" t="s">
        <v>1490</v>
      </c>
    </row>
    <row r="32">
      <c r="A32" s="43">
        <v>15.0</v>
      </c>
      <c r="B32" s="49" t="s">
        <v>1491</v>
      </c>
      <c r="C32" s="50" t="s">
        <v>753</v>
      </c>
    </row>
    <row r="33">
      <c r="A33" s="35"/>
      <c r="B33" s="35"/>
      <c r="C33" s="35"/>
    </row>
    <row r="34">
      <c r="A34" s="34" t="s">
        <v>756</v>
      </c>
    </row>
    <row r="35">
      <c r="A35" s="35"/>
      <c r="B35" s="35"/>
      <c r="C35" s="35"/>
    </row>
    <row r="36">
      <c r="A36" s="36" t="s">
        <v>749</v>
      </c>
      <c r="B36" s="37" t="s">
        <v>757</v>
      </c>
      <c r="C36" s="38"/>
    </row>
    <row r="37">
      <c r="A37" s="39">
        <v>1.0</v>
      </c>
      <c r="B37" s="40" t="s">
        <v>1492</v>
      </c>
      <c r="C37" s="41"/>
    </row>
    <row r="38">
      <c r="A38" s="39">
        <v>2.0</v>
      </c>
      <c r="B38" s="40" t="s">
        <v>1493</v>
      </c>
      <c r="C38" s="41"/>
    </row>
    <row r="39">
      <c r="A39" s="39">
        <v>3.0</v>
      </c>
      <c r="B39" s="40" t="s">
        <v>1494</v>
      </c>
      <c r="C39" s="41"/>
    </row>
    <row r="40">
      <c r="A40" s="39">
        <v>4.0</v>
      </c>
      <c r="B40" s="40" t="s">
        <v>1495</v>
      </c>
      <c r="C40" s="41"/>
    </row>
    <row r="41">
      <c r="A41" s="39">
        <v>5.0</v>
      </c>
      <c r="B41" s="40" t="s">
        <v>1496</v>
      </c>
      <c r="C41" s="41"/>
    </row>
    <row r="42">
      <c r="A42" s="39">
        <v>6.0</v>
      </c>
      <c r="B42" s="40" t="s">
        <v>1497</v>
      </c>
      <c r="C42" s="41"/>
    </row>
    <row r="43">
      <c r="A43" s="43">
        <v>7.0</v>
      </c>
      <c r="B43" s="49" t="s">
        <v>1498</v>
      </c>
      <c r="C43" s="45"/>
    </row>
    <row r="44">
      <c r="A44" s="35"/>
      <c r="B44" s="35"/>
      <c r="C44" s="35"/>
    </row>
    <row r="45">
      <c r="A45" s="34" t="s">
        <v>760</v>
      </c>
    </row>
    <row r="46">
      <c r="A46" s="35"/>
      <c r="B46" s="35"/>
      <c r="C46" s="35"/>
    </row>
    <row r="47">
      <c r="A47" s="36" t="s">
        <v>749</v>
      </c>
      <c r="B47" s="37" t="s">
        <v>757</v>
      </c>
      <c r="C47" s="38"/>
    </row>
    <row r="48">
      <c r="A48" s="39">
        <v>1.0</v>
      </c>
      <c r="B48" s="40" t="s">
        <v>1499</v>
      </c>
      <c r="C48" s="41"/>
    </row>
    <row r="49">
      <c r="A49" s="39">
        <v>2.0</v>
      </c>
      <c r="B49" s="40" t="s">
        <v>1500</v>
      </c>
      <c r="C49" s="41"/>
    </row>
    <row r="50">
      <c r="A50" s="39">
        <v>3.0</v>
      </c>
      <c r="B50" s="40" t="s">
        <v>1501</v>
      </c>
      <c r="C50" s="41"/>
    </row>
    <row r="51">
      <c r="A51" s="39">
        <v>4.0</v>
      </c>
      <c r="B51" s="40" t="s">
        <v>1502</v>
      </c>
      <c r="C51" s="41"/>
    </row>
    <row r="52">
      <c r="A52" s="39">
        <v>5.0</v>
      </c>
      <c r="B52" s="40" t="s">
        <v>1503</v>
      </c>
      <c r="C52" s="41"/>
    </row>
    <row r="53">
      <c r="A53" s="39">
        <v>6.0</v>
      </c>
      <c r="B53" s="40" t="s">
        <v>1504</v>
      </c>
      <c r="C53" s="41"/>
    </row>
    <row r="54">
      <c r="A54" s="39">
        <v>7.0</v>
      </c>
      <c r="B54" s="40" t="s">
        <v>1505</v>
      </c>
      <c r="C54" s="41"/>
    </row>
    <row r="55">
      <c r="A55" s="43">
        <v>8.0</v>
      </c>
      <c r="B55" s="49" t="s">
        <v>1506</v>
      </c>
      <c r="C55" s="45"/>
    </row>
    <row r="56">
      <c r="A56" s="35"/>
      <c r="B56" s="35"/>
      <c r="C56" s="35"/>
    </row>
    <row r="57">
      <c r="A57" s="34" t="s">
        <v>763</v>
      </c>
    </row>
    <row r="58">
      <c r="A58" s="35"/>
      <c r="B58" s="35"/>
      <c r="C58" s="35"/>
    </row>
    <row r="59">
      <c r="A59" s="36" t="s">
        <v>749</v>
      </c>
      <c r="B59" s="37" t="s">
        <v>757</v>
      </c>
      <c r="C59" s="38"/>
    </row>
    <row r="60">
      <c r="A60" s="39">
        <v>1.0</v>
      </c>
      <c r="B60" s="40" t="s">
        <v>1507</v>
      </c>
      <c r="C60" s="41"/>
    </row>
    <row r="61">
      <c r="A61" s="39">
        <v>2.0</v>
      </c>
      <c r="B61" s="40" t="s">
        <v>1508</v>
      </c>
      <c r="C61" s="41"/>
    </row>
    <row r="62">
      <c r="A62" s="39">
        <v>3.0</v>
      </c>
      <c r="B62" s="40" t="s">
        <v>1509</v>
      </c>
      <c r="C62" s="41"/>
    </row>
    <row r="63">
      <c r="A63" s="39">
        <v>4.0</v>
      </c>
      <c r="B63" s="40" t="s">
        <v>1510</v>
      </c>
      <c r="C63" s="41"/>
    </row>
    <row r="64">
      <c r="A64" s="39">
        <v>5.0</v>
      </c>
      <c r="B64" s="40" t="s">
        <v>1511</v>
      </c>
      <c r="C64" s="41"/>
    </row>
    <row r="65">
      <c r="A65" s="39">
        <v>6.0</v>
      </c>
      <c r="B65" s="40" t="s">
        <v>1512</v>
      </c>
      <c r="C65" s="41"/>
    </row>
    <row r="66">
      <c r="A66" s="39">
        <v>7.0</v>
      </c>
      <c r="B66" s="40" t="s">
        <v>1513</v>
      </c>
      <c r="C66" s="41"/>
    </row>
    <row r="67">
      <c r="A67" s="43">
        <v>8.0</v>
      </c>
      <c r="B67" s="49" t="s">
        <v>1514</v>
      </c>
      <c r="C67" s="45"/>
    </row>
  </sheetData>
  <mergeCells count="7">
    <mergeCell ref="A1:C1"/>
    <mergeCell ref="A11:C11"/>
    <mergeCell ref="A13:C13"/>
    <mergeCell ref="A15:C15"/>
    <mergeCell ref="A34:C34"/>
    <mergeCell ref="A45:C45"/>
    <mergeCell ref="A57:C57"/>
  </mergeCells>
  <hyperlinks>
    <hyperlink r:id="rId1" ref="B9"/>
  </hyperlinks>
  <drawing r:id="rId2"/>
</worksheet>
</file>

<file path=xl/worksheets/sheet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2" max="2" width="87.63"/>
    <col customWidth="1" min="3" max="3" width="20.13"/>
  </cols>
  <sheetData>
    <row r="1">
      <c r="A1" s="34" t="s">
        <v>742</v>
      </c>
    </row>
    <row r="2">
      <c r="A2" s="35"/>
      <c r="B2" s="35"/>
      <c r="C2" s="35"/>
    </row>
    <row r="3">
      <c r="A3" s="36" t="s">
        <v>743</v>
      </c>
      <c r="B3" s="37" t="s">
        <v>744</v>
      </c>
      <c r="C3" s="38"/>
    </row>
    <row r="4">
      <c r="A4" s="39" t="s">
        <v>6</v>
      </c>
      <c r="B4" s="40" t="s">
        <v>133</v>
      </c>
      <c r="C4" s="41"/>
    </row>
    <row r="5">
      <c r="A5" s="39" t="s">
        <v>745</v>
      </c>
      <c r="B5" s="42">
        <v>46129.0</v>
      </c>
      <c r="C5" s="41"/>
    </row>
    <row r="6">
      <c r="A6" s="39" t="s">
        <v>0</v>
      </c>
      <c r="B6" s="40" t="s">
        <v>76</v>
      </c>
      <c r="C6" s="41"/>
    </row>
    <row r="7">
      <c r="A7" s="39" t="s">
        <v>7</v>
      </c>
      <c r="B7" s="40" t="s">
        <v>134</v>
      </c>
      <c r="C7" s="41"/>
    </row>
    <row r="8">
      <c r="A8" s="39" t="s">
        <v>746</v>
      </c>
      <c r="B8" s="40">
        <v>2.0</v>
      </c>
      <c r="C8" s="41"/>
    </row>
    <row r="9">
      <c r="A9" s="43" t="s">
        <v>8</v>
      </c>
      <c r="B9" s="44" t="s">
        <v>135</v>
      </c>
      <c r="C9" s="45"/>
    </row>
    <row r="10">
      <c r="A10" s="35"/>
      <c r="B10" s="35"/>
      <c r="C10" s="35"/>
    </row>
    <row r="11">
      <c r="A11" s="34" t="s">
        <v>747</v>
      </c>
    </row>
    <row r="12">
      <c r="A12" s="35"/>
      <c r="B12" s="35"/>
      <c r="C12" s="35"/>
    </row>
    <row r="13">
      <c r="A13" s="46" t="s">
        <v>136</v>
      </c>
    </row>
    <row r="14">
      <c r="A14" s="35"/>
      <c r="B14" s="35"/>
      <c r="C14" s="35"/>
    </row>
    <row r="15">
      <c r="A15" s="34" t="s">
        <v>748</v>
      </c>
    </row>
    <row r="16">
      <c r="A16" s="35"/>
      <c r="B16" s="35"/>
      <c r="C16" s="35"/>
    </row>
    <row r="17">
      <c r="A17" s="36" t="s">
        <v>749</v>
      </c>
      <c r="B17" s="37" t="s">
        <v>750</v>
      </c>
      <c r="C17" s="47" t="s">
        <v>751</v>
      </c>
    </row>
    <row r="18">
      <c r="A18" s="39">
        <v>1.0</v>
      </c>
      <c r="B18" s="40" t="s">
        <v>1515</v>
      </c>
      <c r="C18" s="48" t="s">
        <v>753</v>
      </c>
    </row>
    <row r="19">
      <c r="A19" s="39">
        <v>2.0</v>
      </c>
      <c r="B19" s="40" t="s">
        <v>1516</v>
      </c>
      <c r="C19" s="48" t="s">
        <v>1517</v>
      </c>
    </row>
    <row r="20">
      <c r="A20" s="39">
        <v>3.0</v>
      </c>
      <c r="B20" s="40" t="s">
        <v>1518</v>
      </c>
      <c r="C20" s="48" t="s">
        <v>753</v>
      </c>
    </row>
    <row r="21">
      <c r="A21" s="39">
        <v>4.0</v>
      </c>
      <c r="B21" s="40" t="s">
        <v>1519</v>
      </c>
      <c r="C21" s="48" t="s">
        <v>1520</v>
      </c>
    </row>
    <row r="22">
      <c r="A22" s="39">
        <v>5.0</v>
      </c>
      <c r="B22" s="40" t="s">
        <v>1521</v>
      </c>
      <c r="C22" s="48" t="s">
        <v>753</v>
      </c>
    </row>
    <row r="23">
      <c r="A23" s="43">
        <v>6.0</v>
      </c>
      <c r="B23" s="49" t="s">
        <v>1522</v>
      </c>
      <c r="C23" s="50" t="s">
        <v>753</v>
      </c>
    </row>
    <row r="24">
      <c r="A24" s="35"/>
      <c r="B24" s="35"/>
      <c r="C24" s="35"/>
    </row>
    <row r="25">
      <c r="A25" s="34" t="s">
        <v>756</v>
      </c>
    </row>
    <row r="26">
      <c r="A26" s="35"/>
      <c r="B26" s="35"/>
      <c r="C26" s="35"/>
    </row>
    <row r="27">
      <c r="A27" s="36" t="s">
        <v>749</v>
      </c>
      <c r="B27" s="37" t="s">
        <v>757</v>
      </c>
      <c r="C27" s="38"/>
    </row>
    <row r="28">
      <c r="A28" s="39">
        <v>1.0</v>
      </c>
      <c r="B28" s="40" t="s">
        <v>1523</v>
      </c>
      <c r="C28" s="41"/>
    </row>
    <row r="29">
      <c r="A29" s="39">
        <v>2.0</v>
      </c>
      <c r="B29" s="40" t="s">
        <v>1524</v>
      </c>
      <c r="C29" s="41"/>
    </row>
    <row r="30">
      <c r="A30" s="39">
        <v>3.0</v>
      </c>
      <c r="B30" s="40" t="s">
        <v>1525</v>
      </c>
      <c r="C30" s="41"/>
    </row>
    <row r="31">
      <c r="A31" s="43">
        <v>4.0</v>
      </c>
      <c r="B31" s="49" t="s">
        <v>1526</v>
      </c>
      <c r="C31" s="45"/>
    </row>
    <row r="32">
      <c r="A32" s="35"/>
      <c r="B32" s="35"/>
      <c r="C32" s="35"/>
    </row>
    <row r="33">
      <c r="A33" s="34" t="s">
        <v>760</v>
      </c>
    </row>
    <row r="34">
      <c r="A34" s="35"/>
      <c r="B34" s="35"/>
      <c r="C34" s="35"/>
    </row>
    <row r="35">
      <c r="A35" s="36" t="s">
        <v>749</v>
      </c>
      <c r="B35" s="37" t="s">
        <v>757</v>
      </c>
      <c r="C35" s="38"/>
    </row>
    <row r="36">
      <c r="A36" s="39">
        <v>1.0</v>
      </c>
      <c r="B36" s="40" t="s">
        <v>1527</v>
      </c>
      <c r="C36" s="41"/>
    </row>
    <row r="37">
      <c r="A37" s="39">
        <v>2.0</v>
      </c>
      <c r="B37" s="40" t="s">
        <v>1528</v>
      </c>
      <c r="C37" s="41"/>
    </row>
    <row r="38">
      <c r="A38" s="43">
        <v>3.0</v>
      </c>
      <c r="B38" s="49" t="s">
        <v>1529</v>
      </c>
      <c r="C38" s="45"/>
    </row>
    <row r="39">
      <c r="A39" s="35"/>
      <c r="B39" s="35"/>
      <c r="C39" s="35"/>
    </row>
    <row r="40">
      <c r="A40" s="34" t="s">
        <v>763</v>
      </c>
    </row>
    <row r="41">
      <c r="A41" s="35"/>
      <c r="B41" s="35"/>
      <c r="C41" s="35"/>
    </row>
    <row r="42">
      <c r="A42" s="36" t="s">
        <v>749</v>
      </c>
      <c r="B42" s="37" t="s">
        <v>757</v>
      </c>
      <c r="C42" s="38"/>
    </row>
    <row r="43">
      <c r="A43" s="39">
        <v>1.0</v>
      </c>
      <c r="B43" s="40" t="s">
        <v>1530</v>
      </c>
      <c r="C43" s="41"/>
    </row>
    <row r="44">
      <c r="A44" s="39">
        <v>2.0</v>
      </c>
      <c r="B44" s="40" t="s">
        <v>1531</v>
      </c>
      <c r="C44" s="41"/>
    </row>
    <row r="45">
      <c r="A45" s="39">
        <v>3.0</v>
      </c>
      <c r="B45" s="40" t="s">
        <v>1532</v>
      </c>
      <c r="C45" s="41"/>
    </row>
    <row r="46">
      <c r="A46" s="39">
        <v>4.0</v>
      </c>
      <c r="B46" s="40" t="s">
        <v>1533</v>
      </c>
      <c r="C46" s="41"/>
    </row>
    <row r="47">
      <c r="A47" s="43">
        <v>5.0</v>
      </c>
      <c r="B47" s="49" t="s">
        <v>1534</v>
      </c>
      <c r="C47" s="45"/>
    </row>
  </sheetData>
  <mergeCells count="7">
    <mergeCell ref="A1:C1"/>
    <mergeCell ref="A11:C11"/>
    <mergeCell ref="A13:C13"/>
    <mergeCell ref="A15:C15"/>
    <mergeCell ref="A25:C25"/>
    <mergeCell ref="A33:C33"/>
    <mergeCell ref="A40:C40"/>
  </mergeCells>
  <hyperlinks>
    <hyperlink r:id="rId1" ref="B9"/>
  </hyperlinks>
  <drawing r:id="rId2"/>
</worksheet>
</file>

<file path=xl/worksheets/sheet2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2" max="2" width="87.63"/>
    <col customWidth="1" min="3" max="3" width="20.13"/>
  </cols>
  <sheetData>
    <row r="1">
      <c r="A1" s="34" t="s">
        <v>742</v>
      </c>
    </row>
    <row r="2">
      <c r="A2" s="35"/>
      <c r="B2" s="35"/>
      <c r="C2" s="35"/>
    </row>
    <row r="3">
      <c r="A3" s="36" t="s">
        <v>743</v>
      </c>
      <c r="B3" s="37" t="s">
        <v>744</v>
      </c>
      <c r="C3" s="38"/>
    </row>
    <row r="4">
      <c r="A4" s="39" t="s">
        <v>6</v>
      </c>
      <c r="B4" s="40" t="s">
        <v>138</v>
      </c>
      <c r="C4" s="41"/>
    </row>
    <row r="5">
      <c r="A5" s="39" t="s">
        <v>745</v>
      </c>
      <c r="B5" s="42">
        <v>46129.0</v>
      </c>
      <c r="C5" s="41"/>
    </row>
    <row r="6">
      <c r="A6" s="39" t="s">
        <v>0</v>
      </c>
      <c r="B6" s="40" t="s">
        <v>76</v>
      </c>
      <c r="C6" s="41"/>
    </row>
    <row r="7">
      <c r="A7" s="39" t="s">
        <v>7</v>
      </c>
      <c r="B7" s="40" t="s">
        <v>139</v>
      </c>
      <c r="C7" s="41"/>
    </row>
    <row r="8">
      <c r="A8" s="39" t="s">
        <v>746</v>
      </c>
      <c r="B8" s="40">
        <v>5.0</v>
      </c>
      <c r="C8" s="41"/>
    </row>
    <row r="9">
      <c r="A9" s="43" t="s">
        <v>8</v>
      </c>
      <c r="B9" s="44" t="s">
        <v>140</v>
      </c>
      <c r="C9" s="45"/>
    </row>
    <row r="10">
      <c r="A10" s="35"/>
      <c r="B10" s="35"/>
      <c r="C10" s="35"/>
    </row>
    <row r="11">
      <c r="A11" s="34" t="s">
        <v>747</v>
      </c>
    </row>
    <row r="12">
      <c r="A12" s="35"/>
      <c r="B12" s="35"/>
      <c r="C12" s="35"/>
    </row>
    <row r="13">
      <c r="A13" s="46" t="s">
        <v>1535</v>
      </c>
    </row>
    <row r="14">
      <c r="A14" s="35"/>
      <c r="B14" s="35"/>
      <c r="C14" s="35"/>
    </row>
    <row r="15">
      <c r="A15" s="34" t="s">
        <v>748</v>
      </c>
    </row>
    <row r="16">
      <c r="A16" s="35"/>
      <c r="B16" s="35"/>
      <c r="C16" s="35"/>
    </row>
    <row r="17">
      <c r="A17" s="36" t="s">
        <v>749</v>
      </c>
      <c r="B17" s="37" t="s">
        <v>750</v>
      </c>
      <c r="C17" s="47" t="s">
        <v>751</v>
      </c>
    </row>
    <row r="18">
      <c r="A18" s="39">
        <v>1.0</v>
      </c>
      <c r="B18" s="40" t="s">
        <v>1536</v>
      </c>
      <c r="C18" s="48" t="s">
        <v>1537</v>
      </c>
    </row>
    <row r="19">
      <c r="A19" s="39">
        <v>2.0</v>
      </c>
      <c r="B19" s="40" t="s">
        <v>1538</v>
      </c>
      <c r="C19" s="48" t="s">
        <v>1537</v>
      </c>
    </row>
    <row r="20">
      <c r="A20" s="39">
        <v>3.0</v>
      </c>
      <c r="B20" s="40" t="s">
        <v>1539</v>
      </c>
      <c r="C20" s="48" t="s">
        <v>1537</v>
      </c>
    </row>
    <row r="21">
      <c r="A21" s="39">
        <v>4.0</v>
      </c>
      <c r="B21" s="40" t="s">
        <v>1540</v>
      </c>
      <c r="C21" s="48" t="s">
        <v>1537</v>
      </c>
    </row>
    <row r="22">
      <c r="A22" s="39">
        <v>5.0</v>
      </c>
      <c r="B22" s="40" t="s">
        <v>1541</v>
      </c>
      <c r="C22" s="48" t="s">
        <v>1537</v>
      </c>
    </row>
    <row r="23">
      <c r="A23" s="39">
        <v>6.0</v>
      </c>
      <c r="B23" s="40" t="s">
        <v>1542</v>
      </c>
      <c r="C23" s="48" t="s">
        <v>1537</v>
      </c>
    </row>
    <row r="24">
      <c r="A24" s="39">
        <v>7.0</v>
      </c>
      <c r="B24" s="40" t="s">
        <v>1543</v>
      </c>
      <c r="C24" s="48" t="s">
        <v>1544</v>
      </c>
    </row>
    <row r="25">
      <c r="A25" s="39">
        <v>8.0</v>
      </c>
      <c r="B25" s="40" t="s">
        <v>1545</v>
      </c>
      <c r="C25" s="48" t="s">
        <v>1546</v>
      </c>
    </row>
    <row r="26">
      <c r="A26" s="39">
        <v>9.0</v>
      </c>
      <c r="B26" s="40" t="s">
        <v>1547</v>
      </c>
      <c r="C26" s="48" t="s">
        <v>1537</v>
      </c>
    </row>
    <row r="27">
      <c r="A27" s="39">
        <v>10.0</v>
      </c>
      <c r="B27" s="40" t="s">
        <v>1548</v>
      </c>
      <c r="C27" s="48" t="s">
        <v>1537</v>
      </c>
    </row>
    <row r="28">
      <c r="A28" s="39">
        <v>11.0</v>
      </c>
      <c r="B28" s="40" t="s">
        <v>1549</v>
      </c>
      <c r="C28" s="48" t="s">
        <v>1550</v>
      </c>
    </row>
    <row r="29">
      <c r="A29" s="39">
        <v>12.0</v>
      </c>
      <c r="B29" s="40" t="s">
        <v>1551</v>
      </c>
      <c r="C29" s="48" t="s">
        <v>1552</v>
      </c>
    </row>
    <row r="30">
      <c r="A30" s="39">
        <v>13.0</v>
      </c>
      <c r="B30" s="40" t="s">
        <v>1553</v>
      </c>
      <c r="C30" s="48" t="s">
        <v>1537</v>
      </c>
    </row>
    <row r="31">
      <c r="A31" s="39">
        <v>14.0</v>
      </c>
      <c r="B31" s="40" t="s">
        <v>1554</v>
      </c>
      <c r="C31" s="48" t="s">
        <v>1490</v>
      </c>
    </row>
    <row r="32">
      <c r="A32" s="39">
        <v>15.0</v>
      </c>
      <c r="B32" s="40" t="s">
        <v>1555</v>
      </c>
      <c r="C32" s="48" t="s">
        <v>1556</v>
      </c>
    </row>
    <row r="33">
      <c r="A33" s="39">
        <v>16.0</v>
      </c>
      <c r="B33" s="40" t="s">
        <v>1557</v>
      </c>
      <c r="C33" s="48" t="s">
        <v>1558</v>
      </c>
    </row>
    <row r="34">
      <c r="A34" s="39">
        <v>17.0</v>
      </c>
      <c r="B34" s="40" t="s">
        <v>1559</v>
      </c>
      <c r="C34" s="48" t="s">
        <v>1558</v>
      </c>
    </row>
    <row r="35">
      <c r="A35" s="39">
        <v>18.0</v>
      </c>
      <c r="B35" s="40" t="s">
        <v>1560</v>
      </c>
      <c r="C35" s="48" t="s">
        <v>1558</v>
      </c>
    </row>
    <row r="36">
      <c r="A36" s="39">
        <v>19.0</v>
      </c>
      <c r="B36" s="40" t="s">
        <v>1561</v>
      </c>
      <c r="C36" s="48" t="s">
        <v>1537</v>
      </c>
    </row>
    <row r="37">
      <c r="A37" s="39">
        <v>20.0</v>
      </c>
      <c r="B37" s="40" t="s">
        <v>1562</v>
      </c>
      <c r="C37" s="48" t="s">
        <v>1537</v>
      </c>
    </row>
    <row r="38">
      <c r="A38" s="43">
        <v>21.0</v>
      </c>
      <c r="B38" s="49" t="s">
        <v>1563</v>
      </c>
      <c r="C38" s="50" t="s">
        <v>1537</v>
      </c>
    </row>
    <row r="39">
      <c r="A39" s="35"/>
      <c r="B39" s="35"/>
      <c r="C39" s="35"/>
    </row>
    <row r="40">
      <c r="A40" s="34" t="s">
        <v>756</v>
      </c>
    </row>
    <row r="41">
      <c r="A41" s="35"/>
      <c r="B41" s="35"/>
      <c r="C41" s="35"/>
    </row>
    <row r="42">
      <c r="A42" s="36" t="s">
        <v>749</v>
      </c>
      <c r="B42" s="37" t="s">
        <v>757</v>
      </c>
      <c r="C42" s="38"/>
    </row>
    <row r="43">
      <c r="A43" s="39">
        <v>1.0</v>
      </c>
      <c r="B43" s="40" t="s">
        <v>1564</v>
      </c>
      <c r="C43" s="41"/>
    </row>
    <row r="44">
      <c r="A44" s="39">
        <v>2.0</v>
      </c>
      <c r="B44" s="40" t="s">
        <v>1565</v>
      </c>
      <c r="C44" s="41"/>
    </row>
    <row r="45">
      <c r="A45" s="39">
        <v>3.0</v>
      </c>
      <c r="B45" s="40" t="s">
        <v>1566</v>
      </c>
      <c r="C45" s="41"/>
    </row>
    <row r="46">
      <c r="A46" s="39">
        <v>4.0</v>
      </c>
      <c r="B46" s="40" t="s">
        <v>1567</v>
      </c>
      <c r="C46" s="41"/>
    </row>
    <row r="47">
      <c r="A47" s="39">
        <v>5.0</v>
      </c>
      <c r="B47" s="40" t="s">
        <v>1568</v>
      </c>
      <c r="C47" s="41"/>
    </row>
    <row r="48">
      <c r="A48" s="39">
        <v>6.0</v>
      </c>
      <c r="B48" s="40" t="s">
        <v>1569</v>
      </c>
      <c r="C48" s="41"/>
    </row>
    <row r="49">
      <c r="A49" s="39">
        <v>7.0</v>
      </c>
      <c r="B49" s="40" t="s">
        <v>1570</v>
      </c>
      <c r="C49" s="41"/>
    </row>
    <row r="50">
      <c r="A50" s="39">
        <v>8.0</v>
      </c>
      <c r="B50" s="40" t="s">
        <v>1571</v>
      </c>
      <c r="C50" s="41"/>
    </row>
    <row r="51">
      <c r="A51" s="43">
        <v>9.0</v>
      </c>
      <c r="B51" s="49" t="s">
        <v>1572</v>
      </c>
      <c r="C51" s="45"/>
    </row>
    <row r="52">
      <c r="A52" s="35"/>
      <c r="B52" s="35"/>
      <c r="C52" s="35"/>
    </row>
    <row r="53">
      <c r="A53" s="34" t="s">
        <v>760</v>
      </c>
    </row>
    <row r="54">
      <c r="A54" s="35"/>
      <c r="B54" s="35"/>
      <c r="C54" s="35"/>
    </row>
    <row r="55">
      <c r="A55" s="36" t="s">
        <v>749</v>
      </c>
      <c r="B55" s="37" t="s">
        <v>757</v>
      </c>
      <c r="C55" s="38"/>
    </row>
    <row r="56">
      <c r="A56" s="39">
        <v>1.0</v>
      </c>
      <c r="B56" s="40" t="s">
        <v>1573</v>
      </c>
      <c r="C56" s="41"/>
    </row>
    <row r="57">
      <c r="A57" s="39">
        <v>2.0</v>
      </c>
      <c r="B57" s="40" t="s">
        <v>1574</v>
      </c>
      <c r="C57" s="41"/>
    </row>
    <row r="58">
      <c r="A58" s="39">
        <v>3.0</v>
      </c>
      <c r="B58" s="40" t="s">
        <v>1575</v>
      </c>
      <c r="C58" s="41"/>
    </row>
    <row r="59">
      <c r="A59" s="39">
        <v>4.0</v>
      </c>
      <c r="B59" s="40" t="s">
        <v>1576</v>
      </c>
      <c r="C59" s="41"/>
    </row>
    <row r="60">
      <c r="A60" s="39">
        <v>5.0</v>
      </c>
      <c r="B60" s="40" t="s">
        <v>1577</v>
      </c>
      <c r="C60" s="41"/>
    </row>
    <row r="61">
      <c r="A61" s="39">
        <v>6.0</v>
      </c>
      <c r="B61" s="40" t="s">
        <v>1578</v>
      </c>
      <c r="C61" s="41"/>
    </row>
    <row r="62">
      <c r="A62" s="39">
        <v>7.0</v>
      </c>
      <c r="B62" s="40" t="s">
        <v>1579</v>
      </c>
      <c r="C62" s="41"/>
    </row>
    <row r="63">
      <c r="A63" s="39">
        <v>8.0</v>
      </c>
      <c r="B63" s="40" t="s">
        <v>1580</v>
      </c>
      <c r="C63" s="41"/>
    </row>
    <row r="64">
      <c r="A64" s="43">
        <v>9.0</v>
      </c>
      <c r="B64" s="49" t="s">
        <v>1581</v>
      </c>
      <c r="C64" s="45"/>
    </row>
    <row r="65">
      <c r="A65" s="35"/>
      <c r="B65" s="35"/>
      <c r="C65" s="35"/>
    </row>
    <row r="66">
      <c r="A66" s="34" t="s">
        <v>763</v>
      </c>
    </row>
    <row r="67">
      <c r="A67" s="35"/>
      <c r="B67" s="35"/>
      <c r="C67" s="35"/>
    </row>
    <row r="68">
      <c r="A68" s="36" t="s">
        <v>749</v>
      </c>
      <c r="B68" s="37" t="s">
        <v>757</v>
      </c>
      <c r="C68" s="38"/>
    </row>
    <row r="69">
      <c r="A69" s="39">
        <v>1.0</v>
      </c>
      <c r="B69" s="40" t="s">
        <v>1582</v>
      </c>
      <c r="C69" s="41"/>
    </row>
    <row r="70">
      <c r="A70" s="39">
        <v>2.0</v>
      </c>
      <c r="B70" s="40" t="s">
        <v>1583</v>
      </c>
      <c r="C70" s="41"/>
    </row>
    <row r="71">
      <c r="A71" s="39">
        <v>3.0</v>
      </c>
      <c r="B71" s="40" t="s">
        <v>1584</v>
      </c>
      <c r="C71" s="41"/>
    </row>
    <row r="72">
      <c r="A72" s="39">
        <v>4.0</v>
      </c>
      <c r="B72" s="40" t="s">
        <v>1585</v>
      </c>
      <c r="C72" s="41"/>
    </row>
    <row r="73">
      <c r="A73" s="39">
        <v>5.0</v>
      </c>
      <c r="B73" s="40" t="s">
        <v>1586</v>
      </c>
      <c r="C73" s="41"/>
    </row>
    <row r="74">
      <c r="A74" s="39">
        <v>6.0</v>
      </c>
      <c r="B74" s="40" t="s">
        <v>1587</v>
      </c>
      <c r="C74" s="41"/>
    </row>
    <row r="75">
      <c r="A75" s="39">
        <v>7.0</v>
      </c>
      <c r="B75" s="40" t="s">
        <v>1588</v>
      </c>
      <c r="C75" s="41"/>
    </row>
    <row r="76">
      <c r="A76" s="43">
        <v>8.0</v>
      </c>
      <c r="B76" s="49" t="s">
        <v>1589</v>
      </c>
      <c r="C76" s="45"/>
    </row>
  </sheetData>
  <mergeCells count="7">
    <mergeCell ref="A1:C1"/>
    <mergeCell ref="A11:C11"/>
    <mergeCell ref="A13:C13"/>
    <mergeCell ref="A15:C15"/>
    <mergeCell ref="A40:C40"/>
    <mergeCell ref="A53:C53"/>
    <mergeCell ref="A66:C66"/>
  </mergeCells>
  <hyperlinks>
    <hyperlink r:id="rId1" ref="B9"/>
  </hyperlinks>
  <drawing r:id="rId2"/>
</worksheet>
</file>

<file path=xl/worksheets/sheet3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2" max="2" width="87.63"/>
    <col customWidth="1" min="3" max="3" width="20.13"/>
  </cols>
  <sheetData>
    <row r="1">
      <c r="A1" s="34" t="s">
        <v>742</v>
      </c>
    </row>
    <row r="2">
      <c r="A2" s="35"/>
      <c r="B2" s="35"/>
      <c r="C2" s="35"/>
    </row>
    <row r="3">
      <c r="A3" s="36" t="s">
        <v>743</v>
      </c>
      <c r="B3" s="37" t="s">
        <v>744</v>
      </c>
      <c r="C3" s="38"/>
    </row>
    <row r="4">
      <c r="A4" s="39" t="s">
        <v>6</v>
      </c>
      <c r="B4" s="40" t="s">
        <v>138</v>
      </c>
      <c r="C4" s="41"/>
    </row>
    <row r="5">
      <c r="A5" s="39" t="s">
        <v>745</v>
      </c>
      <c r="B5" s="42">
        <v>46129.0</v>
      </c>
      <c r="C5" s="41"/>
    </row>
    <row r="6">
      <c r="A6" s="39" t="s">
        <v>0</v>
      </c>
      <c r="B6" s="40" t="s">
        <v>76</v>
      </c>
      <c r="C6" s="41"/>
    </row>
    <row r="7">
      <c r="A7" s="39" t="s">
        <v>7</v>
      </c>
      <c r="B7" s="40" t="s">
        <v>120</v>
      </c>
      <c r="C7" s="41"/>
    </row>
    <row r="8">
      <c r="A8" s="39" t="s">
        <v>746</v>
      </c>
      <c r="B8" s="40">
        <v>3.0</v>
      </c>
      <c r="C8" s="41"/>
    </row>
    <row r="9">
      <c r="A9" s="43" t="s">
        <v>8</v>
      </c>
      <c r="B9" s="44" t="s">
        <v>143</v>
      </c>
      <c r="C9" s="45"/>
    </row>
    <row r="10">
      <c r="A10" s="35"/>
      <c r="B10" s="35"/>
      <c r="C10" s="35"/>
    </row>
    <row r="11">
      <c r="A11" s="34" t="s">
        <v>747</v>
      </c>
    </row>
    <row r="12">
      <c r="A12" s="35"/>
      <c r="B12" s="35"/>
      <c r="C12" s="35"/>
    </row>
    <row r="13">
      <c r="A13" s="46" t="s">
        <v>1590</v>
      </c>
    </row>
    <row r="14">
      <c r="A14" s="35"/>
      <c r="B14" s="35"/>
      <c r="C14" s="35"/>
    </row>
    <row r="15">
      <c r="A15" s="34" t="s">
        <v>748</v>
      </c>
    </row>
    <row r="16">
      <c r="A16" s="35"/>
      <c r="B16" s="35"/>
      <c r="C16" s="35"/>
    </row>
    <row r="17">
      <c r="A17" s="36" t="s">
        <v>749</v>
      </c>
      <c r="B17" s="37" t="s">
        <v>750</v>
      </c>
      <c r="C17" s="47" t="s">
        <v>751</v>
      </c>
    </row>
    <row r="18">
      <c r="A18" s="39">
        <v>1.0</v>
      </c>
      <c r="B18" s="40" t="s">
        <v>1591</v>
      </c>
      <c r="C18" s="48" t="s">
        <v>1418</v>
      </c>
    </row>
    <row r="19">
      <c r="A19" s="39">
        <v>2.0</v>
      </c>
      <c r="B19" s="40" t="s">
        <v>1592</v>
      </c>
      <c r="C19" s="48" t="s">
        <v>1418</v>
      </c>
    </row>
    <row r="20">
      <c r="A20" s="39">
        <v>3.0</v>
      </c>
      <c r="B20" s="40" t="s">
        <v>1593</v>
      </c>
      <c r="C20" s="48" t="s">
        <v>1418</v>
      </c>
    </row>
    <row r="21">
      <c r="A21" s="39">
        <v>4.0</v>
      </c>
      <c r="B21" s="40" t="s">
        <v>1594</v>
      </c>
      <c r="C21" s="48" t="s">
        <v>1418</v>
      </c>
    </row>
    <row r="22">
      <c r="A22" s="39">
        <v>5.0</v>
      </c>
      <c r="B22" s="40" t="s">
        <v>1595</v>
      </c>
      <c r="C22" s="48" t="s">
        <v>1418</v>
      </c>
    </row>
    <row r="23">
      <c r="A23" s="39">
        <v>6.0</v>
      </c>
      <c r="B23" s="40" t="s">
        <v>1596</v>
      </c>
      <c r="C23" s="48" t="s">
        <v>1418</v>
      </c>
    </row>
    <row r="24">
      <c r="A24" s="39">
        <v>7.0</v>
      </c>
      <c r="B24" s="40" t="s">
        <v>1597</v>
      </c>
      <c r="C24" s="48" t="s">
        <v>1418</v>
      </c>
    </row>
    <row r="25">
      <c r="A25" s="39">
        <v>8.0</v>
      </c>
      <c r="B25" s="40" t="s">
        <v>1598</v>
      </c>
      <c r="C25" s="48" t="s">
        <v>1418</v>
      </c>
    </row>
    <row r="26">
      <c r="A26" s="39">
        <v>9.0</v>
      </c>
      <c r="B26" s="40" t="s">
        <v>1599</v>
      </c>
      <c r="C26" s="48" t="s">
        <v>1418</v>
      </c>
    </row>
    <row r="27">
      <c r="A27" s="39">
        <v>10.0</v>
      </c>
      <c r="B27" s="40" t="s">
        <v>1600</v>
      </c>
      <c r="C27" s="48" t="s">
        <v>1418</v>
      </c>
    </row>
    <row r="28">
      <c r="A28" s="39">
        <v>11.0</v>
      </c>
      <c r="B28" s="40" t="s">
        <v>1601</v>
      </c>
      <c r="C28" s="48" t="s">
        <v>1418</v>
      </c>
    </row>
    <row r="29">
      <c r="A29" s="39">
        <v>12.0</v>
      </c>
      <c r="B29" s="40" t="s">
        <v>1602</v>
      </c>
      <c r="C29" s="48" t="s">
        <v>1418</v>
      </c>
    </row>
    <row r="30">
      <c r="A30" s="39">
        <v>13.0</v>
      </c>
      <c r="B30" s="40" t="s">
        <v>1603</v>
      </c>
      <c r="C30" s="48" t="s">
        <v>1418</v>
      </c>
    </row>
    <row r="31">
      <c r="A31" s="39">
        <v>14.0</v>
      </c>
      <c r="B31" s="40" t="s">
        <v>1604</v>
      </c>
      <c r="C31" s="48" t="s">
        <v>1418</v>
      </c>
    </row>
    <row r="32">
      <c r="A32" s="39">
        <v>15.0</v>
      </c>
      <c r="B32" s="40" t="s">
        <v>1605</v>
      </c>
      <c r="C32" s="48" t="s">
        <v>1418</v>
      </c>
    </row>
    <row r="33">
      <c r="A33" s="39">
        <v>16.0</v>
      </c>
      <c r="B33" s="40" t="s">
        <v>1606</v>
      </c>
      <c r="C33" s="48" t="s">
        <v>1418</v>
      </c>
    </row>
    <row r="34">
      <c r="A34" s="39">
        <v>17.0</v>
      </c>
      <c r="B34" s="40" t="s">
        <v>1607</v>
      </c>
      <c r="C34" s="48" t="s">
        <v>1608</v>
      </c>
    </row>
    <row r="35">
      <c r="A35" s="39">
        <v>18.0</v>
      </c>
      <c r="B35" s="40" t="s">
        <v>1609</v>
      </c>
      <c r="C35" s="48" t="s">
        <v>1418</v>
      </c>
    </row>
    <row r="36">
      <c r="A36" s="43">
        <v>19.0</v>
      </c>
      <c r="B36" s="49" t="s">
        <v>1610</v>
      </c>
      <c r="C36" s="50" t="s">
        <v>1418</v>
      </c>
    </row>
    <row r="37">
      <c r="A37" s="35"/>
      <c r="B37" s="35"/>
      <c r="C37" s="35"/>
    </row>
    <row r="38">
      <c r="A38" s="34" t="s">
        <v>756</v>
      </c>
    </row>
    <row r="39">
      <c r="A39" s="35"/>
      <c r="B39" s="35"/>
      <c r="C39" s="35"/>
    </row>
    <row r="40">
      <c r="A40" s="36" t="s">
        <v>749</v>
      </c>
      <c r="B40" s="37" t="s">
        <v>757</v>
      </c>
      <c r="C40" s="38"/>
    </row>
    <row r="41">
      <c r="A41" s="39">
        <v>1.0</v>
      </c>
      <c r="B41" s="40" t="s">
        <v>1611</v>
      </c>
      <c r="C41" s="41"/>
    </row>
    <row r="42">
      <c r="A42" s="39">
        <v>2.0</v>
      </c>
      <c r="B42" s="40" t="s">
        <v>1612</v>
      </c>
      <c r="C42" s="41"/>
    </row>
    <row r="43">
      <c r="A43" s="39">
        <v>3.0</v>
      </c>
      <c r="B43" s="40" t="s">
        <v>1613</v>
      </c>
      <c r="C43" s="41"/>
    </row>
    <row r="44">
      <c r="A44" s="39">
        <v>4.0</v>
      </c>
      <c r="B44" s="40" t="s">
        <v>1614</v>
      </c>
      <c r="C44" s="41"/>
    </row>
    <row r="45">
      <c r="A45" s="39">
        <v>5.0</v>
      </c>
      <c r="B45" s="40" t="s">
        <v>1615</v>
      </c>
      <c r="C45" s="41"/>
    </row>
    <row r="46">
      <c r="A46" s="43">
        <v>6.0</v>
      </c>
      <c r="B46" s="49" t="s">
        <v>1616</v>
      </c>
      <c r="C46" s="45"/>
    </row>
    <row r="47">
      <c r="A47" s="35"/>
      <c r="B47" s="35"/>
      <c r="C47" s="35"/>
    </row>
    <row r="48">
      <c r="A48" s="34" t="s">
        <v>760</v>
      </c>
    </row>
    <row r="49">
      <c r="A49" s="35"/>
      <c r="B49" s="35"/>
      <c r="C49" s="35"/>
    </row>
    <row r="50">
      <c r="A50" s="36" t="s">
        <v>749</v>
      </c>
      <c r="B50" s="37" t="s">
        <v>757</v>
      </c>
      <c r="C50" s="38"/>
    </row>
    <row r="51">
      <c r="A51" s="39">
        <v>1.0</v>
      </c>
      <c r="B51" s="40" t="s">
        <v>1617</v>
      </c>
      <c r="C51" s="41"/>
    </row>
    <row r="52">
      <c r="A52" s="39">
        <v>2.0</v>
      </c>
      <c r="B52" s="40" t="s">
        <v>1618</v>
      </c>
      <c r="C52" s="41"/>
    </row>
    <row r="53">
      <c r="A53" s="39">
        <v>3.0</v>
      </c>
      <c r="B53" s="40" t="s">
        <v>1619</v>
      </c>
      <c r="C53" s="41"/>
    </row>
    <row r="54">
      <c r="A54" s="39">
        <v>4.0</v>
      </c>
      <c r="B54" s="40" t="s">
        <v>1620</v>
      </c>
      <c r="C54" s="41"/>
    </row>
    <row r="55">
      <c r="A55" s="43">
        <v>5.0</v>
      </c>
      <c r="B55" s="49" t="s">
        <v>1621</v>
      </c>
      <c r="C55" s="45"/>
    </row>
    <row r="56">
      <c r="A56" s="35"/>
      <c r="B56" s="35"/>
      <c r="C56" s="35"/>
    </row>
    <row r="57">
      <c r="A57" s="34" t="s">
        <v>763</v>
      </c>
    </row>
    <row r="58">
      <c r="A58" s="35"/>
      <c r="B58" s="35"/>
      <c r="C58" s="35"/>
    </row>
    <row r="59">
      <c r="A59" s="36" t="s">
        <v>749</v>
      </c>
      <c r="B59" s="37" t="s">
        <v>757</v>
      </c>
      <c r="C59" s="38"/>
    </row>
    <row r="60">
      <c r="A60" s="39">
        <v>1.0</v>
      </c>
      <c r="B60" s="40" t="s">
        <v>1622</v>
      </c>
      <c r="C60" s="41"/>
    </row>
    <row r="61">
      <c r="A61" s="39">
        <v>2.0</v>
      </c>
      <c r="B61" s="40" t="s">
        <v>1623</v>
      </c>
      <c r="C61" s="41"/>
    </row>
    <row r="62">
      <c r="A62" s="39">
        <v>3.0</v>
      </c>
      <c r="B62" s="40" t="s">
        <v>1624</v>
      </c>
      <c r="C62" s="41"/>
    </row>
    <row r="63">
      <c r="A63" s="39">
        <v>4.0</v>
      </c>
      <c r="B63" s="40" t="s">
        <v>1625</v>
      </c>
      <c r="C63" s="41"/>
    </row>
    <row r="64">
      <c r="A64" s="39">
        <v>5.0</v>
      </c>
      <c r="B64" s="40" t="s">
        <v>1626</v>
      </c>
      <c r="C64" s="41"/>
    </row>
    <row r="65">
      <c r="A65" s="39">
        <v>6.0</v>
      </c>
      <c r="B65" s="40" t="s">
        <v>1627</v>
      </c>
      <c r="C65" s="41"/>
    </row>
    <row r="66">
      <c r="A66" s="43">
        <v>7.0</v>
      </c>
      <c r="B66" s="49" t="s">
        <v>1628</v>
      </c>
      <c r="C66" s="45"/>
    </row>
  </sheetData>
  <mergeCells count="7">
    <mergeCell ref="A1:C1"/>
    <mergeCell ref="A11:C11"/>
    <mergeCell ref="A13:C13"/>
    <mergeCell ref="A15:C15"/>
    <mergeCell ref="A38:C38"/>
    <mergeCell ref="A48:C48"/>
    <mergeCell ref="A57:C57"/>
  </mergeCells>
  <hyperlinks>
    <hyperlink r:id="rId1" ref="B9"/>
  </hyperlinks>
  <drawing r:id="rId2"/>
</worksheet>
</file>

<file path=xl/worksheets/sheet3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2" max="2" width="87.63"/>
    <col customWidth="1" min="3" max="3" width="20.13"/>
  </cols>
  <sheetData>
    <row r="1">
      <c r="A1" s="34" t="s">
        <v>742</v>
      </c>
    </row>
    <row r="2">
      <c r="A2" s="35"/>
      <c r="B2" s="35"/>
      <c r="C2" s="35"/>
    </row>
    <row r="3">
      <c r="A3" s="36" t="s">
        <v>743</v>
      </c>
      <c r="B3" s="37" t="s">
        <v>744</v>
      </c>
      <c r="C3" s="38"/>
    </row>
    <row r="4">
      <c r="A4" s="39" t="s">
        <v>6</v>
      </c>
      <c r="B4" s="40" t="s">
        <v>146</v>
      </c>
      <c r="C4" s="41"/>
    </row>
    <row r="5">
      <c r="A5" s="39" t="s">
        <v>745</v>
      </c>
      <c r="B5" s="42">
        <v>46130.0</v>
      </c>
      <c r="C5" s="41"/>
    </row>
    <row r="6">
      <c r="A6" s="39" t="s">
        <v>0</v>
      </c>
      <c r="B6" s="40" t="s">
        <v>76</v>
      </c>
      <c r="C6" s="41"/>
    </row>
    <row r="7">
      <c r="A7" s="39" t="s">
        <v>7</v>
      </c>
      <c r="B7" s="40" t="s">
        <v>147</v>
      </c>
      <c r="C7" s="41"/>
    </row>
    <row r="8">
      <c r="A8" s="39" t="s">
        <v>746</v>
      </c>
      <c r="B8" s="40">
        <v>2.0</v>
      </c>
      <c r="C8" s="41"/>
    </row>
    <row r="9">
      <c r="A9" s="43" t="s">
        <v>8</v>
      </c>
      <c r="B9" s="44" t="s">
        <v>148</v>
      </c>
      <c r="C9" s="45"/>
    </row>
    <row r="10">
      <c r="A10" s="35"/>
      <c r="B10" s="35"/>
      <c r="C10" s="35"/>
    </row>
    <row r="11">
      <c r="A11" s="34" t="s">
        <v>747</v>
      </c>
    </row>
    <row r="12">
      <c r="A12" s="35"/>
      <c r="B12" s="35"/>
      <c r="C12" s="35"/>
    </row>
    <row r="13">
      <c r="A13" s="46" t="s">
        <v>149</v>
      </c>
    </row>
    <row r="14">
      <c r="A14" s="35"/>
      <c r="B14" s="35"/>
      <c r="C14" s="35"/>
    </row>
    <row r="15">
      <c r="A15" s="34" t="s">
        <v>748</v>
      </c>
    </row>
    <row r="16">
      <c r="A16" s="35"/>
      <c r="B16" s="35"/>
      <c r="C16" s="35"/>
    </row>
    <row r="17">
      <c r="A17" s="36" t="s">
        <v>749</v>
      </c>
      <c r="B17" s="37" t="s">
        <v>750</v>
      </c>
      <c r="C17" s="47" t="s">
        <v>751</v>
      </c>
    </row>
    <row r="18">
      <c r="A18" s="39">
        <v>1.0</v>
      </c>
      <c r="B18" s="40" t="s">
        <v>1629</v>
      </c>
      <c r="C18" s="48" t="s">
        <v>753</v>
      </c>
    </row>
    <row r="19">
      <c r="A19" s="39">
        <v>2.0</v>
      </c>
      <c r="B19" s="40" t="s">
        <v>1630</v>
      </c>
      <c r="C19" s="48" t="s">
        <v>753</v>
      </c>
    </row>
    <row r="20">
      <c r="A20" s="39">
        <v>3.0</v>
      </c>
      <c r="B20" s="40" t="s">
        <v>1631</v>
      </c>
      <c r="C20" s="48" t="s">
        <v>753</v>
      </c>
    </row>
    <row r="21">
      <c r="A21" s="39">
        <v>4.0</v>
      </c>
      <c r="B21" s="40" t="s">
        <v>1632</v>
      </c>
      <c r="C21" s="48" t="s">
        <v>753</v>
      </c>
    </row>
    <row r="22">
      <c r="A22" s="39">
        <v>5.0</v>
      </c>
      <c r="B22" s="40" t="s">
        <v>1633</v>
      </c>
      <c r="C22" s="48" t="s">
        <v>753</v>
      </c>
    </row>
    <row r="23">
      <c r="A23" s="39">
        <v>6.0</v>
      </c>
      <c r="B23" s="40" t="s">
        <v>1634</v>
      </c>
      <c r="C23" s="48" t="s">
        <v>753</v>
      </c>
    </row>
    <row r="24">
      <c r="A24" s="43">
        <v>7.0</v>
      </c>
      <c r="B24" s="49" t="s">
        <v>1635</v>
      </c>
      <c r="C24" s="50" t="s">
        <v>753</v>
      </c>
    </row>
    <row r="25">
      <c r="A25" s="35"/>
      <c r="B25" s="35"/>
      <c r="C25" s="35"/>
    </row>
    <row r="26">
      <c r="A26" s="34" t="s">
        <v>756</v>
      </c>
    </row>
    <row r="27">
      <c r="A27" s="35"/>
      <c r="B27" s="35"/>
      <c r="C27" s="35"/>
    </row>
    <row r="28">
      <c r="A28" s="36" t="s">
        <v>749</v>
      </c>
      <c r="B28" s="37" t="s">
        <v>757</v>
      </c>
      <c r="C28" s="38"/>
    </row>
    <row r="29">
      <c r="A29" s="39">
        <v>1.0</v>
      </c>
      <c r="B29" s="40" t="s">
        <v>1636</v>
      </c>
      <c r="C29" s="41"/>
    </row>
    <row r="30">
      <c r="A30" s="39">
        <v>2.0</v>
      </c>
      <c r="B30" s="40" t="s">
        <v>1637</v>
      </c>
      <c r="C30" s="41"/>
    </row>
    <row r="31">
      <c r="A31" s="39">
        <v>3.0</v>
      </c>
      <c r="B31" s="40" t="s">
        <v>1638</v>
      </c>
      <c r="C31" s="41"/>
    </row>
    <row r="32">
      <c r="A32" s="39">
        <v>4.0</v>
      </c>
      <c r="B32" s="40" t="s">
        <v>1639</v>
      </c>
      <c r="C32" s="41"/>
    </row>
    <row r="33">
      <c r="A33" s="39">
        <v>5.0</v>
      </c>
      <c r="B33" s="40" t="s">
        <v>1640</v>
      </c>
      <c r="C33" s="41"/>
    </row>
    <row r="34">
      <c r="A34" s="39">
        <v>6.0</v>
      </c>
      <c r="B34" s="40" t="s">
        <v>1641</v>
      </c>
      <c r="C34" s="41"/>
    </row>
    <row r="35">
      <c r="A35" s="39">
        <v>7.0</v>
      </c>
      <c r="B35" s="40" t="s">
        <v>1642</v>
      </c>
      <c r="C35" s="41"/>
    </row>
    <row r="36">
      <c r="A36" s="43">
        <v>8.0</v>
      </c>
      <c r="B36" s="49" t="s">
        <v>1643</v>
      </c>
      <c r="C36" s="45"/>
    </row>
    <row r="37">
      <c r="A37" s="35"/>
      <c r="B37" s="35"/>
      <c r="C37" s="35"/>
    </row>
    <row r="38">
      <c r="A38" s="34" t="s">
        <v>760</v>
      </c>
    </row>
    <row r="39">
      <c r="A39" s="35"/>
      <c r="B39" s="35"/>
      <c r="C39" s="35"/>
    </row>
    <row r="40">
      <c r="A40" s="36" t="s">
        <v>749</v>
      </c>
      <c r="B40" s="37" t="s">
        <v>757</v>
      </c>
      <c r="C40" s="38"/>
    </row>
    <row r="41">
      <c r="A41" s="39">
        <v>1.0</v>
      </c>
      <c r="B41" s="40" t="s">
        <v>1644</v>
      </c>
      <c r="C41" s="41"/>
    </row>
    <row r="42">
      <c r="A42" s="39">
        <v>2.0</v>
      </c>
      <c r="B42" s="40" t="s">
        <v>1645</v>
      </c>
      <c r="C42" s="41"/>
    </row>
    <row r="43">
      <c r="A43" s="39">
        <v>3.0</v>
      </c>
      <c r="B43" s="40" t="s">
        <v>1646</v>
      </c>
      <c r="C43" s="41"/>
    </row>
    <row r="44">
      <c r="A44" s="39">
        <v>4.0</v>
      </c>
      <c r="B44" s="40" t="s">
        <v>1647</v>
      </c>
      <c r="C44" s="41"/>
    </row>
    <row r="45">
      <c r="A45" s="39">
        <v>5.0</v>
      </c>
      <c r="B45" s="40" t="s">
        <v>1648</v>
      </c>
      <c r="C45" s="41"/>
    </row>
    <row r="46">
      <c r="A46" s="43">
        <v>6.0</v>
      </c>
      <c r="B46" s="49" t="s">
        <v>1649</v>
      </c>
      <c r="C46" s="45"/>
    </row>
    <row r="47">
      <c r="A47" s="35"/>
      <c r="B47" s="35"/>
      <c r="C47" s="35"/>
    </row>
    <row r="48">
      <c r="A48" s="34" t="s">
        <v>763</v>
      </c>
    </row>
    <row r="49">
      <c r="A49" s="35"/>
      <c r="B49" s="35"/>
      <c r="C49" s="35"/>
    </row>
    <row r="50">
      <c r="A50" s="36" t="s">
        <v>749</v>
      </c>
      <c r="B50" s="37" t="s">
        <v>757</v>
      </c>
      <c r="C50" s="38"/>
    </row>
    <row r="51">
      <c r="A51" s="39">
        <v>1.0</v>
      </c>
      <c r="B51" s="40" t="s">
        <v>1650</v>
      </c>
      <c r="C51" s="41"/>
    </row>
    <row r="52">
      <c r="A52" s="39">
        <v>2.0</v>
      </c>
      <c r="B52" s="40" t="s">
        <v>1651</v>
      </c>
      <c r="C52" s="41"/>
    </row>
    <row r="53">
      <c r="A53" s="39">
        <v>3.0</v>
      </c>
      <c r="B53" s="40" t="s">
        <v>1652</v>
      </c>
      <c r="C53" s="41"/>
    </row>
    <row r="54">
      <c r="A54" s="39">
        <v>4.0</v>
      </c>
      <c r="B54" s="40" t="s">
        <v>1653</v>
      </c>
      <c r="C54" s="41"/>
    </row>
    <row r="55">
      <c r="A55" s="39">
        <v>5.0</v>
      </c>
      <c r="B55" s="40" t="s">
        <v>1654</v>
      </c>
      <c r="C55" s="41"/>
    </row>
    <row r="56">
      <c r="A56" s="43">
        <v>6.0</v>
      </c>
      <c r="B56" s="49" t="s">
        <v>1655</v>
      </c>
      <c r="C56" s="45"/>
    </row>
  </sheetData>
  <mergeCells count="7">
    <mergeCell ref="A1:C1"/>
    <mergeCell ref="A11:C11"/>
    <mergeCell ref="A13:C13"/>
    <mergeCell ref="A15:C15"/>
    <mergeCell ref="A26:C26"/>
    <mergeCell ref="A38:C38"/>
    <mergeCell ref="A48:C48"/>
  </mergeCells>
  <hyperlinks>
    <hyperlink r:id="rId1" ref="B9"/>
  </hyperlinks>
  <drawing r:id="rId2"/>
</worksheet>
</file>

<file path=xl/worksheets/sheet3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2" max="2" width="87.63"/>
    <col customWidth="1" min="3" max="3" width="20.13"/>
  </cols>
  <sheetData>
    <row r="1">
      <c r="A1" s="34" t="s">
        <v>742</v>
      </c>
    </row>
    <row r="2">
      <c r="A2" s="35"/>
      <c r="B2" s="35"/>
      <c r="C2" s="35"/>
    </row>
    <row r="3">
      <c r="A3" s="36" t="s">
        <v>743</v>
      </c>
      <c r="B3" s="37" t="s">
        <v>744</v>
      </c>
      <c r="C3" s="38"/>
    </row>
    <row r="4">
      <c r="A4" s="39" t="s">
        <v>6</v>
      </c>
      <c r="B4" s="40" t="s">
        <v>152</v>
      </c>
      <c r="C4" s="41"/>
    </row>
    <row r="5">
      <c r="A5" s="39" t="s">
        <v>745</v>
      </c>
      <c r="B5" s="42">
        <v>46132.0</v>
      </c>
      <c r="C5" s="41"/>
    </row>
    <row r="6">
      <c r="A6" s="39" t="s">
        <v>0</v>
      </c>
      <c r="B6" s="40" t="s">
        <v>151</v>
      </c>
      <c r="C6" s="41"/>
    </row>
    <row r="7">
      <c r="A7" s="39" t="s">
        <v>7</v>
      </c>
      <c r="B7" s="40" t="s">
        <v>153</v>
      </c>
      <c r="C7" s="41"/>
    </row>
    <row r="8">
      <c r="A8" s="39" t="s">
        <v>746</v>
      </c>
      <c r="B8" s="40">
        <v>4.0</v>
      </c>
      <c r="C8" s="41"/>
    </row>
    <row r="9">
      <c r="A9" s="43" t="s">
        <v>8</v>
      </c>
      <c r="B9" s="44" t="s">
        <v>154</v>
      </c>
      <c r="C9" s="45"/>
    </row>
    <row r="10">
      <c r="A10" s="35"/>
      <c r="B10" s="35"/>
      <c r="C10" s="35"/>
    </row>
    <row r="11">
      <c r="A11" s="34" t="s">
        <v>747</v>
      </c>
    </row>
    <row r="12">
      <c r="A12" s="35"/>
      <c r="B12" s="35"/>
      <c r="C12" s="35"/>
    </row>
    <row r="13">
      <c r="A13" s="46" t="s">
        <v>155</v>
      </c>
    </row>
    <row r="14">
      <c r="A14" s="35"/>
      <c r="B14" s="35"/>
      <c r="C14" s="35"/>
    </row>
    <row r="15">
      <c r="A15" s="34" t="s">
        <v>748</v>
      </c>
    </row>
    <row r="16">
      <c r="A16" s="35"/>
      <c r="B16" s="35"/>
      <c r="C16" s="35"/>
    </row>
    <row r="17">
      <c r="A17" s="36" t="s">
        <v>749</v>
      </c>
      <c r="B17" s="37" t="s">
        <v>750</v>
      </c>
      <c r="C17" s="47" t="s">
        <v>751</v>
      </c>
    </row>
    <row r="18">
      <c r="A18" s="39">
        <v>1.0</v>
      </c>
      <c r="B18" s="40" t="s">
        <v>1656</v>
      </c>
      <c r="C18" s="48" t="s">
        <v>753</v>
      </c>
    </row>
    <row r="19">
      <c r="A19" s="39">
        <v>2.0</v>
      </c>
      <c r="B19" s="40" t="s">
        <v>1657</v>
      </c>
      <c r="C19" s="48" t="s">
        <v>753</v>
      </c>
    </row>
    <row r="20">
      <c r="A20" s="39">
        <v>3.0</v>
      </c>
      <c r="B20" s="40" t="s">
        <v>1658</v>
      </c>
      <c r="C20" s="48" t="s">
        <v>753</v>
      </c>
    </row>
    <row r="21">
      <c r="A21" s="39">
        <v>4.0</v>
      </c>
      <c r="B21" s="40" t="s">
        <v>1659</v>
      </c>
      <c r="C21" s="48" t="s">
        <v>753</v>
      </c>
    </row>
    <row r="22">
      <c r="A22" s="39">
        <v>5.0</v>
      </c>
      <c r="B22" s="40" t="s">
        <v>1660</v>
      </c>
      <c r="C22" s="48" t="s">
        <v>753</v>
      </c>
    </row>
    <row r="23">
      <c r="A23" s="39">
        <v>6.0</v>
      </c>
      <c r="B23" s="40" t="s">
        <v>1661</v>
      </c>
      <c r="C23" s="48" t="s">
        <v>753</v>
      </c>
    </row>
    <row r="24">
      <c r="A24" s="39">
        <v>7.0</v>
      </c>
      <c r="B24" s="40" t="s">
        <v>1662</v>
      </c>
      <c r="C24" s="48" t="s">
        <v>753</v>
      </c>
    </row>
    <row r="25">
      <c r="A25" s="39">
        <v>8.0</v>
      </c>
      <c r="B25" s="40" t="s">
        <v>1663</v>
      </c>
      <c r="C25" s="48" t="s">
        <v>753</v>
      </c>
    </row>
    <row r="26">
      <c r="A26" s="39">
        <v>9.0</v>
      </c>
      <c r="B26" s="40" t="s">
        <v>1664</v>
      </c>
      <c r="C26" s="48" t="s">
        <v>753</v>
      </c>
    </row>
    <row r="27">
      <c r="A27" s="39">
        <v>10.0</v>
      </c>
      <c r="B27" s="40" t="s">
        <v>1665</v>
      </c>
      <c r="C27" s="48" t="s">
        <v>753</v>
      </c>
    </row>
    <row r="28">
      <c r="A28" s="39">
        <v>11.0</v>
      </c>
      <c r="B28" s="40" t="s">
        <v>1666</v>
      </c>
      <c r="C28" s="48" t="s">
        <v>753</v>
      </c>
    </row>
    <row r="29">
      <c r="A29" s="39">
        <v>12.0</v>
      </c>
      <c r="B29" s="40" t="s">
        <v>1667</v>
      </c>
      <c r="C29" s="48" t="s">
        <v>753</v>
      </c>
    </row>
    <row r="30">
      <c r="A30" s="39">
        <v>13.0</v>
      </c>
      <c r="B30" s="40" t="s">
        <v>1668</v>
      </c>
      <c r="C30" s="48" t="s">
        <v>753</v>
      </c>
    </row>
    <row r="31">
      <c r="A31" s="39">
        <v>14.0</v>
      </c>
      <c r="B31" s="40" t="s">
        <v>1669</v>
      </c>
      <c r="C31" s="48" t="s">
        <v>753</v>
      </c>
    </row>
    <row r="32">
      <c r="A32" s="39">
        <v>15.0</v>
      </c>
      <c r="B32" s="40" t="s">
        <v>1670</v>
      </c>
      <c r="C32" s="48" t="s">
        <v>753</v>
      </c>
    </row>
    <row r="33">
      <c r="A33" s="39">
        <v>16.0</v>
      </c>
      <c r="B33" s="40" t="s">
        <v>1671</v>
      </c>
      <c r="C33" s="48" t="s">
        <v>753</v>
      </c>
    </row>
    <row r="34">
      <c r="A34" s="39">
        <v>17.0</v>
      </c>
      <c r="B34" s="40" t="s">
        <v>1672</v>
      </c>
      <c r="C34" s="48" t="s">
        <v>753</v>
      </c>
    </row>
    <row r="35">
      <c r="A35" s="39">
        <v>18.0</v>
      </c>
      <c r="B35" s="40" t="s">
        <v>1673</v>
      </c>
      <c r="C35" s="48" t="s">
        <v>753</v>
      </c>
    </row>
    <row r="36">
      <c r="A36" s="39">
        <v>19.0</v>
      </c>
      <c r="B36" s="40" t="s">
        <v>1674</v>
      </c>
      <c r="C36" s="48" t="s">
        <v>1675</v>
      </c>
    </row>
    <row r="37">
      <c r="A37" s="39">
        <v>20.0</v>
      </c>
      <c r="B37" s="40" t="s">
        <v>1676</v>
      </c>
      <c r="C37" s="48" t="s">
        <v>753</v>
      </c>
    </row>
    <row r="38">
      <c r="A38" s="39">
        <v>21.0</v>
      </c>
      <c r="B38" s="40" t="s">
        <v>1677</v>
      </c>
      <c r="C38" s="48" t="s">
        <v>753</v>
      </c>
    </row>
    <row r="39">
      <c r="A39" s="39">
        <v>22.0</v>
      </c>
      <c r="B39" s="40" t="s">
        <v>1678</v>
      </c>
      <c r="C39" s="48" t="s">
        <v>753</v>
      </c>
    </row>
    <row r="40">
      <c r="A40" s="39">
        <v>23.0</v>
      </c>
      <c r="B40" s="40" t="s">
        <v>1679</v>
      </c>
      <c r="C40" s="48" t="s">
        <v>753</v>
      </c>
    </row>
    <row r="41">
      <c r="A41" s="39">
        <v>24.0</v>
      </c>
      <c r="B41" s="40" t="s">
        <v>1680</v>
      </c>
      <c r="C41" s="48" t="s">
        <v>753</v>
      </c>
    </row>
    <row r="42">
      <c r="A42" s="39">
        <v>25.0</v>
      </c>
      <c r="B42" s="40" t="s">
        <v>1681</v>
      </c>
      <c r="C42" s="48" t="s">
        <v>753</v>
      </c>
    </row>
    <row r="43">
      <c r="A43" s="39">
        <v>26.0</v>
      </c>
      <c r="B43" s="40" t="s">
        <v>1682</v>
      </c>
      <c r="C43" s="48" t="s">
        <v>753</v>
      </c>
    </row>
    <row r="44">
      <c r="A44" s="39">
        <v>27.0</v>
      </c>
      <c r="B44" s="40" t="s">
        <v>1683</v>
      </c>
      <c r="C44" s="48" t="s">
        <v>753</v>
      </c>
    </row>
    <row r="45">
      <c r="A45" s="39">
        <v>28.0</v>
      </c>
      <c r="B45" s="40" t="s">
        <v>1684</v>
      </c>
      <c r="C45" s="48" t="s">
        <v>753</v>
      </c>
    </row>
    <row r="46">
      <c r="A46" s="39">
        <v>29.0</v>
      </c>
      <c r="B46" s="40" t="s">
        <v>1685</v>
      </c>
      <c r="C46" s="48" t="s">
        <v>753</v>
      </c>
    </row>
    <row r="47">
      <c r="A47" s="43">
        <v>30.0</v>
      </c>
      <c r="B47" s="49" t="s">
        <v>1686</v>
      </c>
      <c r="C47" s="50" t="s">
        <v>1687</v>
      </c>
    </row>
    <row r="48">
      <c r="A48" s="35"/>
      <c r="B48" s="35"/>
      <c r="C48" s="35"/>
    </row>
    <row r="49">
      <c r="A49" s="34" t="s">
        <v>756</v>
      </c>
    </row>
    <row r="50">
      <c r="A50" s="35"/>
      <c r="B50" s="35"/>
      <c r="C50" s="35"/>
    </row>
    <row r="51">
      <c r="A51" s="36" t="s">
        <v>749</v>
      </c>
      <c r="B51" s="37" t="s">
        <v>757</v>
      </c>
      <c r="C51" s="38"/>
    </row>
    <row r="52">
      <c r="A52" s="39">
        <v>1.0</v>
      </c>
      <c r="B52" s="40" t="s">
        <v>1688</v>
      </c>
      <c r="C52" s="41"/>
    </row>
    <row r="53">
      <c r="A53" s="39">
        <v>2.0</v>
      </c>
      <c r="B53" s="40" t="s">
        <v>1689</v>
      </c>
      <c r="C53" s="41"/>
    </row>
    <row r="54">
      <c r="A54" s="39">
        <v>3.0</v>
      </c>
      <c r="B54" s="40" t="s">
        <v>1690</v>
      </c>
      <c r="C54" s="41"/>
    </row>
    <row r="55">
      <c r="A55" s="39">
        <v>4.0</v>
      </c>
      <c r="B55" s="40" t="s">
        <v>1691</v>
      </c>
      <c r="C55" s="41"/>
    </row>
    <row r="56">
      <c r="A56" s="39">
        <v>5.0</v>
      </c>
      <c r="B56" s="40" t="s">
        <v>1692</v>
      </c>
      <c r="C56" s="41"/>
    </row>
    <row r="57">
      <c r="A57" s="39">
        <v>6.0</v>
      </c>
      <c r="B57" s="40" t="s">
        <v>1693</v>
      </c>
      <c r="C57" s="41"/>
    </row>
    <row r="58">
      <c r="A58" s="39">
        <v>7.0</v>
      </c>
      <c r="B58" s="40" t="s">
        <v>1694</v>
      </c>
      <c r="C58" s="41"/>
    </row>
    <row r="59">
      <c r="A59" s="39">
        <v>8.0</v>
      </c>
      <c r="B59" s="40" t="s">
        <v>1695</v>
      </c>
      <c r="C59" s="41"/>
    </row>
    <row r="60">
      <c r="A60" s="43">
        <v>9.0</v>
      </c>
      <c r="B60" s="49" t="s">
        <v>1696</v>
      </c>
      <c r="C60" s="45"/>
    </row>
    <row r="61">
      <c r="A61" s="35"/>
      <c r="B61" s="35"/>
      <c r="C61" s="35"/>
    </row>
    <row r="62">
      <c r="A62" s="34" t="s">
        <v>760</v>
      </c>
    </row>
    <row r="63">
      <c r="A63" s="35"/>
      <c r="B63" s="35"/>
      <c r="C63" s="35"/>
    </row>
    <row r="64">
      <c r="A64" s="36" t="s">
        <v>749</v>
      </c>
      <c r="B64" s="37" t="s">
        <v>757</v>
      </c>
      <c r="C64" s="38"/>
    </row>
    <row r="65">
      <c r="A65" s="39">
        <v>1.0</v>
      </c>
      <c r="B65" s="40" t="s">
        <v>1697</v>
      </c>
      <c r="C65" s="41"/>
    </row>
    <row r="66">
      <c r="A66" s="39">
        <v>2.0</v>
      </c>
      <c r="B66" s="40" t="s">
        <v>1698</v>
      </c>
      <c r="C66" s="41"/>
    </row>
    <row r="67">
      <c r="A67" s="39">
        <v>3.0</v>
      </c>
      <c r="B67" s="40" t="s">
        <v>1699</v>
      </c>
      <c r="C67" s="41"/>
    </row>
    <row r="68">
      <c r="A68" s="39">
        <v>4.0</v>
      </c>
      <c r="B68" s="40" t="s">
        <v>1700</v>
      </c>
      <c r="C68" s="41"/>
    </row>
    <row r="69">
      <c r="A69" s="43">
        <v>5.0</v>
      </c>
      <c r="B69" s="49" t="s">
        <v>1701</v>
      </c>
      <c r="C69" s="45"/>
    </row>
    <row r="70">
      <c r="A70" s="35"/>
      <c r="B70" s="35"/>
      <c r="C70" s="35"/>
    </row>
    <row r="71">
      <c r="A71" s="34" t="s">
        <v>763</v>
      </c>
    </row>
    <row r="72">
      <c r="A72" s="35"/>
      <c r="B72" s="35"/>
      <c r="C72" s="35"/>
    </row>
    <row r="73">
      <c r="A73" s="36" t="s">
        <v>749</v>
      </c>
      <c r="B73" s="37" t="s">
        <v>757</v>
      </c>
      <c r="C73" s="38"/>
    </row>
    <row r="74">
      <c r="A74" s="39">
        <v>1.0</v>
      </c>
      <c r="B74" s="40" t="s">
        <v>1702</v>
      </c>
      <c r="C74" s="41"/>
    </row>
    <row r="75">
      <c r="A75" s="39">
        <v>2.0</v>
      </c>
      <c r="B75" s="40" t="s">
        <v>1703</v>
      </c>
      <c r="C75" s="41"/>
    </row>
    <row r="76">
      <c r="A76" s="39">
        <v>3.0</v>
      </c>
      <c r="B76" s="40" t="s">
        <v>1704</v>
      </c>
      <c r="C76" s="41"/>
    </row>
    <row r="77">
      <c r="A77" s="39">
        <v>4.0</v>
      </c>
      <c r="B77" s="40" t="s">
        <v>1705</v>
      </c>
      <c r="C77" s="41"/>
    </row>
    <row r="78">
      <c r="A78" s="39">
        <v>5.0</v>
      </c>
      <c r="B78" s="40" t="s">
        <v>1706</v>
      </c>
      <c r="C78" s="41"/>
    </row>
    <row r="79">
      <c r="A79" s="39">
        <v>6.0</v>
      </c>
      <c r="B79" s="40" t="s">
        <v>1707</v>
      </c>
      <c r="C79" s="41"/>
    </row>
    <row r="80">
      <c r="A80" s="43">
        <v>7.0</v>
      </c>
      <c r="B80" s="49" t="s">
        <v>1708</v>
      </c>
      <c r="C80" s="45"/>
    </row>
  </sheetData>
  <mergeCells count="7">
    <mergeCell ref="A1:C1"/>
    <mergeCell ref="A11:C11"/>
    <mergeCell ref="A13:C13"/>
    <mergeCell ref="A15:C15"/>
    <mergeCell ref="A49:C49"/>
    <mergeCell ref="A62:C62"/>
    <mergeCell ref="A71:C71"/>
  </mergeCells>
  <hyperlinks>
    <hyperlink r:id="rId1" ref="B9"/>
  </hyperlinks>
  <drawing r:id="rId2"/>
</worksheet>
</file>

<file path=xl/worksheets/sheet3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2" max="2" width="87.63"/>
    <col customWidth="1" min="3" max="3" width="20.13"/>
  </cols>
  <sheetData>
    <row r="1">
      <c r="A1" s="34" t="s">
        <v>742</v>
      </c>
    </row>
    <row r="2">
      <c r="A2" s="35"/>
      <c r="B2" s="35"/>
      <c r="C2" s="35"/>
    </row>
    <row r="3">
      <c r="A3" s="36" t="s">
        <v>743</v>
      </c>
      <c r="B3" s="37" t="s">
        <v>744</v>
      </c>
      <c r="C3" s="38"/>
    </row>
    <row r="4">
      <c r="A4" s="39" t="s">
        <v>6</v>
      </c>
      <c r="B4" s="40" t="s">
        <v>157</v>
      </c>
      <c r="C4" s="41"/>
    </row>
    <row r="5">
      <c r="A5" s="39" t="s">
        <v>745</v>
      </c>
      <c r="B5" s="42">
        <v>46127.0</v>
      </c>
      <c r="C5" s="41"/>
    </row>
    <row r="6">
      <c r="A6" s="39" t="s">
        <v>0</v>
      </c>
      <c r="B6" s="40" t="s">
        <v>151</v>
      </c>
      <c r="C6" s="41"/>
    </row>
    <row r="7">
      <c r="A7" s="39" t="s">
        <v>7</v>
      </c>
      <c r="B7" s="40" t="s">
        <v>110</v>
      </c>
      <c r="C7" s="41"/>
    </row>
    <row r="8">
      <c r="A8" s="39" t="s">
        <v>746</v>
      </c>
      <c r="B8" s="40">
        <v>2.0</v>
      </c>
      <c r="C8" s="41"/>
    </row>
    <row r="9">
      <c r="A9" s="43" t="s">
        <v>8</v>
      </c>
      <c r="B9" s="44" t="s">
        <v>158</v>
      </c>
      <c r="C9" s="45"/>
    </row>
    <row r="10">
      <c r="A10" s="35"/>
      <c r="B10" s="35"/>
      <c r="C10" s="35"/>
    </row>
    <row r="11">
      <c r="A11" s="34" t="s">
        <v>747</v>
      </c>
    </row>
    <row r="12">
      <c r="A12" s="35"/>
      <c r="B12" s="35"/>
      <c r="C12" s="35"/>
    </row>
    <row r="13">
      <c r="A13" s="46" t="s">
        <v>159</v>
      </c>
    </row>
    <row r="14">
      <c r="A14" s="35"/>
      <c r="B14" s="35"/>
      <c r="C14" s="35"/>
    </row>
    <row r="15">
      <c r="A15" s="34" t="s">
        <v>748</v>
      </c>
    </row>
    <row r="16">
      <c r="A16" s="35"/>
      <c r="B16" s="35"/>
      <c r="C16" s="35"/>
    </row>
    <row r="17">
      <c r="A17" s="36" t="s">
        <v>749</v>
      </c>
      <c r="B17" s="37" t="s">
        <v>750</v>
      </c>
      <c r="C17" s="47" t="s">
        <v>751</v>
      </c>
    </row>
    <row r="18">
      <c r="A18" s="39">
        <v>1.0</v>
      </c>
      <c r="B18" s="40" t="s">
        <v>1709</v>
      </c>
      <c r="C18" s="48" t="s">
        <v>1710</v>
      </c>
    </row>
    <row r="19">
      <c r="A19" s="39">
        <v>2.0</v>
      </c>
      <c r="B19" s="40" t="s">
        <v>1711</v>
      </c>
      <c r="C19" s="48" t="s">
        <v>1712</v>
      </c>
    </row>
    <row r="20">
      <c r="A20" s="39">
        <v>3.0</v>
      </c>
      <c r="B20" s="40" t="s">
        <v>1713</v>
      </c>
      <c r="C20" s="48" t="s">
        <v>1714</v>
      </c>
    </row>
    <row r="21">
      <c r="A21" s="43">
        <v>4.0</v>
      </c>
      <c r="B21" s="49" t="s">
        <v>1715</v>
      </c>
      <c r="C21" s="50" t="s">
        <v>1716</v>
      </c>
    </row>
    <row r="22">
      <c r="A22" s="35"/>
      <c r="B22" s="35"/>
      <c r="C22" s="35"/>
    </row>
    <row r="23">
      <c r="A23" s="34" t="s">
        <v>756</v>
      </c>
    </row>
    <row r="24">
      <c r="A24" s="35"/>
      <c r="B24" s="35"/>
      <c r="C24" s="35"/>
    </row>
    <row r="25">
      <c r="A25" s="36" t="s">
        <v>749</v>
      </c>
      <c r="B25" s="37" t="s">
        <v>757</v>
      </c>
      <c r="C25" s="38"/>
    </row>
    <row r="26">
      <c r="A26" s="39">
        <v>1.0</v>
      </c>
      <c r="B26" s="40" t="s">
        <v>1717</v>
      </c>
      <c r="C26" s="41"/>
    </row>
    <row r="27">
      <c r="A27" s="39">
        <v>2.0</v>
      </c>
      <c r="B27" s="40" t="s">
        <v>1718</v>
      </c>
      <c r="C27" s="41"/>
    </row>
    <row r="28">
      <c r="A28" s="39">
        <v>3.0</v>
      </c>
      <c r="B28" s="40" t="s">
        <v>1719</v>
      </c>
      <c r="C28" s="41"/>
    </row>
    <row r="29">
      <c r="A29" s="39">
        <v>4.0</v>
      </c>
      <c r="B29" s="40" t="s">
        <v>1720</v>
      </c>
      <c r="C29" s="41"/>
    </row>
    <row r="30">
      <c r="A30" s="43">
        <v>5.0</v>
      </c>
      <c r="B30" s="49" t="s">
        <v>1721</v>
      </c>
      <c r="C30" s="45"/>
    </row>
    <row r="31">
      <c r="A31" s="35"/>
      <c r="B31" s="35"/>
      <c r="C31" s="35"/>
    </row>
    <row r="32">
      <c r="A32" s="34" t="s">
        <v>760</v>
      </c>
    </row>
    <row r="33">
      <c r="A33" s="35"/>
      <c r="B33" s="35"/>
      <c r="C33" s="35"/>
    </row>
    <row r="34">
      <c r="A34" s="36" t="s">
        <v>749</v>
      </c>
      <c r="B34" s="37" t="s">
        <v>757</v>
      </c>
      <c r="C34" s="38"/>
    </row>
    <row r="35">
      <c r="A35" s="39">
        <v>1.0</v>
      </c>
      <c r="B35" s="40" t="s">
        <v>1722</v>
      </c>
      <c r="C35" s="41"/>
    </row>
    <row r="36">
      <c r="A36" s="39">
        <v>2.0</v>
      </c>
      <c r="B36" s="40" t="s">
        <v>1723</v>
      </c>
      <c r="C36" s="41"/>
    </row>
    <row r="37">
      <c r="A37" s="43">
        <v>3.0</v>
      </c>
      <c r="B37" s="49" t="s">
        <v>1724</v>
      </c>
      <c r="C37" s="45"/>
    </row>
    <row r="38">
      <c r="A38" s="35"/>
      <c r="B38" s="35"/>
      <c r="C38" s="35"/>
    </row>
    <row r="39">
      <c r="A39" s="34" t="s">
        <v>763</v>
      </c>
    </row>
    <row r="40">
      <c r="A40" s="35"/>
      <c r="B40" s="35"/>
      <c r="C40" s="35"/>
    </row>
    <row r="41">
      <c r="A41" s="36" t="s">
        <v>749</v>
      </c>
      <c r="B41" s="37" t="s">
        <v>757</v>
      </c>
      <c r="C41" s="38"/>
    </row>
    <row r="42">
      <c r="A42" s="39">
        <v>1.0</v>
      </c>
      <c r="B42" s="40" t="s">
        <v>1725</v>
      </c>
      <c r="C42" s="41"/>
    </row>
    <row r="43">
      <c r="A43" s="39">
        <v>2.0</v>
      </c>
      <c r="B43" s="40" t="s">
        <v>1726</v>
      </c>
      <c r="C43" s="41"/>
    </row>
    <row r="44">
      <c r="A44" s="39">
        <v>3.0</v>
      </c>
      <c r="B44" s="40" t="s">
        <v>1727</v>
      </c>
      <c r="C44" s="41"/>
    </row>
    <row r="45">
      <c r="A45" s="39">
        <v>4.0</v>
      </c>
      <c r="B45" s="40" t="s">
        <v>1728</v>
      </c>
      <c r="C45" s="41"/>
    </row>
    <row r="46">
      <c r="A46" s="43">
        <v>5.0</v>
      </c>
      <c r="B46" s="49" t="s">
        <v>1729</v>
      </c>
      <c r="C46" s="45"/>
    </row>
  </sheetData>
  <mergeCells count="7">
    <mergeCell ref="A1:C1"/>
    <mergeCell ref="A11:C11"/>
    <mergeCell ref="A13:C13"/>
    <mergeCell ref="A15:C15"/>
    <mergeCell ref="A23:C23"/>
    <mergeCell ref="A32:C32"/>
    <mergeCell ref="A39:C39"/>
  </mergeCells>
  <hyperlinks>
    <hyperlink r:id="rId1" ref="B9"/>
  </hyperlinks>
  <drawing r:id="rId2"/>
</worksheet>
</file>

<file path=xl/worksheets/sheet3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2" max="2" width="87.63"/>
    <col customWidth="1" min="3" max="3" width="20.13"/>
  </cols>
  <sheetData>
    <row r="1">
      <c r="A1" s="34" t="s">
        <v>742</v>
      </c>
    </row>
    <row r="2">
      <c r="A2" s="35"/>
      <c r="B2" s="35"/>
      <c r="C2" s="35"/>
    </row>
    <row r="3">
      <c r="A3" s="36" t="s">
        <v>743</v>
      </c>
      <c r="B3" s="37" t="s">
        <v>744</v>
      </c>
      <c r="C3" s="38"/>
    </row>
    <row r="4">
      <c r="A4" s="39" t="s">
        <v>6</v>
      </c>
      <c r="B4" s="40" t="s">
        <v>162</v>
      </c>
      <c r="C4" s="41"/>
    </row>
    <row r="5">
      <c r="A5" s="39" t="s">
        <v>745</v>
      </c>
      <c r="B5" s="42">
        <v>46132.0</v>
      </c>
      <c r="C5" s="41"/>
    </row>
    <row r="6">
      <c r="A6" s="39" t="s">
        <v>0</v>
      </c>
      <c r="B6" s="40" t="s">
        <v>151</v>
      </c>
      <c r="C6" s="41"/>
    </row>
    <row r="7">
      <c r="A7" s="39" t="s">
        <v>7</v>
      </c>
      <c r="B7" s="40" t="s">
        <v>26</v>
      </c>
      <c r="C7" s="41"/>
    </row>
    <row r="8">
      <c r="A8" s="39" t="s">
        <v>746</v>
      </c>
      <c r="B8" s="40">
        <v>4.0</v>
      </c>
      <c r="C8" s="41"/>
    </row>
    <row r="9">
      <c r="A9" s="43" t="s">
        <v>8</v>
      </c>
      <c r="B9" s="44" t="s">
        <v>163</v>
      </c>
      <c r="C9" s="45"/>
    </row>
    <row r="10">
      <c r="A10" s="35"/>
      <c r="B10" s="35"/>
      <c r="C10" s="35"/>
    </row>
    <row r="11">
      <c r="A11" s="34" t="s">
        <v>747</v>
      </c>
    </row>
    <row r="12">
      <c r="A12" s="35"/>
      <c r="B12" s="35"/>
      <c r="C12" s="35"/>
    </row>
    <row r="13">
      <c r="A13" s="46" t="s">
        <v>164</v>
      </c>
    </row>
    <row r="14">
      <c r="A14" s="35"/>
      <c r="B14" s="35"/>
      <c r="C14" s="35"/>
    </row>
    <row r="15">
      <c r="A15" s="34" t="s">
        <v>748</v>
      </c>
    </row>
    <row r="16">
      <c r="A16" s="35"/>
      <c r="B16" s="35"/>
      <c r="C16" s="35"/>
    </row>
    <row r="17">
      <c r="A17" s="36" t="s">
        <v>749</v>
      </c>
      <c r="B17" s="37" t="s">
        <v>750</v>
      </c>
      <c r="C17" s="47" t="s">
        <v>751</v>
      </c>
    </row>
    <row r="18">
      <c r="A18" s="39">
        <v>1.0</v>
      </c>
      <c r="B18" s="40" t="s">
        <v>1730</v>
      </c>
      <c r="C18" s="48" t="s">
        <v>753</v>
      </c>
    </row>
    <row r="19">
      <c r="A19" s="39">
        <v>2.0</v>
      </c>
      <c r="B19" s="40" t="s">
        <v>1731</v>
      </c>
      <c r="C19" s="48" t="s">
        <v>753</v>
      </c>
    </row>
    <row r="20">
      <c r="A20" s="39">
        <v>3.0</v>
      </c>
      <c r="B20" s="40" t="s">
        <v>1732</v>
      </c>
      <c r="C20" s="48" t="s">
        <v>753</v>
      </c>
    </row>
    <row r="21">
      <c r="A21" s="39">
        <v>4.0</v>
      </c>
      <c r="B21" s="40" t="s">
        <v>1733</v>
      </c>
      <c r="C21" s="48" t="s">
        <v>753</v>
      </c>
    </row>
    <row r="22">
      <c r="A22" s="39">
        <v>5.0</v>
      </c>
      <c r="B22" s="40" t="s">
        <v>1734</v>
      </c>
      <c r="C22" s="48" t="s">
        <v>753</v>
      </c>
    </row>
    <row r="23">
      <c r="A23" s="39">
        <v>6.0</v>
      </c>
      <c r="B23" s="40" t="s">
        <v>1735</v>
      </c>
      <c r="C23" s="48" t="s">
        <v>753</v>
      </c>
    </row>
    <row r="24">
      <c r="A24" s="39">
        <v>7.0</v>
      </c>
      <c r="B24" s="40" t="s">
        <v>1736</v>
      </c>
      <c r="C24" s="48" t="s">
        <v>753</v>
      </c>
    </row>
    <row r="25">
      <c r="A25" s="39">
        <v>8.0</v>
      </c>
      <c r="B25" s="40" t="s">
        <v>1737</v>
      </c>
      <c r="C25" s="48" t="s">
        <v>753</v>
      </c>
    </row>
    <row r="26">
      <c r="A26" s="39">
        <v>9.0</v>
      </c>
      <c r="B26" s="40" t="s">
        <v>1738</v>
      </c>
      <c r="C26" s="48" t="s">
        <v>753</v>
      </c>
    </row>
    <row r="27">
      <c r="A27" s="39">
        <v>10.0</v>
      </c>
      <c r="B27" s="40" t="s">
        <v>1739</v>
      </c>
      <c r="C27" s="48" t="s">
        <v>753</v>
      </c>
    </row>
    <row r="28">
      <c r="A28" s="39">
        <v>11.0</v>
      </c>
      <c r="B28" s="40" t="s">
        <v>1740</v>
      </c>
      <c r="C28" s="48" t="s">
        <v>753</v>
      </c>
    </row>
    <row r="29">
      <c r="A29" s="43">
        <v>12.0</v>
      </c>
      <c r="B29" s="49" t="s">
        <v>1741</v>
      </c>
      <c r="C29" s="50" t="s">
        <v>753</v>
      </c>
    </row>
    <row r="30">
      <c r="A30" s="35"/>
      <c r="B30" s="35"/>
      <c r="C30" s="35"/>
    </row>
    <row r="31">
      <c r="A31" s="34" t="s">
        <v>756</v>
      </c>
    </row>
    <row r="32">
      <c r="A32" s="35"/>
      <c r="B32" s="35"/>
      <c r="C32" s="35"/>
    </row>
    <row r="33">
      <c r="A33" s="36" t="s">
        <v>749</v>
      </c>
      <c r="B33" s="37" t="s">
        <v>757</v>
      </c>
      <c r="C33" s="38"/>
    </row>
    <row r="34">
      <c r="A34" s="39">
        <v>1.0</v>
      </c>
      <c r="B34" s="40" t="s">
        <v>1742</v>
      </c>
      <c r="C34" s="41"/>
    </row>
    <row r="35">
      <c r="A35" s="39">
        <v>2.0</v>
      </c>
      <c r="B35" s="40" t="s">
        <v>1743</v>
      </c>
      <c r="C35" s="41"/>
    </row>
    <row r="36">
      <c r="A36" s="39">
        <v>3.0</v>
      </c>
      <c r="B36" s="40" t="s">
        <v>1744</v>
      </c>
      <c r="C36" s="41"/>
    </row>
    <row r="37">
      <c r="A37" s="43">
        <v>4.0</v>
      </c>
      <c r="B37" s="49" t="s">
        <v>1745</v>
      </c>
      <c r="C37" s="45"/>
    </row>
    <row r="38">
      <c r="A38" s="35"/>
      <c r="B38" s="35"/>
      <c r="C38" s="35"/>
    </row>
    <row r="39">
      <c r="A39" s="34" t="s">
        <v>760</v>
      </c>
    </row>
    <row r="40">
      <c r="A40" s="35"/>
      <c r="B40" s="35"/>
      <c r="C40" s="35"/>
    </row>
    <row r="41">
      <c r="A41" s="36" t="s">
        <v>749</v>
      </c>
      <c r="B41" s="37" t="s">
        <v>757</v>
      </c>
      <c r="C41" s="38"/>
    </row>
    <row r="42">
      <c r="A42" s="39">
        <v>1.0</v>
      </c>
      <c r="B42" s="40" t="s">
        <v>1746</v>
      </c>
      <c r="C42" s="41"/>
    </row>
    <row r="43">
      <c r="A43" s="39">
        <v>2.0</v>
      </c>
      <c r="B43" s="40" t="s">
        <v>1747</v>
      </c>
      <c r="C43" s="41"/>
    </row>
    <row r="44">
      <c r="A44" s="39">
        <v>3.0</v>
      </c>
      <c r="B44" s="40" t="s">
        <v>1748</v>
      </c>
      <c r="C44" s="41"/>
    </row>
    <row r="45">
      <c r="A45" s="39">
        <v>4.0</v>
      </c>
      <c r="B45" s="40" t="s">
        <v>1749</v>
      </c>
      <c r="C45" s="41"/>
    </row>
    <row r="46">
      <c r="A46" s="39">
        <v>5.0</v>
      </c>
      <c r="B46" s="40" t="s">
        <v>1750</v>
      </c>
      <c r="C46" s="41"/>
    </row>
    <row r="47">
      <c r="A47" s="43">
        <v>6.0</v>
      </c>
      <c r="B47" s="49" t="s">
        <v>1751</v>
      </c>
      <c r="C47" s="45"/>
    </row>
    <row r="48">
      <c r="A48" s="35"/>
      <c r="B48" s="35"/>
      <c r="C48" s="35"/>
    </row>
    <row r="49">
      <c r="A49" s="34" t="s">
        <v>763</v>
      </c>
    </row>
    <row r="50">
      <c r="A50" s="35"/>
      <c r="B50" s="35"/>
      <c r="C50" s="35"/>
    </row>
    <row r="51">
      <c r="A51" s="36" t="s">
        <v>749</v>
      </c>
      <c r="B51" s="37" t="s">
        <v>757</v>
      </c>
      <c r="C51" s="38"/>
    </row>
    <row r="52">
      <c r="A52" s="39">
        <v>1.0</v>
      </c>
      <c r="B52" s="40" t="s">
        <v>1752</v>
      </c>
      <c r="C52" s="41"/>
    </row>
    <row r="53">
      <c r="A53" s="39">
        <v>2.0</v>
      </c>
      <c r="B53" s="40" t="s">
        <v>1753</v>
      </c>
      <c r="C53" s="41"/>
    </row>
    <row r="54">
      <c r="A54" s="39">
        <v>3.0</v>
      </c>
      <c r="B54" s="40" t="s">
        <v>1754</v>
      </c>
      <c r="C54" s="41"/>
    </row>
    <row r="55">
      <c r="A55" s="39">
        <v>4.0</v>
      </c>
      <c r="B55" s="40" t="s">
        <v>1755</v>
      </c>
      <c r="C55" s="41"/>
    </row>
    <row r="56">
      <c r="A56" s="39">
        <v>5.0</v>
      </c>
      <c r="B56" s="40" t="s">
        <v>1756</v>
      </c>
      <c r="C56" s="41"/>
    </row>
    <row r="57">
      <c r="A57" s="39">
        <v>6.0</v>
      </c>
      <c r="B57" s="40" t="s">
        <v>1757</v>
      </c>
      <c r="C57" s="41"/>
    </row>
    <row r="58">
      <c r="A58" s="39">
        <v>7.0</v>
      </c>
      <c r="B58" s="40" t="s">
        <v>1758</v>
      </c>
      <c r="C58" s="41"/>
    </row>
    <row r="59">
      <c r="A59" s="43">
        <v>8.0</v>
      </c>
      <c r="B59" s="49" t="s">
        <v>1759</v>
      </c>
      <c r="C59" s="45"/>
    </row>
  </sheetData>
  <mergeCells count="7">
    <mergeCell ref="A1:C1"/>
    <mergeCell ref="A11:C11"/>
    <mergeCell ref="A13:C13"/>
    <mergeCell ref="A15:C15"/>
    <mergeCell ref="A31:C31"/>
    <mergeCell ref="A39:C39"/>
    <mergeCell ref="A49:C49"/>
  </mergeCells>
  <hyperlinks>
    <hyperlink r:id="rId1" ref="B9"/>
  </hyperlinks>
  <drawing r:id="rId2"/>
</worksheet>
</file>

<file path=xl/worksheets/sheet3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2" max="2" width="87.63"/>
    <col customWidth="1" min="3" max="3" width="20.13"/>
  </cols>
  <sheetData>
    <row r="1">
      <c r="A1" s="34" t="s">
        <v>742</v>
      </c>
    </row>
    <row r="2">
      <c r="A2" s="35"/>
      <c r="B2" s="35"/>
      <c r="C2" s="35"/>
    </row>
    <row r="3">
      <c r="A3" s="36" t="s">
        <v>743</v>
      </c>
      <c r="B3" s="37" t="s">
        <v>744</v>
      </c>
      <c r="C3" s="38"/>
    </row>
    <row r="4">
      <c r="A4" s="39" t="s">
        <v>6</v>
      </c>
      <c r="B4" s="40" t="s">
        <v>166</v>
      </c>
      <c r="C4" s="41"/>
    </row>
    <row r="5">
      <c r="A5" s="39" t="s">
        <v>745</v>
      </c>
      <c r="B5" s="42">
        <v>46133.0</v>
      </c>
      <c r="C5" s="41"/>
    </row>
    <row r="6">
      <c r="A6" s="39" t="s">
        <v>0</v>
      </c>
      <c r="B6" s="40" t="s">
        <v>151</v>
      </c>
      <c r="C6" s="41"/>
    </row>
    <row r="7">
      <c r="A7" s="39" t="s">
        <v>7</v>
      </c>
      <c r="B7" s="40" t="s">
        <v>92</v>
      </c>
      <c r="C7" s="41"/>
    </row>
    <row r="8">
      <c r="A8" s="39" t="s">
        <v>746</v>
      </c>
      <c r="B8" s="40">
        <v>2.0</v>
      </c>
      <c r="C8" s="41"/>
    </row>
    <row r="9">
      <c r="A9" s="43" t="s">
        <v>8</v>
      </c>
      <c r="B9" s="44" t="s">
        <v>167</v>
      </c>
      <c r="C9" s="45"/>
    </row>
    <row r="10">
      <c r="A10" s="35"/>
      <c r="B10" s="35"/>
      <c r="C10" s="35"/>
    </row>
    <row r="11">
      <c r="A11" s="34" t="s">
        <v>747</v>
      </c>
    </row>
    <row r="12">
      <c r="A12" s="35"/>
      <c r="B12" s="35"/>
      <c r="C12" s="35"/>
    </row>
    <row r="13">
      <c r="A13" s="46" t="s">
        <v>1760</v>
      </c>
    </row>
    <row r="14">
      <c r="A14" s="35"/>
      <c r="B14" s="35"/>
      <c r="C14" s="35"/>
    </row>
    <row r="15">
      <c r="A15" s="34" t="s">
        <v>748</v>
      </c>
    </row>
    <row r="16">
      <c r="A16" s="35"/>
      <c r="B16" s="35"/>
      <c r="C16" s="35"/>
    </row>
    <row r="17">
      <c r="A17" s="36" t="s">
        <v>749</v>
      </c>
      <c r="B17" s="37" t="s">
        <v>750</v>
      </c>
      <c r="C17" s="47" t="s">
        <v>751</v>
      </c>
    </row>
    <row r="18">
      <c r="A18" s="39">
        <v>1.0</v>
      </c>
      <c r="B18" s="40" t="s">
        <v>1761</v>
      </c>
      <c r="C18" s="48" t="s">
        <v>753</v>
      </c>
    </row>
    <row r="19">
      <c r="A19" s="39">
        <v>2.0</v>
      </c>
      <c r="B19" s="40" t="s">
        <v>1762</v>
      </c>
      <c r="C19" s="48" t="s">
        <v>753</v>
      </c>
    </row>
    <row r="20">
      <c r="A20" s="39">
        <v>3.0</v>
      </c>
      <c r="B20" s="40" t="s">
        <v>1763</v>
      </c>
      <c r="C20" s="48" t="s">
        <v>753</v>
      </c>
    </row>
    <row r="21">
      <c r="A21" s="39">
        <v>4.0</v>
      </c>
      <c r="B21" s="40" t="s">
        <v>1764</v>
      </c>
      <c r="C21" s="48" t="s">
        <v>753</v>
      </c>
    </row>
    <row r="22">
      <c r="A22" s="39">
        <v>5.0</v>
      </c>
      <c r="B22" s="40" t="s">
        <v>1765</v>
      </c>
      <c r="C22" s="48" t="s">
        <v>753</v>
      </c>
    </row>
    <row r="23">
      <c r="A23" s="43">
        <v>6.0</v>
      </c>
      <c r="B23" s="49" t="s">
        <v>1766</v>
      </c>
      <c r="C23" s="50" t="s">
        <v>753</v>
      </c>
    </row>
    <row r="24">
      <c r="A24" s="35"/>
      <c r="B24" s="35"/>
      <c r="C24" s="35"/>
    </row>
    <row r="25">
      <c r="A25" s="34" t="s">
        <v>756</v>
      </c>
    </row>
    <row r="26">
      <c r="A26" s="35"/>
      <c r="B26" s="35"/>
      <c r="C26" s="35"/>
    </row>
    <row r="27">
      <c r="A27" s="36" t="s">
        <v>749</v>
      </c>
      <c r="B27" s="37" t="s">
        <v>757</v>
      </c>
      <c r="C27" s="38"/>
    </row>
    <row r="28">
      <c r="A28" s="39">
        <v>1.0</v>
      </c>
      <c r="B28" s="40" t="s">
        <v>1767</v>
      </c>
      <c r="C28" s="41"/>
    </row>
    <row r="29">
      <c r="A29" s="39">
        <v>2.0</v>
      </c>
      <c r="B29" s="40" t="s">
        <v>1768</v>
      </c>
      <c r="C29" s="41"/>
    </row>
    <row r="30">
      <c r="A30" s="39">
        <v>3.0</v>
      </c>
      <c r="B30" s="40" t="s">
        <v>1769</v>
      </c>
      <c r="C30" s="41"/>
    </row>
    <row r="31">
      <c r="A31" s="39">
        <v>4.0</v>
      </c>
      <c r="B31" s="40" t="s">
        <v>1770</v>
      </c>
      <c r="C31" s="41"/>
    </row>
    <row r="32">
      <c r="A32" s="39">
        <v>5.0</v>
      </c>
      <c r="B32" s="40" t="s">
        <v>1771</v>
      </c>
      <c r="C32" s="41"/>
    </row>
    <row r="33">
      <c r="A33" s="43">
        <v>6.0</v>
      </c>
      <c r="B33" s="49" t="s">
        <v>1772</v>
      </c>
      <c r="C33" s="45"/>
    </row>
    <row r="34">
      <c r="A34" s="35"/>
      <c r="B34" s="35"/>
      <c r="C34" s="35"/>
    </row>
    <row r="35">
      <c r="A35" s="34" t="s">
        <v>760</v>
      </c>
    </row>
    <row r="36">
      <c r="A36" s="35"/>
      <c r="B36" s="35"/>
      <c r="C36" s="35"/>
    </row>
    <row r="37">
      <c r="A37" s="36" t="s">
        <v>749</v>
      </c>
      <c r="B37" s="37" t="s">
        <v>757</v>
      </c>
      <c r="C37" s="38"/>
    </row>
    <row r="38">
      <c r="A38" s="39">
        <v>1.0</v>
      </c>
      <c r="B38" s="40" t="s">
        <v>1773</v>
      </c>
      <c r="C38" s="41"/>
    </row>
    <row r="39">
      <c r="A39" s="43">
        <v>2.0</v>
      </c>
      <c r="B39" s="49" t="s">
        <v>1774</v>
      </c>
      <c r="C39" s="45"/>
    </row>
    <row r="40">
      <c r="A40" s="35"/>
      <c r="B40" s="35"/>
      <c r="C40" s="35"/>
    </row>
    <row r="41">
      <c r="A41" s="34" t="s">
        <v>763</v>
      </c>
    </row>
    <row r="42">
      <c r="A42" s="35"/>
      <c r="B42" s="35"/>
      <c r="C42" s="35"/>
    </row>
    <row r="43">
      <c r="A43" s="36" t="s">
        <v>749</v>
      </c>
      <c r="B43" s="37" t="s">
        <v>757</v>
      </c>
      <c r="C43" s="38"/>
    </row>
    <row r="44">
      <c r="A44" s="39">
        <v>1.0</v>
      </c>
      <c r="B44" s="40" t="s">
        <v>1775</v>
      </c>
      <c r="C44" s="41"/>
    </row>
    <row r="45">
      <c r="A45" s="39">
        <v>2.0</v>
      </c>
      <c r="B45" s="40" t="s">
        <v>1776</v>
      </c>
      <c r="C45" s="41"/>
    </row>
    <row r="46">
      <c r="A46" s="39">
        <v>3.0</v>
      </c>
      <c r="B46" s="40" t="s">
        <v>1777</v>
      </c>
      <c r="C46" s="41"/>
    </row>
    <row r="47">
      <c r="A47" s="39">
        <v>4.0</v>
      </c>
      <c r="B47" s="40" t="s">
        <v>1778</v>
      </c>
      <c r="C47" s="41"/>
    </row>
    <row r="48">
      <c r="A48" s="39">
        <v>5.0</v>
      </c>
      <c r="B48" s="40" t="s">
        <v>1779</v>
      </c>
      <c r="C48" s="41"/>
    </row>
    <row r="49">
      <c r="A49" s="43">
        <v>6.0</v>
      </c>
      <c r="B49" s="49" t="s">
        <v>1780</v>
      </c>
      <c r="C49" s="45"/>
    </row>
  </sheetData>
  <mergeCells count="7">
    <mergeCell ref="A1:C1"/>
    <mergeCell ref="A11:C11"/>
    <mergeCell ref="A13:C13"/>
    <mergeCell ref="A15:C15"/>
    <mergeCell ref="A25:C25"/>
    <mergeCell ref="A35:C35"/>
    <mergeCell ref="A41:C41"/>
  </mergeCells>
  <hyperlinks>
    <hyperlink r:id="rId1" ref="B9"/>
  </hyperlinks>
  <drawing r:id="rId2"/>
</worksheet>
</file>

<file path=xl/worksheets/sheet3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2" max="2" width="87.63"/>
    <col customWidth="1" min="3" max="3" width="20.13"/>
  </cols>
  <sheetData>
    <row r="1">
      <c r="A1" s="34" t="s">
        <v>742</v>
      </c>
    </row>
    <row r="2">
      <c r="A2" s="35"/>
      <c r="B2" s="35"/>
      <c r="C2" s="35"/>
    </row>
    <row r="3">
      <c r="A3" s="36" t="s">
        <v>743</v>
      </c>
      <c r="B3" s="37" t="s">
        <v>744</v>
      </c>
      <c r="C3" s="38"/>
    </row>
    <row r="4">
      <c r="A4" s="39" t="s">
        <v>6</v>
      </c>
      <c r="B4" s="40" t="s">
        <v>170</v>
      </c>
      <c r="C4" s="41"/>
    </row>
    <row r="5">
      <c r="A5" s="39" t="s">
        <v>745</v>
      </c>
      <c r="B5" s="42">
        <v>46133.0</v>
      </c>
      <c r="C5" s="41"/>
    </row>
    <row r="6">
      <c r="A6" s="39" t="s">
        <v>0</v>
      </c>
      <c r="B6" s="40" t="s">
        <v>151</v>
      </c>
      <c r="C6" s="41"/>
    </row>
    <row r="7">
      <c r="A7" s="39" t="s">
        <v>7</v>
      </c>
      <c r="B7" s="40" t="s">
        <v>171</v>
      </c>
      <c r="C7" s="41"/>
    </row>
    <row r="8">
      <c r="A8" s="39" t="s">
        <v>746</v>
      </c>
      <c r="B8" s="40">
        <v>4.0</v>
      </c>
      <c r="C8" s="41"/>
    </row>
    <row r="9">
      <c r="A9" s="43" t="s">
        <v>8</v>
      </c>
      <c r="B9" s="44" t="s">
        <v>172</v>
      </c>
      <c r="C9" s="45"/>
    </row>
    <row r="10">
      <c r="A10" s="35"/>
      <c r="B10" s="35"/>
      <c r="C10" s="35"/>
    </row>
    <row r="11">
      <c r="A11" s="34" t="s">
        <v>747</v>
      </c>
    </row>
    <row r="12">
      <c r="A12" s="35"/>
      <c r="B12" s="35"/>
      <c r="C12" s="35"/>
    </row>
    <row r="13">
      <c r="A13" s="46" t="s">
        <v>1781</v>
      </c>
    </row>
    <row r="14">
      <c r="A14" s="35"/>
      <c r="B14" s="35"/>
      <c r="C14" s="35"/>
    </row>
    <row r="15">
      <c r="A15" s="34" t="s">
        <v>748</v>
      </c>
    </row>
    <row r="16">
      <c r="A16" s="35"/>
      <c r="B16" s="35"/>
      <c r="C16" s="35"/>
    </row>
    <row r="17">
      <c r="A17" s="36" t="s">
        <v>749</v>
      </c>
      <c r="B17" s="37" t="s">
        <v>750</v>
      </c>
      <c r="C17" s="47" t="s">
        <v>751</v>
      </c>
    </row>
    <row r="18">
      <c r="A18" s="39">
        <v>1.0</v>
      </c>
      <c r="B18" s="40" t="s">
        <v>1782</v>
      </c>
      <c r="C18" s="48" t="s">
        <v>753</v>
      </c>
    </row>
    <row r="19">
      <c r="A19" s="39">
        <v>2.0</v>
      </c>
      <c r="B19" s="40" t="s">
        <v>1783</v>
      </c>
      <c r="C19" s="48" t="s">
        <v>1784</v>
      </c>
    </row>
    <row r="20">
      <c r="A20" s="39">
        <v>3.0</v>
      </c>
      <c r="B20" s="40" t="s">
        <v>1785</v>
      </c>
      <c r="C20" s="48" t="s">
        <v>753</v>
      </c>
    </row>
    <row r="21">
      <c r="A21" s="39">
        <v>4.0</v>
      </c>
      <c r="B21" s="40" t="s">
        <v>1786</v>
      </c>
      <c r="C21" s="48" t="s">
        <v>753</v>
      </c>
    </row>
    <row r="22">
      <c r="A22" s="39">
        <v>5.0</v>
      </c>
      <c r="B22" s="40" t="s">
        <v>1787</v>
      </c>
      <c r="C22" s="48" t="s">
        <v>753</v>
      </c>
    </row>
    <row r="23">
      <c r="A23" s="39">
        <v>6.0</v>
      </c>
      <c r="B23" s="40" t="s">
        <v>1788</v>
      </c>
      <c r="C23" s="48" t="s">
        <v>753</v>
      </c>
    </row>
    <row r="24">
      <c r="A24" s="39">
        <v>7.0</v>
      </c>
      <c r="B24" s="40" t="s">
        <v>1789</v>
      </c>
      <c r="C24" s="48" t="s">
        <v>1790</v>
      </c>
    </row>
    <row r="25">
      <c r="A25" s="39">
        <v>8.0</v>
      </c>
      <c r="B25" s="40" t="s">
        <v>1791</v>
      </c>
      <c r="C25" s="48" t="s">
        <v>753</v>
      </c>
    </row>
    <row r="26">
      <c r="A26" s="39">
        <v>9.0</v>
      </c>
      <c r="B26" s="40" t="s">
        <v>1792</v>
      </c>
      <c r="C26" s="48" t="s">
        <v>753</v>
      </c>
    </row>
    <row r="27">
      <c r="A27" s="39">
        <v>10.0</v>
      </c>
      <c r="B27" s="40" t="s">
        <v>1793</v>
      </c>
      <c r="C27" s="48" t="s">
        <v>753</v>
      </c>
    </row>
    <row r="28">
      <c r="A28" s="43">
        <v>11.0</v>
      </c>
      <c r="B28" s="49" t="s">
        <v>1794</v>
      </c>
      <c r="C28" s="50" t="s">
        <v>753</v>
      </c>
    </row>
    <row r="29">
      <c r="A29" s="35"/>
      <c r="B29" s="35"/>
      <c r="C29" s="35"/>
    </row>
    <row r="30">
      <c r="A30" s="34" t="s">
        <v>756</v>
      </c>
    </row>
    <row r="31">
      <c r="A31" s="35"/>
      <c r="B31" s="35"/>
      <c r="C31" s="35"/>
    </row>
    <row r="32">
      <c r="A32" s="36" t="s">
        <v>749</v>
      </c>
      <c r="B32" s="37" t="s">
        <v>757</v>
      </c>
      <c r="C32" s="38"/>
    </row>
    <row r="33">
      <c r="A33" s="39">
        <v>1.0</v>
      </c>
      <c r="B33" s="40" t="s">
        <v>1795</v>
      </c>
      <c r="C33" s="41"/>
    </row>
    <row r="34">
      <c r="A34" s="39">
        <v>2.0</v>
      </c>
      <c r="B34" s="40" t="s">
        <v>1796</v>
      </c>
      <c r="C34" s="41"/>
    </row>
    <row r="35">
      <c r="A35" s="39">
        <v>3.0</v>
      </c>
      <c r="B35" s="40" t="s">
        <v>1797</v>
      </c>
      <c r="C35" s="41"/>
    </row>
    <row r="36">
      <c r="A36" s="39">
        <v>4.0</v>
      </c>
      <c r="B36" s="40" t="s">
        <v>1798</v>
      </c>
      <c r="C36" s="41"/>
    </row>
    <row r="37">
      <c r="A37" s="43">
        <v>5.0</v>
      </c>
      <c r="B37" s="49" t="s">
        <v>1799</v>
      </c>
      <c r="C37" s="45"/>
    </row>
    <row r="38">
      <c r="A38" s="35"/>
      <c r="B38" s="35"/>
      <c r="C38" s="35"/>
    </row>
    <row r="39">
      <c r="A39" s="34" t="s">
        <v>760</v>
      </c>
    </row>
    <row r="40">
      <c r="A40" s="35"/>
      <c r="B40" s="35"/>
      <c r="C40" s="35"/>
    </row>
    <row r="41">
      <c r="A41" s="36" t="s">
        <v>749</v>
      </c>
      <c r="B41" s="37" t="s">
        <v>757</v>
      </c>
      <c r="C41" s="38"/>
    </row>
    <row r="42">
      <c r="A42" s="39">
        <v>1.0</v>
      </c>
      <c r="B42" s="40" t="s">
        <v>1800</v>
      </c>
      <c r="C42" s="41"/>
    </row>
    <row r="43">
      <c r="A43" s="39">
        <v>2.0</v>
      </c>
      <c r="B43" s="40" t="s">
        <v>1801</v>
      </c>
      <c r="C43" s="41"/>
    </row>
    <row r="44">
      <c r="A44" s="39">
        <v>3.0</v>
      </c>
      <c r="B44" s="40" t="s">
        <v>1802</v>
      </c>
      <c r="C44" s="41"/>
    </row>
    <row r="45">
      <c r="A45" s="39">
        <v>4.0</v>
      </c>
      <c r="B45" s="40" t="s">
        <v>1803</v>
      </c>
      <c r="C45" s="41"/>
    </row>
    <row r="46">
      <c r="A46" s="43">
        <v>5.0</v>
      </c>
      <c r="B46" s="49" t="s">
        <v>1804</v>
      </c>
      <c r="C46" s="45"/>
    </row>
    <row r="47">
      <c r="A47" s="35"/>
      <c r="B47" s="35"/>
      <c r="C47" s="35"/>
    </row>
    <row r="48">
      <c r="A48" s="34" t="s">
        <v>763</v>
      </c>
    </row>
    <row r="49">
      <c r="A49" s="35"/>
      <c r="B49" s="35"/>
      <c r="C49" s="35"/>
    </row>
    <row r="50">
      <c r="A50" s="36" t="s">
        <v>749</v>
      </c>
      <c r="B50" s="37" t="s">
        <v>757</v>
      </c>
      <c r="C50" s="38"/>
    </row>
    <row r="51">
      <c r="A51" s="39">
        <v>1.0</v>
      </c>
      <c r="B51" s="40" t="s">
        <v>1805</v>
      </c>
      <c r="C51" s="41"/>
    </row>
    <row r="52">
      <c r="A52" s="39">
        <v>2.0</v>
      </c>
      <c r="B52" s="40" t="s">
        <v>1806</v>
      </c>
      <c r="C52" s="41"/>
    </row>
    <row r="53">
      <c r="A53" s="39">
        <v>3.0</v>
      </c>
      <c r="B53" s="40" t="s">
        <v>1807</v>
      </c>
      <c r="C53" s="41"/>
    </row>
    <row r="54">
      <c r="A54" s="39">
        <v>4.0</v>
      </c>
      <c r="B54" s="40" t="s">
        <v>1808</v>
      </c>
      <c r="C54" s="41"/>
    </row>
    <row r="55">
      <c r="A55" s="39">
        <v>5.0</v>
      </c>
      <c r="B55" s="40" t="s">
        <v>1809</v>
      </c>
      <c r="C55" s="41"/>
    </row>
    <row r="56">
      <c r="A56" s="39">
        <v>6.0</v>
      </c>
      <c r="B56" s="40" t="s">
        <v>1810</v>
      </c>
      <c r="C56" s="41"/>
    </row>
    <row r="57">
      <c r="A57" s="39">
        <v>7.0</v>
      </c>
      <c r="B57" s="40" t="s">
        <v>1811</v>
      </c>
      <c r="C57" s="41"/>
    </row>
    <row r="58">
      <c r="A58" s="39">
        <v>8.0</v>
      </c>
      <c r="B58" s="40" t="s">
        <v>1812</v>
      </c>
      <c r="C58" s="41"/>
    </row>
    <row r="59">
      <c r="A59" s="43">
        <v>9.0</v>
      </c>
      <c r="B59" s="49" t="s">
        <v>1813</v>
      </c>
      <c r="C59" s="45"/>
    </row>
  </sheetData>
  <mergeCells count="7">
    <mergeCell ref="A1:C1"/>
    <mergeCell ref="A11:C11"/>
    <mergeCell ref="A13:C13"/>
    <mergeCell ref="A15:C15"/>
    <mergeCell ref="A30:C30"/>
    <mergeCell ref="A39:C39"/>
    <mergeCell ref="A48:C48"/>
  </mergeCells>
  <hyperlinks>
    <hyperlink r:id="rId1" ref="B9"/>
  </hyperlinks>
  <drawing r:id="rId2"/>
</worksheet>
</file>

<file path=xl/worksheets/sheet3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2" max="2" width="87.63"/>
    <col customWidth="1" min="3" max="3" width="20.13"/>
  </cols>
  <sheetData>
    <row r="1">
      <c r="A1" s="34" t="s">
        <v>742</v>
      </c>
    </row>
    <row r="2">
      <c r="A2" s="35"/>
      <c r="B2" s="35"/>
      <c r="C2" s="35"/>
    </row>
    <row r="3">
      <c r="A3" s="36" t="s">
        <v>743</v>
      </c>
      <c r="B3" s="37" t="s">
        <v>744</v>
      </c>
      <c r="C3" s="38"/>
    </row>
    <row r="4">
      <c r="A4" s="39" t="s">
        <v>6</v>
      </c>
      <c r="B4" s="40" t="s">
        <v>176</v>
      </c>
      <c r="C4" s="41"/>
    </row>
    <row r="5">
      <c r="A5" s="39" t="s">
        <v>745</v>
      </c>
      <c r="B5" s="42">
        <v>46133.0</v>
      </c>
      <c r="C5" s="41"/>
    </row>
    <row r="6">
      <c r="A6" s="39" t="s">
        <v>0</v>
      </c>
      <c r="B6" s="40" t="s">
        <v>151</v>
      </c>
      <c r="C6" s="41"/>
    </row>
    <row r="7">
      <c r="A7" s="39" t="s">
        <v>7</v>
      </c>
      <c r="B7" s="40" t="s">
        <v>177</v>
      </c>
      <c r="C7" s="41"/>
    </row>
    <row r="8">
      <c r="A8" s="39" t="s">
        <v>746</v>
      </c>
      <c r="B8" s="40">
        <v>2.0</v>
      </c>
      <c r="C8" s="41"/>
    </row>
    <row r="9">
      <c r="A9" s="43" t="s">
        <v>8</v>
      </c>
      <c r="B9" s="44" t="s">
        <v>178</v>
      </c>
      <c r="C9" s="45"/>
    </row>
    <row r="10">
      <c r="A10" s="35"/>
      <c r="B10" s="35"/>
      <c r="C10" s="35"/>
    </row>
    <row r="11">
      <c r="A11" s="34" t="s">
        <v>747</v>
      </c>
    </row>
    <row r="12">
      <c r="A12" s="35"/>
      <c r="B12" s="35"/>
      <c r="C12" s="35"/>
    </row>
    <row r="13">
      <c r="A13" s="46" t="s">
        <v>1814</v>
      </c>
    </row>
    <row r="14">
      <c r="A14" s="35"/>
      <c r="B14" s="35"/>
      <c r="C14" s="35"/>
    </row>
    <row r="15">
      <c r="A15" s="34" t="s">
        <v>748</v>
      </c>
    </row>
    <row r="16">
      <c r="A16" s="35"/>
      <c r="B16" s="35"/>
      <c r="C16" s="35"/>
    </row>
    <row r="17">
      <c r="A17" s="36" t="s">
        <v>749</v>
      </c>
      <c r="B17" s="37" t="s">
        <v>750</v>
      </c>
      <c r="C17" s="47" t="s">
        <v>751</v>
      </c>
    </row>
    <row r="18">
      <c r="A18" s="39">
        <v>1.0</v>
      </c>
      <c r="B18" s="40" t="s">
        <v>1815</v>
      </c>
      <c r="C18" s="48" t="s">
        <v>753</v>
      </c>
    </row>
    <row r="19">
      <c r="A19" s="39">
        <v>2.0</v>
      </c>
      <c r="B19" s="40" t="s">
        <v>1816</v>
      </c>
      <c r="C19" s="48" t="s">
        <v>753</v>
      </c>
    </row>
    <row r="20">
      <c r="A20" s="39">
        <v>3.0</v>
      </c>
      <c r="B20" s="40" t="s">
        <v>1817</v>
      </c>
      <c r="C20" s="48" t="s">
        <v>753</v>
      </c>
    </row>
    <row r="21">
      <c r="A21" s="39">
        <v>4.0</v>
      </c>
      <c r="B21" s="40" t="s">
        <v>1818</v>
      </c>
      <c r="C21" s="48" t="s">
        <v>753</v>
      </c>
    </row>
    <row r="22">
      <c r="A22" s="39">
        <v>5.0</v>
      </c>
      <c r="B22" s="40" t="s">
        <v>1819</v>
      </c>
      <c r="C22" s="48" t="s">
        <v>753</v>
      </c>
    </row>
    <row r="23">
      <c r="A23" s="39">
        <v>6.0</v>
      </c>
      <c r="B23" s="40" t="s">
        <v>1820</v>
      </c>
      <c r="C23" s="48" t="s">
        <v>753</v>
      </c>
    </row>
    <row r="24">
      <c r="A24" s="39">
        <v>7.0</v>
      </c>
      <c r="B24" s="40" t="s">
        <v>1821</v>
      </c>
      <c r="C24" s="48" t="s">
        <v>753</v>
      </c>
    </row>
    <row r="25">
      <c r="A25" s="39">
        <v>8.0</v>
      </c>
      <c r="B25" s="40" t="s">
        <v>1822</v>
      </c>
      <c r="C25" s="48" t="s">
        <v>753</v>
      </c>
    </row>
    <row r="26">
      <c r="A26" s="39">
        <v>9.0</v>
      </c>
      <c r="B26" s="40" t="s">
        <v>1823</v>
      </c>
      <c r="C26" s="48" t="s">
        <v>753</v>
      </c>
    </row>
    <row r="27">
      <c r="A27" s="43">
        <v>10.0</v>
      </c>
      <c r="B27" s="49" t="s">
        <v>1824</v>
      </c>
      <c r="C27" s="50" t="s">
        <v>753</v>
      </c>
    </row>
    <row r="28">
      <c r="A28" s="35"/>
      <c r="B28" s="35"/>
      <c r="C28" s="35"/>
    </row>
    <row r="29">
      <c r="A29" s="34" t="s">
        <v>756</v>
      </c>
    </row>
    <row r="30">
      <c r="A30" s="35"/>
      <c r="B30" s="35"/>
      <c r="C30" s="35"/>
    </row>
    <row r="31">
      <c r="A31" s="36" t="s">
        <v>749</v>
      </c>
      <c r="B31" s="37" t="s">
        <v>757</v>
      </c>
      <c r="C31" s="38"/>
    </row>
    <row r="32">
      <c r="A32" s="39">
        <v>1.0</v>
      </c>
      <c r="B32" s="40" t="s">
        <v>1825</v>
      </c>
      <c r="C32" s="41"/>
    </row>
    <row r="33">
      <c r="A33" s="39">
        <v>2.0</v>
      </c>
      <c r="B33" s="40" t="s">
        <v>1826</v>
      </c>
      <c r="C33" s="41"/>
    </row>
    <row r="34">
      <c r="A34" s="39">
        <v>3.0</v>
      </c>
      <c r="B34" s="40" t="s">
        <v>1827</v>
      </c>
      <c r="C34" s="41"/>
    </row>
    <row r="35">
      <c r="A35" s="39">
        <v>4.0</v>
      </c>
      <c r="B35" s="40" t="s">
        <v>1828</v>
      </c>
      <c r="C35" s="41"/>
    </row>
    <row r="36">
      <c r="A36" s="39">
        <v>5.0</v>
      </c>
      <c r="B36" s="40" t="s">
        <v>1829</v>
      </c>
      <c r="C36" s="41"/>
    </row>
    <row r="37">
      <c r="A37" s="43">
        <v>6.0</v>
      </c>
      <c r="B37" s="49" t="s">
        <v>1830</v>
      </c>
      <c r="C37" s="45"/>
    </row>
    <row r="38">
      <c r="A38" s="35"/>
      <c r="B38" s="35"/>
      <c r="C38" s="35"/>
    </row>
    <row r="39">
      <c r="A39" s="34" t="s">
        <v>760</v>
      </c>
    </row>
    <row r="40">
      <c r="A40" s="35"/>
      <c r="B40" s="35"/>
      <c r="C40" s="35"/>
    </row>
    <row r="41">
      <c r="A41" s="36" t="s">
        <v>749</v>
      </c>
      <c r="B41" s="37" t="s">
        <v>757</v>
      </c>
      <c r="C41" s="38"/>
    </row>
    <row r="42">
      <c r="A42" s="39">
        <v>1.0</v>
      </c>
      <c r="B42" s="40" t="s">
        <v>1831</v>
      </c>
      <c r="C42" s="41"/>
    </row>
    <row r="43">
      <c r="A43" s="39">
        <v>2.0</v>
      </c>
      <c r="B43" s="40" t="s">
        <v>1832</v>
      </c>
      <c r="C43" s="41"/>
    </row>
    <row r="44">
      <c r="A44" s="39">
        <v>3.0</v>
      </c>
      <c r="B44" s="40" t="s">
        <v>1833</v>
      </c>
      <c r="C44" s="41"/>
    </row>
    <row r="45">
      <c r="A45" s="39">
        <v>4.0</v>
      </c>
      <c r="B45" s="40" t="s">
        <v>1834</v>
      </c>
      <c r="C45" s="41"/>
    </row>
    <row r="46">
      <c r="A46" s="39">
        <v>5.0</v>
      </c>
      <c r="B46" s="40" t="s">
        <v>1835</v>
      </c>
      <c r="C46" s="41"/>
    </row>
    <row r="47">
      <c r="A47" s="43">
        <v>6.0</v>
      </c>
      <c r="B47" s="49" t="s">
        <v>1836</v>
      </c>
      <c r="C47" s="45"/>
    </row>
    <row r="48">
      <c r="A48" s="35"/>
      <c r="B48" s="35"/>
      <c r="C48" s="35"/>
    </row>
    <row r="49">
      <c r="A49" s="34" t="s">
        <v>763</v>
      </c>
    </row>
    <row r="50">
      <c r="A50" s="35"/>
      <c r="B50" s="35"/>
      <c r="C50" s="35"/>
    </row>
    <row r="51">
      <c r="A51" s="36" t="s">
        <v>749</v>
      </c>
      <c r="B51" s="37" t="s">
        <v>757</v>
      </c>
      <c r="C51" s="38"/>
    </row>
    <row r="52">
      <c r="A52" s="39">
        <v>1.0</v>
      </c>
      <c r="B52" s="40" t="s">
        <v>1837</v>
      </c>
      <c r="C52" s="41"/>
    </row>
    <row r="53">
      <c r="A53" s="39">
        <v>2.0</v>
      </c>
      <c r="B53" s="40" t="s">
        <v>1838</v>
      </c>
      <c r="C53" s="41"/>
    </row>
    <row r="54">
      <c r="A54" s="39">
        <v>3.0</v>
      </c>
      <c r="B54" s="40" t="s">
        <v>1839</v>
      </c>
      <c r="C54" s="41"/>
    </row>
    <row r="55">
      <c r="A55" s="39">
        <v>4.0</v>
      </c>
      <c r="B55" s="40" t="s">
        <v>1840</v>
      </c>
      <c r="C55" s="41"/>
    </row>
    <row r="56">
      <c r="A56" s="39">
        <v>5.0</v>
      </c>
      <c r="B56" s="40" t="s">
        <v>1841</v>
      </c>
      <c r="C56" s="41"/>
    </row>
    <row r="57">
      <c r="A57" s="39">
        <v>6.0</v>
      </c>
      <c r="B57" s="40" t="s">
        <v>1842</v>
      </c>
      <c r="C57" s="41"/>
    </row>
    <row r="58">
      <c r="A58" s="39">
        <v>7.0</v>
      </c>
      <c r="B58" s="40" t="s">
        <v>1843</v>
      </c>
      <c r="C58" s="41"/>
    </row>
    <row r="59">
      <c r="A59" s="43">
        <v>8.0</v>
      </c>
      <c r="B59" s="49" t="s">
        <v>1844</v>
      </c>
      <c r="C59" s="45"/>
    </row>
  </sheetData>
  <mergeCells count="7">
    <mergeCell ref="A1:C1"/>
    <mergeCell ref="A11:C11"/>
    <mergeCell ref="A13:C13"/>
    <mergeCell ref="A15:C15"/>
    <mergeCell ref="A29:C29"/>
    <mergeCell ref="A39:C39"/>
    <mergeCell ref="A49:C49"/>
  </mergeCells>
  <hyperlinks>
    <hyperlink r:id="rId1" ref="B9"/>
  </hyperlinks>
  <drawing r:id="rId2"/>
</worksheet>
</file>

<file path=xl/worksheets/sheet3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2" max="2" width="87.63"/>
    <col customWidth="1" min="3" max="3" width="20.13"/>
  </cols>
  <sheetData>
    <row r="1">
      <c r="A1" s="34" t="s">
        <v>742</v>
      </c>
    </row>
    <row r="2">
      <c r="A2" s="35"/>
      <c r="B2" s="35"/>
      <c r="C2" s="35"/>
    </row>
    <row r="3">
      <c r="A3" s="36" t="s">
        <v>743</v>
      </c>
      <c r="B3" s="37" t="s">
        <v>744</v>
      </c>
      <c r="C3" s="38"/>
    </row>
    <row r="4">
      <c r="A4" s="39" t="s">
        <v>6</v>
      </c>
      <c r="B4" s="40" t="s">
        <v>182</v>
      </c>
      <c r="C4" s="41"/>
    </row>
    <row r="5">
      <c r="A5" s="39" t="s">
        <v>745</v>
      </c>
      <c r="B5" s="42">
        <v>46134.0</v>
      </c>
      <c r="C5" s="41"/>
    </row>
    <row r="6">
      <c r="A6" s="39" t="s">
        <v>0</v>
      </c>
      <c r="B6" s="40" t="s">
        <v>151</v>
      </c>
      <c r="C6" s="41"/>
    </row>
    <row r="7">
      <c r="A7" s="39" t="s">
        <v>7</v>
      </c>
      <c r="B7" s="40" t="s">
        <v>45</v>
      </c>
      <c r="C7" s="41"/>
    </row>
    <row r="8">
      <c r="A8" s="39" t="s">
        <v>746</v>
      </c>
      <c r="B8" s="40">
        <v>5.0</v>
      </c>
      <c r="C8" s="41"/>
    </row>
    <row r="9">
      <c r="A9" s="43" t="s">
        <v>8</v>
      </c>
      <c r="B9" s="44" t="s">
        <v>183</v>
      </c>
      <c r="C9" s="45"/>
    </row>
    <row r="10">
      <c r="A10" s="35"/>
      <c r="B10" s="35"/>
      <c r="C10" s="35"/>
    </row>
    <row r="11">
      <c r="A11" s="34" t="s">
        <v>747</v>
      </c>
    </row>
    <row r="12">
      <c r="A12" s="35"/>
      <c r="B12" s="35"/>
      <c r="C12" s="35"/>
    </row>
    <row r="13">
      <c r="A13" s="46" t="s">
        <v>184</v>
      </c>
    </row>
    <row r="14">
      <c r="A14" s="35"/>
      <c r="B14" s="35"/>
      <c r="C14" s="35"/>
    </row>
    <row r="15">
      <c r="A15" s="34" t="s">
        <v>748</v>
      </c>
    </row>
    <row r="16">
      <c r="A16" s="35"/>
      <c r="B16" s="35"/>
      <c r="C16" s="35"/>
    </row>
    <row r="17">
      <c r="A17" s="36" t="s">
        <v>749</v>
      </c>
      <c r="B17" s="37" t="s">
        <v>750</v>
      </c>
      <c r="C17" s="47" t="s">
        <v>751</v>
      </c>
    </row>
    <row r="18">
      <c r="A18" s="39">
        <v>1.0</v>
      </c>
      <c r="B18" s="40" t="s">
        <v>1845</v>
      </c>
      <c r="C18" s="48" t="s">
        <v>753</v>
      </c>
    </row>
    <row r="19">
      <c r="A19" s="39">
        <v>2.0</v>
      </c>
      <c r="B19" s="40" t="s">
        <v>1846</v>
      </c>
      <c r="C19" s="48" t="s">
        <v>753</v>
      </c>
    </row>
    <row r="20">
      <c r="A20" s="39">
        <v>3.0</v>
      </c>
      <c r="B20" s="40" t="s">
        <v>1847</v>
      </c>
      <c r="C20" s="48" t="s">
        <v>753</v>
      </c>
    </row>
    <row r="21">
      <c r="A21" s="39">
        <v>4.0</v>
      </c>
      <c r="B21" s="40" t="s">
        <v>1848</v>
      </c>
      <c r="C21" s="48" t="s">
        <v>753</v>
      </c>
    </row>
    <row r="22">
      <c r="A22" s="39">
        <v>5.0</v>
      </c>
      <c r="B22" s="40" t="s">
        <v>1849</v>
      </c>
      <c r="C22" s="48" t="s">
        <v>753</v>
      </c>
    </row>
    <row r="23">
      <c r="A23" s="39">
        <v>6.0</v>
      </c>
      <c r="B23" s="40" t="s">
        <v>1850</v>
      </c>
      <c r="C23" s="48" t="s">
        <v>753</v>
      </c>
    </row>
    <row r="24">
      <c r="A24" s="43">
        <v>7.0</v>
      </c>
      <c r="B24" s="49" t="s">
        <v>1851</v>
      </c>
      <c r="C24" s="50" t="s">
        <v>753</v>
      </c>
    </row>
    <row r="25">
      <c r="A25" s="35"/>
      <c r="B25" s="35"/>
      <c r="C25" s="35"/>
    </row>
    <row r="26">
      <c r="A26" s="34" t="s">
        <v>756</v>
      </c>
    </row>
    <row r="27">
      <c r="A27" s="35"/>
      <c r="B27" s="35"/>
      <c r="C27" s="35"/>
    </row>
    <row r="28">
      <c r="A28" s="36" t="s">
        <v>749</v>
      </c>
      <c r="B28" s="37" t="s">
        <v>757</v>
      </c>
      <c r="C28" s="38"/>
    </row>
    <row r="29">
      <c r="A29" s="39">
        <v>1.0</v>
      </c>
      <c r="B29" s="40" t="s">
        <v>1852</v>
      </c>
      <c r="C29" s="41"/>
    </row>
    <row r="30">
      <c r="A30" s="39">
        <v>2.0</v>
      </c>
      <c r="B30" s="40" t="s">
        <v>1853</v>
      </c>
      <c r="C30" s="41"/>
    </row>
    <row r="31">
      <c r="A31" s="39">
        <v>3.0</v>
      </c>
      <c r="B31" s="40" t="s">
        <v>1854</v>
      </c>
      <c r="C31" s="41"/>
    </row>
    <row r="32">
      <c r="A32" s="39">
        <v>4.0</v>
      </c>
      <c r="B32" s="40" t="s">
        <v>1855</v>
      </c>
      <c r="C32" s="41"/>
    </row>
    <row r="33">
      <c r="A33" s="43">
        <v>5.0</v>
      </c>
      <c r="B33" s="49" t="s">
        <v>1856</v>
      </c>
      <c r="C33" s="45"/>
    </row>
    <row r="34">
      <c r="A34" s="35"/>
      <c r="B34" s="35"/>
      <c r="C34" s="35"/>
    </row>
    <row r="35">
      <c r="A35" s="34" t="s">
        <v>760</v>
      </c>
    </row>
    <row r="36">
      <c r="A36" s="35"/>
      <c r="B36" s="35"/>
      <c r="C36" s="35"/>
    </row>
    <row r="37">
      <c r="A37" s="36" t="s">
        <v>749</v>
      </c>
      <c r="B37" s="37" t="s">
        <v>757</v>
      </c>
      <c r="C37" s="38"/>
    </row>
    <row r="38">
      <c r="A38" s="39">
        <v>1.0</v>
      </c>
      <c r="B38" s="40" t="s">
        <v>1857</v>
      </c>
      <c r="C38" s="41"/>
    </row>
    <row r="39">
      <c r="A39" s="39">
        <v>2.0</v>
      </c>
      <c r="B39" s="40" t="s">
        <v>1858</v>
      </c>
      <c r="C39" s="41"/>
    </row>
    <row r="40">
      <c r="A40" s="39">
        <v>3.0</v>
      </c>
      <c r="B40" s="40" t="s">
        <v>1859</v>
      </c>
      <c r="C40" s="41"/>
    </row>
    <row r="41">
      <c r="A41" s="43">
        <v>4.0</v>
      </c>
      <c r="B41" s="49" t="s">
        <v>1860</v>
      </c>
      <c r="C41" s="45"/>
    </row>
    <row r="42">
      <c r="A42" s="35"/>
      <c r="B42" s="35"/>
      <c r="C42" s="35"/>
    </row>
    <row r="43">
      <c r="A43" s="34" t="s">
        <v>763</v>
      </c>
    </row>
    <row r="44">
      <c r="A44" s="35"/>
      <c r="B44" s="35"/>
      <c r="C44" s="35"/>
    </row>
    <row r="45">
      <c r="A45" s="36" t="s">
        <v>749</v>
      </c>
      <c r="B45" s="37" t="s">
        <v>757</v>
      </c>
      <c r="C45" s="38"/>
    </row>
    <row r="46">
      <c r="A46" s="39">
        <v>1.0</v>
      </c>
      <c r="B46" s="40" t="s">
        <v>1861</v>
      </c>
      <c r="C46" s="41"/>
    </row>
    <row r="47">
      <c r="A47" s="39">
        <v>2.0</v>
      </c>
      <c r="B47" s="40" t="s">
        <v>1862</v>
      </c>
      <c r="C47" s="41"/>
    </row>
    <row r="48">
      <c r="A48" s="39">
        <v>3.0</v>
      </c>
      <c r="B48" s="40" t="s">
        <v>1863</v>
      </c>
      <c r="C48" s="41"/>
    </row>
    <row r="49">
      <c r="A49" s="39">
        <v>4.0</v>
      </c>
      <c r="B49" s="40" t="s">
        <v>1864</v>
      </c>
      <c r="C49" s="41"/>
    </row>
    <row r="50">
      <c r="A50" s="39">
        <v>5.0</v>
      </c>
      <c r="B50" s="40" t="s">
        <v>1865</v>
      </c>
      <c r="C50" s="41"/>
    </row>
    <row r="51">
      <c r="A51" s="39">
        <v>6.0</v>
      </c>
      <c r="B51" s="40" t="s">
        <v>1866</v>
      </c>
      <c r="C51" s="41"/>
    </row>
    <row r="52">
      <c r="A52" s="43">
        <v>7.0</v>
      </c>
      <c r="B52" s="49" t="s">
        <v>1867</v>
      </c>
      <c r="C52" s="45"/>
    </row>
  </sheetData>
  <mergeCells count="7">
    <mergeCell ref="A1:C1"/>
    <mergeCell ref="A11:C11"/>
    <mergeCell ref="A13:C13"/>
    <mergeCell ref="A15:C15"/>
    <mergeCell ref="A26:C26"/>
    <mergeCell ref="A35:C35"/>
    <mergeCell ref="A43:C43"/>
  </mergeCells>
  <hyperlinks>
    <hyperlink r:id="rId1" ref="B9"/>
  </hyperlinks>
  <drawing r:id="rId2"/>
</worksheet>
</file>

<file path=xl/worksheets/sheet3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2" max="2" width="87.63"/>
    <col customWidth="1" min="3" max="3" width="20.13"/>
  </cols>
  <sheetData>
    <row r="1">
      <c r="A1" s="34" t="s">
        <v>742</v>
      </c>
    </row>
    <row r="2">
      <c r="A2" s="35"/>
      <c r="B2" s="35"/>
      <c r="C2" s="35"/>
    </row>
    <row r="3">
      <c r="A3" s="36" t="s">
        <v>743</v>
      </c>
      <c r="B3" s="37" t="s">
        <v>744</v>
      </c>
      <c r="C3" s="38"/>
    </row>
    <row r="4">
      <c r="A4" s="39" t="s">
        <v>6</v>
      </c>
      <c r="B4" s="40" t="s">
        <v>186</v>
      </c>
      <c r="C4" s="41"/>
    </row>
    <row r="5">
      <c r="A5" s="39" t="s">
        <v>745</v>
      </c>
      <c r="B5" s="42">
        <v>46134.0</v>
      </c>
      <c r="C5" s="41"/>
    </row>
    <row r="6">
      <c r="A6" s="39" t="s">
        <v>0</v>
      </c>
      <c r="B6" s="40" t="s">
        <v>151</v>
      </c>
      <c r="C6" s="41"/>
    </row>
    <row r="7">
      <c r="A7" s="39" t="s">
        <v>7</v>
      </c>
      <c r="B7" s="40" t="s">
        <v>187</v>
      </c>
      <c r="C7" s="41"/>
    </row>
    <row r="8">
      <c r="A8" s="39" t="s">
        <v>746</v>
      </c>
      <c r="B8" s="40">
        <v>8.0</v>
      </c>
      <c r="C8" s="41"/>
    </row>
    <row r="9">
      <c r="A9" s="43" t="s">
        <v>8</v>
      </c>
      <c r="B9" s="44" t="s">
        <v>188</v>
      </c>
      <c r="C9" s="45"/>
    </row>
    <row r="10">
      <c r="A10" s="35"/>
      <c r="B10" s="35"/>
      <c r="C10" s="35"/>
    </row>
    <row r="11">
      <c r="A11" s="34" t="s">
        <v>747</v>
      </c>
    </row>
    <row r="12">
      <c r="A12" s="35"/>
      <c r="B12" s="35"/>
      <c r="C12" s="35"/>
    </row>
    <row r="13">
      <c r="A13" s="46" t="s">
        <v>1868</v>
      </c>
    </row>
    <row r="14">
      <c r="A14" s="35"/>
      <c r="B14" s="35"/>
      <c r="C14" s="35"/>
    </row>
    <row r="15">
      <c r="A15" s="34" t="s">
        <v>748</v>
      </c>
    </row>
    <row r="16">
      <c r="A16" s="35"/>
      <c r="B16" s="35"/>
      <c r="C16" s="35"/>
    </row>
    <row r="17">
      <c r="A17" s="36" t="s">
        <v>749</v>
      </c>
      <c r="B17" s="37" t="s">
        <v>750</v>
      </c>
      <c r="C17" s="47" t="s">
        <v>751</v>
      </c>
    </row>
    <row r="18">
      <c r="A18" s="39">
        <v>1.0</v>
      </c>
      <c r="B18" s="40" t="s">
        <v>1869</v>
      </c>
      <c r="C18" s="48" t="s">
        <v>753</v>
      </c>
    </row>
    <row r="19">
      <c r="A19" s="39">
        <v>2.0</v>
      </c>
      <c r="B19" s="40" t="s">
        <v>1870</v>
      </c>
      <c r="C19" s="48" t="s">
        <v>753</v>
      </c>
    </row>
    <row r="20">
      <c r="A20" s="39">
        <v>3.0</v>
      </c>
      <c r="B20" s="40" t="s">
        <v>1871</v>
      </c>
      <c r="C20" s="48" t="s">
        <v>753</v>
      </c>
    </row>
    <row r="21">
      <c r="A21" s="39">
        <v>4.0</v>
      </c>
      <c r="B21" s="40" t="s">
        <v>1872</v>
      </c>
      <c r="C21" s="48" t="s">
        <v>753</v>
      </c>
    </row>
    <row r="22">
      <c r="A22" s="39">
        <v>5.0</v>
      </c>
      <c r="B22" s="40" t="s">
        <v>1873</v>
      </c>
      <c r="C22" s="48" t="s">
        <v>753</v>
      </c>
    </row>
    <row r="23">
      <c r="A23" s="39">
        <v>6.0</v>
      </c>
      <c r="B23" s="40" t="s">
        <v>1874</v>
      </c>
      <c r="C23" s="48" t="s">
        <v>753</v>
      </c>
    </row>
    <row r="24">
      <c r="A24" s="39">
        <v>7.0</v>
      </c>
      <c r="B24" s="40" t="s">
        <v>1875</v>
      </c>
      <c r="C24" s="48" t="s">
        <v>753</v>
      </c>
    </row>
    <row r="25">
      <c r="A25" s="39">
        <v>8.0</v>
      </c>
      <c r="B25" s="40" t="s">
        <v>1876</v>
      </c>
      <c r="C25" s="48" t="s">
        <v>753</v>
      </c>
    </row>
    <row r="26">
      <c r="A26" s="39">
        <v>9.0</v>
      </c>
      <c r="B26" s="40" t="s">
        <v>1877</v>
      </c>
      <c r="C26" s="48" t="s">
        <v>753</v>
      </c>
    </row>
    <row r="27">
      <c r="A27" s="43">
        <v>10.0</v>
      </c>
      <c r="B27" s="49" t="s">
        <v>1878</v>
      </c>
      <c r="C27" s="50" t="s">
        <v>753</v>
      </c>
    </row>
    <row r="28">
      <c r="A28" s="35"/>
      <c r="B28" s="35"/>
      <c r="C28" s="35"/>
    </row>
    <row r="29">
      <c r="A29" s="34" t="s">
        <v>756</v>
      </c>
    </row>
    <row r="30">
      <c r="A30" s="35"/>
      <c r="B30" s="35"/>
      <c r="C30" s="35"/>
    </row>
    <row r="31">
      <c r="A31" s="36" t="s">
        <v>749</v>
      </c>
      <c r="B31" s="37" t="s">
        <v>757</v>
      </c>
      <c r="C31" s="38"/>
    </row>
    <row r="32">
      <c r="A32" s="39">
        <v>1.0</v>
      </c>
      <c r="B32" s="40" t="s">
        <v>1879</v>
      </c>
      <c r="C32" s="41"/>
    </row>
    <row r="33">
      <c r="A33" s="39">
        <v>2.0</v>
      </c>
      <c r="B33" s="40" t="s">
        <v>1880</v>
      </c>
      <c r="C33" s="41"/>
    </row>
    <row r="34">
      <c r="A34" s="39">
        <v>3.0</v>
      </c>
      <c r="B34" s="40" t="s">
        <v>1881</v>
      </c>
      <c r="C34" s="41"/>
    </row>
    <row r="35">
      <c r="A35" s="39">
        <v>4.0</v>
      </c>
      <c r="B35" s="40" t="s">
        <v>1882</v>
      </c>
      <c r="C35" s="41"/>
    </row>
    <row r="36">
      <c r="A36" s="39">
        <v>5.0</v>
      </c>
      <c r="B36" s="40" t="s">
        <v>1883</v>
      </c>
      <c r="C36" s="41"/>
    </row>
    <row r="37">
      <c r="A37" s="39">
        <v>6.0</v>
      </c>
      <c r="B37" s="40" t="s">
        <v>1884</v>
      </c>
      <c r="C37" s="41"/>
    </row>
    <row r="38">
      <c r="A38" s="43">
        <v>7.0</v>
      </c>
      <c r="B38" s="49" t="s">
        <v>1885</v>
      </c>
      <c r="C38" s="45"/>
    </row>
    <row r="39">
      <c r="A39" s="35"/>
      <c r="B39" s="35"/>
      <c r="C39" s="35"/>
    </row>
    <row r="40">
      <c r="A40" s="34" t="s">
        <v>760</v>
      </c>
    </row>
    <row r="41">
      <c r="A41" s="35"/>
      <c r="B41" s="35"/>
      <c r="C41" s="35"/>
    </row>
    <row r="42">
      <c r="A42" s="36" t="s">
        <v>749</v>
      </c>
      <c r="B42" s="37" t="s">
        <v>757</v>
      </c>
      <c r="C42" s="38"/>
    </row>
    <row r="43">
      <c r="A43" s="39">
        <v>1.0</v>
      </c>
      <c r="B43" s="40" t="s">
        <v>1886</v>
      </c>
      <c r="C43" s="41"/>
    </row>
    <row r="44">
      <c r="A44" s="39">
        <v>2.0</v>
      </c>
      <c r="B44" s="40" t="s">
        <v>1887</v>
      </c>
      <c r="C44" s="41"/>
    </row>
    <row r="45">
      <c r="A45" s="39">
        <v>3.0</v>
      </c>
      <c r="B45" s="40" t="s">
        <v>1888</v>
      </c>
      <c r="C45" s="41"/>
    </row>
    <row r="46">
      <c r="A46" s="39">
        <v>4.0</v>
      </c>
      <c r="B46" s="40" t="s">
        <v>1889</v>
      </c>
      <c r="C46" s="41"/>
    </row>
    <row r="47">
      <c r="A47" s="43">
        <v>5.0</v>
      </c>
      <c r="B47" s="49" t="s">
        <v>1890</v>
      </c>
      <c r="C47" s="45"/>
    </row>
    <row r="48">
      <c r="A48" s="35"/>
      <c r="B48" s="35"/>
      <c r="C48" s="35"/>
    </row>
    <row r="49">
      <c r="A49" s="34" t="s">
        <v>763</v>
      </c>
    </row>
    <row r="50">
      <c r="A50" s="35"/>
      <c r="B50" s="35"/>
      <c r="C50" s="35"/>
    </row>
    <row r="51">
      <c r="A51" s="36" t="s">
        <v>749</v>
      </c>
      <c r="B51" s="37" t="s">
        <v>757</v>
      </c>
      <c r="C51" s="38"/>
    </row>
    <row r="52">
      <c r="A52" s="39">
        <v>1.0</v>
      </c>
      <c r="B52" s="40" t="s">
        <v>1891</v>
      </c>
      <c r="C52" s="41"/>
    </row>
    <row r="53">
      <c r="A53" s="39">
        <v>2.0</v>
      </c>
      <c r="B53" s="40" t="s">
        <v>1892</v>
      </c>
      <c r="C53" s="41"/>
    </row>
    <row r="54">
      <c r="A54" s="39">
        <v>3.0</v>
      </c>
      <c r="B54" s="40" t="s">
        <v>1893</v>
      </c>
      <c r="C54" s="41"/>
    </row>
    <row r="55">
      <c r="A55" s="39">
        <v>4.0</v>
      </c>
      <c r="B55" s="40" t="s">
        <v>1894</v>
      </c>
      <c r="C55" s="41"/>
    </row>
    <row r="56">
      <c r="A56" s="39">
        <v>5.0</v>
      </c>
      <c r="B56" s="40" t="s">
        <v>1895</v>
      </c>
      <c r="C56" s="41"/>
    </row>
    <row r="57">
      <c r="A57" s="39">
        <v>6.0</v>
      </c>
      <c r="B57" s="40" t="s">
        <v>1896</v>
      </c>
      <c r="C57" s="41"/>
    </row>
    <row r="58">
      <c r="A58" s="39">
        <v>7.0</v>
      </c>
      <c r="B58" s="40" t="s">
        <v>1897</v>
      </c>
      <c r="C58" s="41"/>
    </row>
    <row r="59">
      <c r="A59" s="39">
        <v>8.0</v>
      </c>
      <c r="B59" s="40" t="s">
        <v>1898</v>
      </c>
      <c r="C59" s="41"/>
    </row>
    <row r="60">
      <c r="A60" s="39">
        <v>9.0</v>
      </c>
      <c r="B60" s="40" t="s">
        <v>899</v>
      </c>
      <c r="C60" s="41"/>
    </row>
    <row r="61">
      <c r="A61" s="43">
        <v>10.0</v>
      </c>
      <c r="B61" s="49" t="s">
        <v>1899</v>
      </c>
      <c r="C61" s="45"/>
    </row>
  </sheetData>
  <mergeCells count="7">
    <mergeCell ref="A1:C1"/>
    <mergeCell ref="A11:C11"/>
    <mergeCell ref="A13:C13"/>
    <mergeCell ref="A15:C15"/>
    <mergeCell ref="A29:C29"/>
    <mergeCell ref="A40:C40"/>
    <mergeCell ref="A49:C49"/>
  </mergeCells>
  <hyperlinks>
    <hyperlink r:id="rId1" ref="B9"/>
  </hyperlinks>
  <drawing r:id="rId2"/>
</worksheet>
</file>

<file path=xl/worksheets/sheet4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2" max="2" width="87.63"/>
    <col customWidth="1" min="3" max="3" width="20.13"/>
  </cols>
  <sheetData>
    <row r="1">
      <c r="A1" s="34" t="s">
        <v>742</v>
      </c>
    </row>
    <row r="2">
      <c r="A2" s="35"/>
      <c r="B2" s="35"/>
      <c r="C2" s="35"/>
    </row>
    <row r="3">
      <c r="A3" s="36" t="s">
        <v>743</v>
      </c>
      <c r="B3" s="37" t="s">
        <v>744</v>
      </c>
      <c r="C3" s="38"/>
    </row>
    <row r="4">
      <c r="A4" s="39" t="s">
        <v>6</v>
      </c>
      <c r="B4" s="40" t="s">
        <v>191</v>
      </c>
      <c r="C4" s="41"/>
    </row>
    <row r="5">
      <c r="A5" s="39" t="s">
        <v>745</v>
      </c>
      <c r="B5" s="42">
        <v>46135.0</v>
      </c>
      <c r="C5" s="41"/>
    </row>
    <row r="6">
      <c r="A6" s="39" t="s">
        <v>0</v>
      </c>
      <c r="B6" s="40" t="s">
        <v>151</v>
      </c>
      <c r="C6" s="41"/>
    </row>
    <row r="7">
      <c r="A7" s="39" t="s">
        <v>7</v>
      </c>
      <c r="B7" s="40" t="s">
        <v>68</v>
      </c>
      <c r="C7" s="41"/>
    </row>
    <row r="8">
      <c r="A8" s="39" t="s">
        <v>746</v>
      </c>
      <c r="B8" s="40">
        <v>3.0</v>
      </c>
      <c r="C8" s="41"/>
    </row>
    <row r="9">
      <c r="A9" s="43" t="s">
        <v>8</v>
      </c>
      <c r="B9" s="44" t="s">
        <v>192</v>
      </c>
      <c r="C9" s="45"/>
    </row>
    <row r="10">
      <c r="A10" s="35"/>
      <c r="B10" s="35"/>
      <c r="C10" s="35"/>
    </row>
    <row r="11">
      <c r="A11" s="34" t="s">
        <v>747</v>
      </c>
    </row>
    <row r="12">
      <c r="A12" s="35"/>
      <c r="B12" s="35"/>
      <c r="C12" s="35"/>
    </row>
    <row r="13">
      <c r="A13" s="46" t="s">
        <v>193</v>
      </c>
    </row>
    <row r="14">
      <c r="A14" s="35"/>
      <c r="B14" s="35"/>
      <c r="C14" s="35"/>
    </row>
    <row r="15">
      <c r="A15" s="34" t="s">
        <v>748</v>
      </c>
    </row>
    <row r="16">
      <c r="A16" s="35"/>
      <c r="B16" s="35"/>
      <c r="C16" s="35"/>
    </row>
    <row r="17">
      <c r="A17" s="36" t="s">
        <v>749</v>
      </c>
      <c r="B17" s="37" t="s">
        <v>750</v>
      </c>
      <c r="C17" s="47" t="s">
        <v>751</v>
      </c>
    </row>
    <row r="18">
      <c r="A18" s="39">
        <v>1.0</v>
      </c>
      <c r="B18" s="40" t="s">
        <v>1900</v>
      </c>
      <c r="C18" s="48" t="s">
        <v>753</v>
      </c>
    </row>
    <row r="19">
      <c r="A19" s="39">
        <v>2.0</v>
      </c>
      <c r="B19" s="40" t="s">
        <v>1901</v>
      </c>
      <c r="C19" s="48" t="s">
        <v>753</v>
      </c>
    </row>
    <row r="20">
      <c r="A20" s="39">
        <v>3.0</v>
      </c>
      <c r="B20" s="40" t="s">
        <v>1902</v>
      </c>
      <c r="C20" s="48" t="s">
        <v>1476</v>
      </c>
    </row>
    <row r="21">
      <c r="A21" s="39">
        <v>4.0</v>
      </c>
      <c r="B21" s="40" t="s">
        <v>1903</v>
      </c>
      <c r="C21" s="48" t="s">
        <v>753</v>
      </c>
    </row>
    <row r="22">
      <c r="A22" s="43">
        <v>5.0</v>
      </c>
      <c r="B22" s="49" t="s">
        <v>1904</v>
      </c>
      <c r="C22" s="50" t="s">
        <v>753</v>
      </c>
    </row>
    <row r="23">
      <c r="A23" s="35"/>
      <c r="B23" s="35"/>
      <c r="C23" s="35"/>
    </row>
    <row r="24">
      <c r="A24" s="34" t="s">
        <v>756</v>
      </c>
    </row>
    <row r="25">
      <c r="A25" s="35"/>
      <c r="B25" s="35"/>
      <c r="C25" s="35"/>
    </row>
    <row r="26">
      <c r="A26" s="36" t="s">
        <v>749</v>
      </c>
      <c r="B26" s="37" t="s">
        <v>757</v>
      </c>
      <c r="C26" s="38"/>
    </row>
    <row r="27">
      <c r="A27" s="39">
        <v>1.0</v>
      </c>
      <c r="B27" s="40" t="s">
        <v>1905</v>
      </c>
      <c r="C27" s="41"/>
    </row>
    <row r="28">
      <c r="A28" s="39">
        <v>2.0</v>
      </c>
      <c r="B28" s="40" t="s">
        <v>1906</v>
      </c>
      <c r="C28" s="41"/>
    </row>
    <row r="29">
      <c r="A29" s="39">
        <v>3.0</v>
      </c>
      <c r="B29" s="40" t="s">
        <v>1907</v>
      </c>
      <c r="C29" s="41"/>
    </row>
    <row r="30">
      <c r="A30" s="43">
        <v>4.0</v>
      </c>
      <c r="B30" s="49" t="s">
        <v>1908</v>
      </c>
      <c r="C30" s="45"/>
    </row>
    <row r="31">
      <c r="A31" s="35"/>
      <c r="B31" s="35"/>
      <c r="C31" s="35"/>
    </row>
    <row r="32">
      <c r="A32" s="34" t="s">
        <v>760</v>
      </c>
    </row>
    <row r="33">
      <c r="A33" s="35"/>
      <c r="B33" s="35"/>
      <c r="C33" s="35"/>
    </row>
    <row r="34">
      <c r="A34" s="36" t="s">
        <v>749</v>
      </c>
      <c r="B34" s="37" t="s">
        <v>757</v>
      </c>
      <c r="C34" s="38"/>
    </row>
    <row r="35">
      <c r="A35" s="39">
        <v>1.0</v>
      </c>
      <c r="B35" s="40" t="s">
        <v>1909</v>
      </c>
      <c r="C35" s="41"/>
    </row>
    <row r="36">
      <c r="A36" s="39">
        <v>2.0</v>
      </c>
      <c r="B36" s="40" t="s">
        <v>1910</v>
      </c>
      <c r="C36" s="41"/>
    </row>
    <row r="37">
      <c r="A37" s="39">
        <v>3.0</v>
      </c>
      <c r="B37" s="40" t="s">
        <v>1911</v>
      </c>
      <c r="C37" s="41"/>
    </row>
    <row r="38">
      <c r="A38" s="39">
        <v>4.0</v>
      </c>
      <c r="B38" s="40" t="s">
        <v>1912</v>
      </c>
      <c r="C38" s="41"/>
    </row>
    <row r="39">
      <c r="A39" s="39">
        <v>5.0</v>
      </c>
      <c r="B39" s="40" t="s">
        <v>1913</v>
      </c>
      <c r="C39" s="41"/>
    </row>
    <row r="40">
      <c r="A40" s="43">
        <v>6.0</v>
      </c>
      <c r="B40" s="49" t="s">
        <v>1914</v>
      </c>
      <c r="C40" s="45"/>
    </row>
    <row r="41">
      <c r="A41" s="35"/>
      <c r="B41" s="35"/>
      <c r="C41" s="35"/>
    </row>
    <row r="42">
      <c r="A42" s="34" t="s">
        <v>763</v>
      </c>
    </row>
    <row r="43">
      <c r="A43" s="35"/>
      <c r="B43" s="35"/>
      <c r="C43" s="35"/>
    </row>
    <row r="44">
      <c r="A44" s="36" t="s">
        <v>749</v>
      </c>
      <c r="B44" s="37" t="s">
        <v>757</v>
      </c>
      <c r="C44" s="38"/>
    </row>
    <row r="45">
      <c r="A45" s="39">
        <v>1.0</v>
      </c>
      <c r="B45" s="40" t="s">
        <v>1915</v>
      </c>
      <c r="C45" s="41"/>
    </row>
    <row r="46">
      <c r="A46" s="39">
        <v>2.0</v>
      </c>
      <c r="B46" s="40" t="s">
        <v>1916</v>
      </c>
      <c r="C46" s="41"/>
    </row>
    <row r="47">
      <c r="A47" s="39">
        <v>3.0</v>
      </c>
      <c r="B47" s="40" t="s">
        <v>1917</v>
      </c>
      <c r="C47" s="41"/>
    </row>
    <row r="48">
      <c r="A48" s="39">
        <v>4.0</v>
      </c>
      <c r="B48" s="40" t="s">
        <v>1918</v>
      </c>
      <c r="C48" s="41"/>
    </row>
    <row r="49">
      <c r="A49" s="43">
        <v>5.0</v>
      </c>
      <c r="B49" s="49" t="s">
        <v>1919</v>
      </c>
      <c r="C49" s="45"/>
    </row>
  </sheetData>
  <mergeCells count="7">
    <mergeCell ref="A1:C1"/>
    <mergeCell ref="A11:C11"/>
    <mergeCell ref="A13:C13"/>
    <mergeCell ref="A15:C15"/>
    <mergeCell ref="A24:C24"/>
    <mergeCell ref="A32:C32"/>
    <mergeCell ref="A42:C42"/>
  </mergeCells>
  <hyperlinks>
    <hyperlink r:id="rId1" ref="B9"/>
  </hyperlinks>
  <drawing r:id="rId2"/>
</worksheet>
</file>

<file path=xl/worksheets/sheet4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2" max="2" width="87.63"/>
    <col customWidth="1" min="3" max="3" width="20.13"/>
  </cols>
  <sheetData>
    <row r="1">
      <c r="A1" s="34" t="s">
        <v>742</v>
      </c>
    </row>
    <row r="2">
      <c r="A2" s="35"/>
      <c r="B2" s="35"/>
      <c r="C2" s="35"/>
    </row>
    <row r="3">
      <c r="A3" s="36" t="s">
        <v>743</v>
      </c>
      <c r="B3" s="37" t="s">
        <v>744</v>
      </c>
      <c r="C3" s="38"/>
    </row>
    <row r="4">
      <c r="A4" s="39" t="s">
        <v>6</v>
      </c>
      <c r="B4" s="40" t="s">
        <v>195</v>
      </c>
      <c r="C4" s="41"/>
    </row>
    <row r="5">
      <c r="A5" s="39" t="s">
        <v>745</v>
      </c>
      <c r="B5" s="42">
        <v>46136.0</v>
      </c>
      <c r="C5" s="41"/>
    </row>
    <row r="6">
      <c r="A6" s="39" t="s">
        <v>0</v>
      </c>
      <c r="B6" s="40" t="s">
        <v>151</v>
      </c>
      <c r="C6" s="41"/>
    </row>
    <row r="7">
      <c r="A7" s="39" t="s">
        <v>7</v>
      </c>
      <c r="B7" s="40" t="s">
        <v>196</v>
      </c>
      <c r="C7" s="41"/>
    </row>
    <row r="8">
      <c r="A8" s="39" t="s">
        <v>746</v>
      </c>
      <c r="B8" s="40">
        <v>7.0</v>
      </c>
      <c r="C8" s="41"/>
    </row>
    <row r="9">
      <c r="A9" s="43" t="s">
        <v>8</v>
      </c>
      <c r="B9" s="44" t="s">
        <v>197</v>
      </c>
      <c r="C9" s="45"/>
    </row>
    <row r="10">
      <c r="A10" s="35"/>
      <c r="B10" s="35"/>
      <c r="C10" s="35"/>
    </row>
    <row r="11">
      <c r="A11" s="34" t="s">
        <v>747</v>
      </c>
    </row>
    <row r="12">
      <c r="A12" s="35"/>
      <c r="B12" s="35"/>
      <c r="C12" s="35"/>
    </row>
    <row r="13">
      <c r="A13" s="46" t="s">
        <v>1920</v>
      </c>
    </row>
    <row r="14">
      <c r="A14" s="35"/>
      <c r="B14" s="35"/>
      <c r="C14" s="35"/>
    </row>
    <row r="15">
      <c r="A15" s="34" t="s">
        <v>748</v>
      </c>
    </row>
    <row r="16">
      <c r="A16" s="35"/>
      <c r="B16" s="35"/>
      <c r="C16" s="35"/>
    </row>
    <row r="17">
      <c r="A17" s="36" t="s">
        <v>749</v>
      </c>
      <c r="B17" s="37" t="s">
        <v>750</v>
      </c>
      <c r="C17" s="47" t="s">
        <v>751</v>
      </c>
    </row>
    <row r="18">
      <c r="A18" s="39">
        <v>1.0</v>
      </c>
      <c r="B18" s="40" t="s">
        <v>1921</v>
      </c>
      <c r="C18" s="48" t="s">
        <v>1537</v>
      </c>
    </row>
    <row r="19">
      <c r="A19" s="39">
        <v>2.0</v>
      </c>
      <c r="B19" s="40" t="s">
        <v>1922</v>
      </c>
      <c r="C19" s="48" t="s">
        <v>1537</v>
      </c>
    </row>
    <row r="20">
      <c r="A20" s="39">
        <v>3.0</v>
      </c>
      <c r="B20" s="40" t="s">
        <v>1923</v>
      </c>
      <c r="C20" s="48" t="s">
        <v>1537</v>
      </c>
    </row>
    <row r="21">
      <c r="A21" s="39">
        <v>4.0</v>
      </c>
      <c r="B21" s="40" t="s">
        <v>1924</v>
      </c>
      <c r="C21" s="48" t="s">
        <v>1537</v>
      </c>
    </row>
    <row r="22">
      <c r="A22" s="39">
        <v>5.0</v>
      </c>
      <c r="B22" s="40" t="s">
        <v>1925</v>
      </c>
      <c r="C22" s="48" t="s">
        <v>1537</v>
      </c>
    </row>
    <row r="23">
      <c r="A23" s="39">
        <v>6.0</v>
      </c>
      <c r="B23" s="40" t="s">
        <v>1926</v>
      </c>
      <c r="C23" s="48" t="s">
        <v>1537</v>
      </c>
    </row>
    <row r="24">
      <c r="A24" s="39">
        <v>7.0</v>
      </c>
      <c r="B24" s="40" t="s">
        <v>1927</v>
      </c>
      <c r="C24" s="48" t="s">
        <v>1537</v>
      </c>
    </row>
    <row r="25">
      <c r="A25" s="39">
        <v>8.0</v>
      </c>
      <c r="B25" s="40" t="s">
        <v>1928</v>
      </c>
      <c r="C25" s="48" t="s">
        <v>1537</v>
      </c>
    </row>
    <row r="26">
      <c r="A26" s="39">
        <v>9.0</v>
      </c>
      <c r="B26" s="40" t="s">
        <v>1929</v>
      </c>
      <c r="C26" s="48" t="s">
        <v>1537</v>
      </c>
    </row>
    <row r="27">
      <c r="A27" s="39">
        <v>10.0</v>
      </c>
      <c r="B27" s="40" t="s">
        <v>1930</v>
      </c>
      <c r="C27" s="48" t="s">
        <v>1537</v>
      </c>
    </row>
    <row r="28">
      <c r="A28" s="39">
        <v>11.0</v>
      </c>
      <c r="B28" s="40" t="s">
        <v>1931</v>
      </c>
      <c r="C28" s="48" t="s">
        <v>1537</v>
      </c>
    </row>
    <row r="29">
      <c r="A29" s="39">
        <v>12.0</v>
      </c>
      <c r="B29" s="40" t="s">
        <v>1932</v>
      </c>
      <c r="C29" s="48" t="s">
        <v>1537</v>
      </c>
    </row>
    <row r="30">
      <c r="A30" s="43">
        <v>13.0</v>
      </c>
      <c r="B30" s="49" t="s">
        <v>1933</v>
      </c>
      <c r="C30" s="50" t="s">
        <v>1537</v>
      </c>
    </row>
    <row r="31">
      <c r="A31" s="35"/>
      <c r="B31" s="35"/>
      <c r="C31" s="35"/>
    </row>
    <row r="32">
      <c r="A32" s="34" t="s">
        <v>756</v>
      </c>
    </row>
    <row r="33">
      <c r="A33" s="35"/>
      <c r="B33" s="35"/>
      <c r="C33" s="35"/>
    </row>
    <row r="34">
      <c r="A34" s="36" t="s">
        <v>749</v>
      </c>
      <c r="B34" s="37" t="s">
        <v>757</v>
      </c>
      <c r="C34" s="38"/>
    </row>
    <row r="35">
      <c r="A35" s="39">
        <v>1.0</v>
      </c>
      <c r="B35" s="40" t="s">
        <v>1934</v>
      </c>
      <c r="C35" s="41"/>
    </row>
    <row r="36">
      <c r="A36" s="39">
        <v>2.0</v>
      </c>
      <c r="B36" s="40" t="s">
        <v>1935</v>
      </c>
      <c r="C36" s="41"/>
    </row>
    <row r="37">
      <c r="A37" s="39">
        <v>3.0</v>
      </c>
      <c r="B37" s="40" t="s">
        <v>1936</v>
      </c>
      <c r="C37" s="41"/>
    </row>
    <row r="38">
      <c r="A38" s="39">
        <v>4.0</v>
      </c>
      <c r="B38" s="40" t="s">
        <v>1937</v>
      </c>
      <c r="C38" s="41"/>
    </row>
    <row r="39">
      <c r="A39" s="39">
        <v>5.0</v>
      </c>
      <c r="B39" s="40" t="s">
        <v>1938</v>
      </c>
      <c r="C39" s="41"/>
    </row>
    <row r="40">
      <c r="A40" s="39">
        <v>6.0</v>
      </c>
      <c r="B40" s="40" t="s">
        <v>1939</v>
      </c>
      <c r="C40" s="41"/>
    </row>
    <row r="41">
      <c r="A41" s="39">
        <v>7.0</v>
      </c>
      <c r="B41" s="40" t="s">
        <v>1940</v>
      </c>
      <c r="C41" s="41"/>
    </row>
    <row r="42">
      <c r="A42" s="39">
        <v>8.0</v>
      </c>
      <c r="B42" s="40" t="s">
        <v>1941</v>
      </c>
      <c r="C42" s="41"/>
    </row>
    <row r="43">
      <c r="A43" s="39">
        <v>9.0</v>
      </c>
      <c r="B43" s="40" t="s">
        <v>1942</v>
      </c>
      <c r="C43" s="41"/>
    </row>
    <row r="44">
      <c r="A44" s="39">
        <v>10.0</v>
      </c>
      <c r="B44" s="40" t="s">
        <v>1943</v>
      </c>
      <c r="C44" s="41"/>
    </row>
    <row r="45">
      <c r="A45" s="43">
        <v>11.0</v>
      </c>
      <c r="B45" s="49" t="s">
        <v>1944</v>
      </c>
      <c r="C45" s="45"/>
    </row>
    <row r="46">
      <c r="A46" s="35"/>
      <c r="B46" s="35"/>
      <c r="C46" s="35"/>
    </row>
    <row r="47">
      <c r="A47" s="34" t="s">
        <v>760</v>
      </c>
    </row>
    <row r="48">
      <c r="A48" s="35"/>
      <c r="B48" s="35"/>
      <c r="C48" s="35"/>
    </row>
    <row r="49">
      <c r="A49" s="36" t="s">
        <v>749</v>
      </c>
      <c r="B49" s="37" t="s">
        <v>757</v>
      </c>
      <c r="C49" s="38"/>
    </row>
    <row r="50">
      <c r="A50" s="39">
        <v>1.0</v>
      </c>
      <c r="B50" s="40" t="s">
        <v>1945</v>
      </c>
      <c r="C50" s="41"/>
    </row>
    <row r="51">
      <c r="A51" s="39">
        <v>2.0</v>
      </c>
      <c r="B51" s="40" t="s">
        <v>1946</v>
      </c>
      <c r="C51" s="41"/>
    </row>
    <row r="52">
      <c r="A52" s="39">
        <v>3.0</v>
      </c>
      <c r="B52" s="40" t="s">
        <v>1947</v>
      </c>
      <c r="C52" s="41"/>
    </row>
    <row r="53">
      <c r="A53" s="39">
        <v>4.0</v>
      </c>
      <c r="B53" s="40" t="s">
        <v>1948</v>
      </c>
      <c r="C53" s="41"/>
    </row>
    <row r="54">
      <c r="A54" s="39">
        <v>5.0</v>
      </c>
      <c r="B54" s="40" t="s">
        <v>1949</v>
      </c>
      <c r="C54" s="41"/>
    </row>
    <row r="55">
      <c r="A55" s="39">
        <v>6.0</v>
      </c>
      <c r="B55" s="40" t="s">
        <v>1950</v>
      </c>
      <c r="C55" s="41"/>
    </row>
    <row r="56">
      <c r="A56" s="43">
        <v>7.0</v>
      </c>
      <c r="B56" s="49" t="s">
        <v>1951</v>
      </c>
      <c r="C56" s="45"/>
    </row>
    <row r="57">
      <c r="A57" s="35"/>
      <c r="B57" s="35"/>
      <c r="C57" s="35"/>
    </row>
    <row r="58">
      <c r="A58" s="34" t="s">
        <v>763</v>
      </c>
    </row>
    <row r="59">
      <c r="A59" s="35"/>
      <c r="B59" s="35"/>
      <c r="C59" s="35"/>
    </row>
    <row r="60">
      <c r="A60" s="36" t="s">
        <v>749</v>
      </c>
      <c r="B60" s="37" t="s">
        <v>757</v>
      </c>
      <c r="C60" s="38"/>
    </row>
    <row r="61">
      <c r="A61" s="39">
        <v>1.0</v>
      </c>
      <c r="B61" s="40" t="s">
        <v>1952</v>
      </c>
      <c r="C61" s="41"/>
    </row>
    <row r="62">
      <c r="A62" s="39">
        <v>2.0</v>
      </c>
      <c r="B62" s="40" t="s">
        <v>1953</v>
      </c>
      <c r="C62" s="41"/>
    </row>
    <row r="63">
      <c r="A63" s="39">
        <v>3.0</v>
      </c>
      <c r="B63" s="40" t="s">
        <v>1954</v>
      </c>
      <c r="C63" s="41"/>
    </row>
    <row r="64">
      <c r="A64" s="39">
        <v>4.0</v>
      </c>
      <c r="B64" s="40" t="s">
        <v>1955</v>
      </c>
      <c r="C64" s="41"/>
    </row>
    <row r="65">
      <c r="A65" s="39">
        <v>5.0</v>
      </c>
      <c r="B65" s="40" t="s">
        <v>1956</v>
      </c>
      <c r="C65" s="41"/>
    </row>
    <row r="66">
      <c r="A66" s="39">
        <v>6.0</v>
      </c>
      <c r="B66" s="40" t="s">
        <v>1957</v>
      </c>
      <c r="C66" s="41"/>
    </row>
    <row r="67">
      <c r="A67" s="39">
        <v>7.0</v>
      </c>
      <c r="B67" s="40" t="s">
        <v>1958</v>
      </c>
      <c r="C67" s="41"/>
    </row>
    <row r="68">
      <c r="A68" s="43">
        <v>8.0</v>
      </c>
      <c r="B68" s="49" t="s">
        <v>1959</v>
      </c>
      <c r="C68" s="45"/>
    </row>
  </sheetData>
  <mergeCells count="7">
    <mergeCell ref="A1:C1"/>
    <mergeCell ref="A11:C11"/>
    <mergeCell ref="A13:C13"/>
    <mergeCell ref="A15:C15"/>
    <mergeCell ref="A32:C32"/>
    <mergeCell ref="A47:C47"/>
    <mergeCell ref="A58:C58"/>
  </mergeCells>
  <hyperlinks>
    <hyperlink r:id="rId1" ref="B9"/>
  </hyperlinks>
  <drawing r:id="rId2"/>
</worksheet>
</file>

<file path=xl/worksheets/sheet4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2" max="2" width="87.63"/>
    <col customWidth="1" min="3" max="3" width="20.13"/>
  </cols>
  <sheetData>
    <row r="1">
      <c r="A1" s="34" t="s">
        <v>742</v>
      </c>
    </row>
    <row r="2">
      <c r="A2" s="35"/>
      <c r="B2" s="35"/>
      <c r="C2" s="35"/>
    </row>
    <row r="3">
      <c r="A3" s="36" t="s">
        <v>743</v>
      </c>
      <c r="B3" s="37" t="s">
        <v>744</v>
      </c>
      <c r="C3" s="38"/>
    </row>
    <row r="4">
      <c r="A4" s="39" t="s">
        <v>6</v>
      </c>
      <c r="B4" s="40" t="s">
        <v>200</v>
      </c>
      <c r="C4" s="41"/>
    </row>
    <row r="5">
      <c r="A5" s="39" t="s">
        <v>745</v>
      </c>
      <c r="B5" s="42">
        <v>46136.0</v>
      </c>
      <c r="C5" s="41"/>
    </row>
    <row r="6">
      <c r="A6" s="39" t="s">
        <v>0</v>
      </c>
      <c r="B6" s="40" t="s">
        <v>151</v>
      </c>
      <c r="C6" s="41"/>
    </row>
    <row r="7">
      <c r="A7" s="39" t="s">
        <v>7</v>
      </c>
      <c r="B7" s="40" t="s">
        <v>196</v>
      </c>
      <c r="C7" s="41"/>
    </row>
    <row r="8">
      <c r="A8" s="39" t="s">
        <v>746</v>
      </c>
      <c r="B8" s="40">
        <v>7.0</v>
      </c>
      <c r="C8" s="41"/>
    </row>
    <row r="9">
      <c r="A9" s="43" t="s">
        <v>8</v>
      </c>
      <c r="B9" s="44" t="s">
        <v>201</v>
      </c>
      <c r="C9" s="45"/>
    </row>
    <row r="10">
      <c r="A10" s="35"/>
      <c r="B10" s="35"/>
      <c r="C10" s="35"/>
    </row>
    <row r="11">
      <c r="A11" s="34" t="s">
        <v>747</v>
      </c>
    </row>
    <row r="12">
      <c r="A12" s="35"/>
      <c r="B12" s="35"/>
      <c r="C12" s="35"/>
    </row>
    <row r="13">
      <c r="A13" s="46" t="s">
        <v>1960</v>
      </c>
    </row>
    <row r="14">
      <c r="A14" s="35"/>
      <c r="B14" s="35"/>
      <c r="C14" s="35"/>
    </row>
    <row r="15">
      <c r="A15" s="34" t="s">
        <v>748</v>
      </c>
    </row>
    <row r="16">
      <c r="A16" s="35"/>
      <c r="B16" s="35"/>
      <c r="C16" s="35"/>
    </row>
    <row r="17">
      <c r="A17" s="36" t="s">
        <v>749</v>
      </c>
      <c r="B17" s="37" t="s">
        <v>750</v>
      </c>
      <c r="C17" s="47" t="s">
        <v>751</v>
      </c>
    </row>
    <row r="18">
      <c r="A18" s="39">
        <v>1.0</v>
      </c>
      <c r="B18" s="40" t="s">
        <v>1961</v>
      </c>
      <c r="C18" s="48" t="s">
        <v>753</v>
      </c>
    </row>
    <row r="19">
      <c r="A19" s="39">
        <v>2.0</v>
      </c>
      <c r="B19" s="40" t="s">
        <v>1962</v>
      </c>
      <c r="C19" s="48" t="s">
        <v>753</v>
      </c>
    </row>
    <row r="20">
      <c r="A20" s="39">
        <v>3.0</v>
      </c>
      <c r="B20" s="40" t="s">
        <v>1963</v>
      </c>
      <c r="C20" s="48" t="s">
        <v>753</v>
      </c>
    </row>
    <row r="21">
      <c r="A21" s="39">
        <v>4.0</v>
      </c>
      <c r="B21" s="40" t="s">
        <v>1964</v>
      </c>
      <c r="C21" s="48" t="s">
        <v>753</v>
      </c>
    </row>
    <row r="22">
      <c r="A22" s="39">
        <v>5.0</v>
      </c>
      <c r="B22" s="40" t="s">
        <v>1965</v>
      </c>
      <c r="C22" s="48" t="s">
        <v>753</v>
      </c>
    </row>
    <row r="23">
      <c r="A23" s="39">
        <v>6.0</v>
      </c>
      <c r="B23" s="40" t="s">
        <v>1966</v>
      </c>
      <c r="C23" s="48" t="s">
        <v>753</v>
      </c>
    </row>
    <row r="24">
      <c r="A24" s="39">
        <v>7.0</v>
      </c>
      <c r="B24" s="40" t="s">
        <v>1967</v>
      </c>
      <c r="C24" s="48" t="s">
        <v>753</v>
      </c>
    </row>
    <row r="25">
      <c r="A25" s="39">
        <v>8.0</v>
      </c>
      <c r="B25" s="40" t="s">
        <v>1968</v>
      </c>
      <c r="C25" s="48" t="s">
        <v>753</v>
      </c>
    </row>
    <row r="26">
      <c r="A26" s="39">
        <v>9.0</v>
      </c>
      <c r="B26" s="40" t="s">
        <v>1969</v>
      </c>
      <c r="C26" s="48" t="s">
        <v>753</v>
      </c>
    </row>
    <row r="27">
      <c r="A27" s="39">
        <v>10.0</v>
      </c>
      <c r="B27" s="40" t="s">
        <v>1970</v>
      </c>
      <c r="C27" s="48" t="s">
        <v>753</v>
      </c>
    </row>
    <row r="28">
      <c r="A28" s="39">
        <v>11.0</v>
      </c>
      <c r="B28" s="40" t="s">
        <v>1971</v>
      </c>
      <c r="C28" s="48" t="s">
        <v>753</v>
      </c>
    </row>
    <row r="29">
      <c r="A29" s="43">
        <v>12.0</v>
      </c>
      <c r="B29" s="49" t="s">
        <v>1972</v>
      </c>
      <c r="C29" s="50" t="s">
        <v>753</v>
      </c>
    </row>
    <row r="30">
      <c r="A30" s="35"/>
      <c r="B30" s="35"/>
      <c r="C30" s="35"/>
    </row>
    <row r="31">
      <c r="A31" s="34" t="s">
        <v>756</v>
      </c>
    </row>
    <row r="32">
      <c r="A32" s="35"/>
      <c r="B32" s="35"/>
      <c r="C32" s="35"/>
    </row>
    <row r="33">
      <c r="A33" s="36" t="s">
        <v>749</v>
      </c>
      <c r="B33" s="37" t="s">
        <v>757</v>
      </c>
      <c r="C33" s="38"/>
    </row>
    <row r="34">
      <c r="A34" s="39">
        <v>1.0</v>
      </c>
      <c r="B34" s="40" t="s">
        <v>1973</v>
      </c>
      <c r="C34" s="41"/>
    </row>
    <row r="35">
      <c r="A35" s="39">
        <v>2.0</v>
      </c>
      <c r="B35" s="40" t="s">
        <v>1974</v>
      </c>
      <c r="C35" s="41"/>
    </row>
    <row r="36">
      <c r="A36" s="39">
        <v>3.0</v>
      </c>
      <c r="B36" s="40" t="s">
        <v>1975</v>
      </c>
      <c r="C36" s="41"/>
    </row>
    <row r="37">
      <c r="A37" s="39">
        <v>4.0</v>
      </c>
      <c r="B37" s="40" t="s">
        <v>1976</v>
      </c>
      <c r="C37" s="41"/>
    </row>
    <row r="38">
      <c r="A38" s="39">
        <v>5.0</v>
      </c>
      <c r="B38" s="40" t="s">
        <v>1977</v>
      </c>
      <c r="C38" s="41"/>
    </row>
    <row r="39">
      <c r="A39" s="39">
        <v>6.0</v>
      </c>
      <c r="B39" s="40" t="s">
        <v>1978</v>
      </c>
      <c r="C39" s="41"/>
    </row>
    <row r="40">
      <c r="A40" s="39">
        <v>7.0</v>
      </c>
      <c r="B40" s="40" t="s">
        <v>1979</v>
      </c>
      <c r="C40" s="41"/>
    </row>
    <row r="41">
      <c r="A41" s="39">
        <v>8.0</v>
      </c>
      <c r="B41" s="40" t="s">
        <v>1980</v>
      </c>
      <c r="C41" s="41"/>
    </row>
    <row r="42">
      <c r="A42" s="39">
        <v>9.0</v>
      </c>
      <c r="B42" s="40" t="s">
        <v>1981</v>
      </c>
      <c r="C42" s="41"/>
    </row>
    <row r="43">
      <c r="A43" s="39">
        <v>10.0</v>
      </c>
      <c r="B43" s="40" t="s">
        <v>1982</v>
      </c>
      <c r="C43" s="41"/>
    </row>
    <row r="44">
      <c r="A44" s="43">
        <v>11.0</v>
      </c>
      <c r="B44" s="49" t="s">
        <v>1983</v>
      </c>
      <c r="C44" s="45"/>
    </row>
    <row r="45">
      <c r="A45" s="35"/>
      <c r="B45" s="35"/>
      <c r="C45" s="35"/>
    </row>
    <row r="46">
      <c r="A46" s="34" t="s">
        <v>760</v>
      </c>
    </row>
    <row r="47">
      <c r="A47" s="35"/>
      <c r="B47" s="35"/>
      <c r="C47" s="35"/>
    </row>
    <row r="48">
      <c r="A48" s="36" t="s">
        <v>749</v>
      </c>
      <c r="B48" s="37" t="s">
        <v>757</v>
      </c>
      <c r="C48" s="38"/>
    </row>
    <row r="49">
      <c r="A49" s="39">
        <v>1.0</v>
      </c>
      <c r="B49" s="40" t="s">
        <v>1984</v>
      </c>
      <c r="C49" s="41"/>
    </row>
    <row r="50">
      <c r="A50" s="39">
        <v>2.0</v>
      </c>
      <c r="B50" s="40" t="s">
        <v>1985</v>
      </c>
      <c r="C50" s="41"/>
    </row>
    <row r="51">
      <c r="A51" s="39">
        <v>3.0</v>
      </c>
      <c r="B51" s="40" t="s">
        <v>1986</v>
      </c>
      <c r="C51" s="41"/>
    </row>
    <row r="52">
      <c r="A52" s="39">
        <v>4.0</v>
      </c>
      <c r="B52" s="40" t="s">
        <v>1987</v>
      </c>
      <c r="C52" s="41"/>
    </row>
    <row r="53">
      <c r="A53" s="39">
        <v>5.0</v>
      </c>
      <c r="B53" s="40" t="s">
        <v>1988</v>
      </c>
      <c r="C53" s="41"/>
    </row>
    <row r="54">
      <c r="A54" s="39">
        <v>6.0</v>
      </c>
      <c r="B54" s="40" t="s">
        <v>1989</v>
      </c>
      <c r="C54" s="41"/>
    </row>
    <row r="55">
      <c r="A55" s="39">
        <v>7.0</v>
      </c>
      <c r="B55" s="40" t="s">
        <v>1990</v>
      </c>
      <c r="C55" s="41"/>
    </row>
    <row r="56">
      <c r="A56" s="39">
        <v>8.0</v>
      </c>
      <c r="B56" s="40" t="s">
        <v>1991</v>
      </c>
      <c r="C56" s="41"/>
    </row>
    <row r="57">
      <c r="A57" s="43">
        <v>9.0</v>
      </c>
      <c r="B57" s="49" t="s">
        <v>1992</v>
      </c>
      <c r="C57" s="45"/>
    </row>
    <row r="58">
      <c r="A58" s="35"/>
      <c r="B58" s="35"/>
      <c r="C58" s="35"/>
    </row>
    <row r="59">
      <c r="A59" s="34" t="s">
        <v>763</v>
      </c>
    </row>
    <row r="60">
      <c r="A60" s="35"/>
      <c r="B60" s="35"/>
      <c r="C60" s="35"/>
    </row>
    <row r="61">
      <c r="A61" s="36" t="s">
        <v>749</v>
      </c>
      <c r="B61" s="37" t="s">
        <v>757</v>
      </c>
      <c r="C61" s="38"/>
    </row>
    <row r="62">
      <c r="A62" s="39">
        <v>1.0</v>
      </c>
      <c r="B62" s="40" t="s">
        <v>1993</v>
      </c>
      <c r="C62" s="41"/>
    </row>
    <row r="63">
      <c r="A63" s="39">
        <v>2.0</v>
      </c>
      <c r="B63" s="40" t="s">
        <v>1994</v>
      </c>
      <c r="C63" s="41"/>
    </row>
    <row r="64">
      <c r="A64" s="39">
        <v>3.0</v>
      </c>
      <c r="B64" s="40" t="s">
        <v>1995</v>
      </c>
      <c r="C64" s="41"/>
    </row>
    <row r="65">
      <c r="A65" s="39">
        <v>4.0</v>
      </c>
      <c r="B65" s="40" t="s">
        <v>1996</v>
      </c>
      <c r="C65" s="41"/>
    </row>
    <row r="66">
      <c r="A66" s="39">
        <v>5.0</v>
      </c>
      <c r="B66" s="40" t="s">
        <v>1997</v>
      </c>
      <c r="C66" s="41"/>
    </row>
    <row r="67">
      <c r="A67" s="39">
        <v>6.0</v>
      </c>
      <c r="B67" s="40" t="s">
        <v>1998</v>
      </c>
      <c r="C67" s="41"/>
    </row>
    <row r="68">
      <c r="A68" s="39">
        <v>7.0</v>
      </c>
      <c r="B68" s="40" t="s">
        <v>1999</v>
      </c>
      <c r="C68" s="41"/>
    </row>
    <row r="69">
      <c r="A69" s="43">
        <v>8.0</v>
      </c>
      <c r="B69" s="49" t="s">
        <v>2000</v>
      </c>
      <c r="C69" s="45"/>
    </row>
  </sheetData>
  <mergeCells count="7">
    <mergeCell ref="A1:C1"/>
    <mergeCell ref="A11:C11"/>
    <mergeCell ref="A13:C13"/>
    <mergeCell ref="A15:C15"/>
    <mergeCell ref="A31:C31"/>
    <mergeCell ref="A46:C46"/>
    <mergeCell ref="A59:C59"/>
  </mergeCells>
  <hyperlinks>
    <hyperlink r:id="rId1" ref="B9"/>
  </hyperlinks>
  <drawing r:id="rId2"/>
</worksheet>
</file>

<file path=xl/worksheets/sheet4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2" max="2" width="87.63"/>
    <col customWidth="1" min="3" max="3" width="20.13"/>
  </cols>
  <sheetData>
    <row r="1">
      <c r="A1" s="34" t="s">
        <v>742</v>
      </c>
    </row>
    <row r="2">
      <c r="A2" s="35"/>
      <c r="B2" s="35"/>
      <c r="C2" s="35"/>
    </row>
    <row r="3">
      <c r="A3" s="36" t="s">
        <v>743</v>
      </c>
      <c r="B3" s="37" t="s">
        <v>744</v>
      </c>
      <c r="C3" s="38"/>
    </row>
    <row r="4">
      <c r="A4" s="39" t="s">
        <v>6</v>
      </c>
      <c r="B4" s="40" t="s">
        <v>205</v>
      </c>
      <c r="C4" s="41"/>
    </row>
    <row r="5">
      <c r="A5" s="39" t="s">
        <v>745</v>
      </c>
      <c r="B5" s="42">
        <v>46140.0</v>
      </c>
      <c r="C5" s="41"/>
    </row>
    <row r="6">
      <c r="A6" s="39" t="s">
        <v>0</v>
      </c>
      <c r="B6" s="40" t="s">
        <v>204</v>
      </c>
      <c r="C6" s="41"/>
    </row>
    <row r="7">
      <c r="A7" s="39" t="s">
        <v>7</v>
      </c>
      <c r="B7" s="40" t="s">
        <v>45</v>
      </c>
      <c r="C7" s="41"/>
    </row>
    <row r="8">
      <c r="A8" s="39" t="s">
        <v>746</v>
      </c>
      <c r="B8" s="40">
        <v>3.0</v>
      </c>
      <c r="C8" s="41"/>
    </row>
    <row r="9">
      <c r="A9" s="43" t="s">
        <v>8</v>
      </c>
      <c r="B9" s="44" t="s">
        <v>206</v>
      </c>
      <c r="C9" s="45"/>
    </row>
    <row r="10">
      <c r="A10" s="35"/>
      <c r="B10" s="35"/>
      <c r="C10" s="35"/>
    </row>
    <row r="11">
      <c r="A11" s="34" t="s">
        <v>747</v>
      </c>
    </row>
    <row r="12">
      <c r="A12" s="35"/>
      <c r="B12" s="35"/>
      <c r="C12" s="35"/>
    </row>
    <row r="13">
      <c r="A13" s="46" t="s">
        <v>2001</v>
      </c>
    </row>
    <row r="14">
      <c r="A14" s="35"/>
      <c r="B14" s="35"/>
      <c r="C14" s="35"/>
    </row>
    <row r="15">
      <c r="A15" s="34" t="s">
        <v>748</v>
      </c>
    </row>
    <row r="16">
      <c r="A16" s="35"/>
      <c r="B16" s="35"/>
      <c r="C16" s="35"/>
    </row>
    <row r="17">
      <c r="A17" s="36" t="s">
        <v>749</v>
      </c>
      <c r="B17" s="37" t="s">
        <v>750</v>
      </c>
      <c r="C17" s="47" t="s">
        <v>751</v>
      </c>
    </row>
    <row r="18">
      <c r="A18" s="39">
        <v>1.0</v>
      </c>
      <c r="B18" s="40" t="s">
        <v>2002</v>
      </c>
      <c r="C18" s="48" t="s">
        <v>753</v>
      </c>
    </row>
    <row r="19">
      <c r="A19" s="39">
        <v>2.0</v>
      </c>
      <c r="B19" s="40" t="s">
        <v>2003</v>
      </c>
      <c r="C19" s="48" t="s">
        <v>753</v>
      </c>
    </row>
    <row r="20">
      <c r="A20" s="39">
        <v>3.0</v>
      </c>
      <c r="B20" s="40" t="s">
        <v>2004</v>
      </c>
      <c r="C20" s="48" t="s">
        <v>753</v>
      </c>
    </row>
    <row r="21">
      <c r="A21" s="39">
        <v>4.0</v>
      </c>
      <c r="B21" s="40" t="s">
        <v>2005</v>
      </c>
      <c r="C21" s="48" t="s">
        <v>753</v>
      </c>
    </row>
    <row r="22">
      <c r="A22" s="39">
        <v>5.0</v>
      </c>
      <c r="B22" s="40" t="s">
        <v>2006</v>
      </c>
      <c r="C22" s="48" t="s">
        <v>753</v>
      </c>
    </row>
    <row r="23">
      <c r="A23" s="43">
        <v>6.0</v>
      </c>
      <c r="B23" s="49" t="s">
        <v>2007</v>
      </c>
      <c r="C23" s="50" t="s">
        <v>753</v>
      </c>
    </row>
    <row r="24">
      <c r="A24" s="35"/>
      <c r="B24" s="35"/>
      <c r="C24" s="35"/>
    </row>
    <row r="25">
      <c r="A25" s="34" t="s">
        <v>756</v>
      </c>
    </row>
    <row r="26">
      <c r="A26" s="35"/>
      <c r="B26" s="35"/>
      <c r="C26" s="35"/>
    </row>
    <row r="27">
      <c r="A27" s="36" t="s">
        <v>749</v>
      </c>
      <c r="B27" s="37" t="s">
        <v>757</v>
      </c>
      <c r="C27" s="38"/>
    </row>
    <row r="28">
      <c r="A28" s="39">
        <v>1.0</v>
      </c>
      <c r="B28" s="40" t="s">
        <v>2008</v>
      </c>
      <c r="C28" s="41"/>
    </row>
    <row r="29">
      <c r="A29" s="39">
        <v>2.0</v>
      </c>
      <c r="B29" s="40" t="s">
        <v>2009</v>
      </c>
      <c r="C29" s="41"/>
    </row>
    <row r="30">
      <c r="A30" s="39">
        <v>3.0</v>
      </c>
      <c r="B30" s="40" t="s">
        <v>2010</v>
      </c>
      <c r="C30" s="41"/>
    </row>
    <row r="31">
      <c r="A31" s="39">
        <v>4.0</v>
      </c>
      <c r="B31" s="40" t="s">
        <v>2011</v>
      </c>
      <c r="C31" s="41"/>
    </row>
    <row r="32">
      <c r="A32" s="43">
        <v>5.0</v>
      </c>
      <c r="B32" s="49" t="s">
        <v>2012</v>
      </c>
      <c r="C32" s="45"/>
    </row>
    <row r="33">
      <c r="A33" s="35"/>
      <c r="B33" s="35"/>
      <c r="C33" s="35"/>
    </row>
    <row r="34">
      <c r="A34" s="34" t="s">
        <v>760</v>
      </c>
    </row>
    <row r="35">
      <c r="A35" s="35"/>
      <c r="B35" s="35"/>
      <c r="C35" s="35"/>
    </row>
    <row r="36">
      <c r="A36" s="36" t="s">
        <v>749</v>
      </c>
      <c r="B36" s="37" t="s">
        <v>757</v>
      </c>
      <c r="C36" s="38"/>
    </row>
    <row r="37">
      <c r="A37" s="39">
        <v>1.0</v>
      </c>
      <c r="B37" s="40" t="s">
        <v>2013</v>
      </c>
      <c r="C37" s="41"/>
    </row>
    <row r="38">
      <c r="A38" s="39">
        <v>2.0</v>
      </c>
      <c r="B38" s="40" t="s">
        <v>2014</v>
      </c>
      <c r="C38" s="41"/>
    </row>
    <row r="39">
      <c r="A39" s="39">
        <v>3.0</v>
      </c>
      <c r="B39" s="40" t="s">
        <v>2015</v>
      </c>
      <c r="C39" s="41"/>
    </row>
    <row r="40">
      <c r="A40" s="43">
        <v>4.0</v>
      </c>
      <c r="B40" s="49" t="s">
        <v>2016</v>
      </c>
      <c r="C40" s="45"/>
    </row>
    <row r="41">
      <c r="A41" s="35"/>
      <c r="B41" s="35"/>
      <c r="C41" s="35"/>
    </row>
    <row r="42">
      <c r="A42" s="34" t="s">
        <v>763</v>
      </c>
    </row>
    <row r="43">
      <c r="A43" s="35"/>
      <c r="B43" s="35"/>
      <c r="C43" s="35"/>
    </row>
    <row r="44">
      <c r="A44" s="36" t="s">
        <v>749</v>
      </c>
      <c r="B44" s="37" t="s">
        <v>757</v>
      </c>
      <c r="C44" s="38"/>
    </row>
    <row r="45">
      <c r="A45" s="39">
        <v>1.0</v>
      </c>
      <c r="B45" s="40" t="s">
        <v>2017</v>
      </c>
      <c r="C45" s="41"/>
    </row>
    <row r="46">
      <c r="A46" s="39">
        <v>2.0</v>
      </c>
      <c r="B46" s="40" t="s">
        <v>2018</v>
      </c>
      <c r="C46" s="41"/>
    </row>
    <row r="47">
      <c r="A47" s="39">
        <v>3.0</v>
      </c>
      <c r="B47" s="40" t="s">
        <v>2019</v>
      </c>
      <c r="C47" s="41"/>
    </row>
    <row r="48">
      <c r="A48" s="39">
        <v>4.0</v>
      </c>
      <c r="B48" s="40" t="s">
        <v>2020</v>
      </c>
      <c r="C48" s="41"/>
    </row>
    <row r="49">
      <c r="A49" s="39">
        <v>5.0</v>
      </c>
      <c r="B49" s="40" t="s">
        <v>2021</v>
      </c>
      <c r="C49" s="41"/>
    </row>
    <row r="50">
      <c r="A50" s="43">
        <v>6.0</v>
      </c>
      <c r="B50" s="49" t="s">
        <v>2022</v>
      </c>
      <c r="C50" s="45"/>
    </row>
  </sheetData>
  <mergeCells count="7">
    <mergeCell ref="A1:C1"/>
    <mergeCell ref="A11:C11"/>
    <mergeCell ref="A13:C13"/>
    <mergeCell ref="A15:C15"/>
    <mergeCell ref="A25:C25"/>
    <mergeCell ref="A34:C34"/>
    <mergeCell ref="A42:C42"/>
  </mergeCells>
  <hyperlinks>
    <hyperlink r:id="rId1" ref="B9"/>
  </hyperlinks>
  <drawing r:id="rId2"/>
</worksheet>
</file>

<file path=xl/worksheets/sheet4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2" max="2" width="87.63"/>
    <col customWidth="1" min="3" max="3" width="20.13"/>
  </cols>
  <sheetData>
    <row r="1">
      <c r="A1" s="34" t="s">
        <v>742</v>
      </c>
    </row>
    <row r="2">
      <c r="A2" s="35"/>
      <c r="B2" s="35"/>
      <c r="C2" s="35"/>
    </row>
    <row r="3">
      <c r="A3" s="36" t="s">
        <v>743</v>
      </c>
      <c r="B3" s="37" t="s">
        <v>744</v>
      </c>
      <c r="C3" s="38"/>
    </row>
    <row r="4">
      <c r="A4" s="39" t="s">
        <v>6</v>
      </c>
      <c r="B4" s="40" t="s">
        <v>209</v>
      </c>
      <c r="C4" s="41"/>
    </row>
    <row r="5">
      <c r="A5" s="39" t="s">
        <v>745</v>
      </c>
      <c r="B5" s="42">
        <v>46140.0</v>
      </c>
      <c r="C5" s="41"/>
    </row>
    <row r="6">
      <c r="A6" s="39" t="s">
        <v>0</v>
      </c>
      <c r="B6" s="40" t="s">
        <v>204</v>
      </c>
      <c r="C6" s="41"/>
    </row>
    <row r="7">
      <c r="A7" s="39" t="s">
        <v>7</v>
      </c>
      <c r="B7" s="40" t="s">
        <v>68</v>
      </c>
      <c r="C7" s="41"/>
    </row>
    <row r="8">
      <c r="A8" s="39" t="s">
        <v>746</v>
      </c>
      <c r="B8" s="40">
        <v>5.0</v>
      </c>
      <c r="C8" s="41"/>
    </row>
    <row r="9">
      <c r="A9" s="43" t="s">
        <v>8</v>
      </c>
      <c r="B9" s="44" t="s">
        <v>210</v>
      </c>
      <c r="C9" s="45"/>
    </row>
    <row r="10">
      <c r="A10" s="35"/>
      <c r="B10" s="35"/>
      <c r="C10" s="35"/>
    </row>
    <row r="11">
      <c r="A11" s="34" t="s">
        <v>747</v>
      </c>
    </row>
    <row r="12">
      <c r="A12" s="35"/>
      <c r="B12" s="35"/>
      <c r="C12" s="35"/>
    </row>
    <row r="13">
      <c r="A13" s="46" t="s">
        <v>211</v>
      </c>
    </row>
    <row r="14">
      <c r="A14" s="35"/>
      <c r="B14" s="35"/>
      <c r="C14" s="35"/>
    </row>
    <row r="15">
      <c r="A15" s="34" t="s">
        <v>748</v>
      </c>
    </row>
    <row r="16">
      <c r="A16" s="35"/>
      <c r="B16" s="35"/>
      <c r="C16" s="35"/>
    </row>
    <row r="17">
      <c r="A17" s="36" t="s">
        <v>749</v>
      </c>
      <c r="B17" s="37" t="s">
        <v>750</v>
      </c>
      <c r="C17" s="47" t="s">
        <v>751</v>
      </c>
    </row>
    <row r="18">
      <c r="A18" s="39">
        <v>1.0</v>
      </c>
      <c r="B18" s="40" t="s">
        <v>2023</v>
      </c>
      <c r="C18" s="48" t="s">
        <v>753</v>
      </c>
    </row>
    <row r="19">
      <c r="A19" s="39">
        <v>2.0</v>
      </c>
      <c r="B19" s="40" t="s">
        <v>2024</v>
      </c>
      <c r="C19" s="48" t="s">
        <v>753</v>
      </c>
    </row>
    <row r="20">
      <c r="A20" s="39">
        <v>3.0</v>
      </c>
      <c r="B20" s="40" t="s">
        <v>2025</v>
      </c>
      <c r="C20" s="48" t="s">
        <v>2026</v>
      </c>
    </row>
    <row r="21">
      <c r="A21" s="39">
        <v>4.0</v>
      </c>
      <c r="B21" s="40" t="s">
        <v>2027</v>
      </c>
      <c r="C21" s="48" t="s">
        <v>2028</v>
      </c>
    </row>
    <row r="22">
      <c r="A22" s="39">
        <v>5.0</v>
      </c>
      <c r="B22" s="40" t="s">
        <v>2029</v>
      </c>
      <c r="C22" s="48" t="s">
        <v>2028</v>
      </c>
    </row>
    <row r="23">
      <c r="A23" s="39">
        <v>6.0</v>
      </c>
      <c r="B23" s="40" t="s">
        <v>2030</v>
      </c>
      <c r="C23" s="48" t="s">
        <v>753</v>
      </c>
    </row>
    <row r="24">
      <c r="A24" s="39">
        <v>7.0</v>
      </c>
      <c r="B24" s="40" t="s">
        <v>2031</v>
      </c>
      <c r="C24" s="48" t="s">
        <v>2026</v>
      </c>
    </row>
    <row r="25">
      <c r="A25" s="39">
        <v>8.0</v>
      </c>
      <c r="B25" s="40" t="s">
        <v>2032</v>
      </c>
      <c r="C25" s="48" t="s">
        <v>2026</v>
      </c>
    </row>
    <row r="26">
      <c r="A26" s="39">
        <v>9.0</v>
      </c>
      <c r="B26" s="40" t="s">
        <v>2033</v>
      </c>
      <c r="C26" s="48" t="s">
        <v>753</v>
      </c>
    </row>
    <row r="27">
      <c r="A27" s="39">
        <v>10.0</v>
      </c>
      <c r="B27" s="40" t="s">
        <v>2034</v>
      </c>
      <c r="C27" s="48" t="s">
        <v>753</v>
      </c>
    </row>
    <row r="28">
      <c r="A28" s="39">
        <v>11.0</v>
      </c>
      <c r="B28" s="40" t="s">
        <v>2035</v>
      </c>
      <c r="C28" s="48" t="s">
        <v>753</v>
      </c>
    </row>
    <row r="29">
      <c r="A29" s="39">
        <v>12.0</v>
      </c>
      <c r="B29" s="40" t="s">
        <v>2036</v>
      </c>
      <c r="C29" s="48" t="s">
        <v>753</v>
      </c>
    </row>
    <row r="30">
      <c r="A30" s="39">
        <v>13.0</v>
      </c>
      <c r="B30" s="40" t="s">
        <v>2037</v>
      </c>
      <c r="C30" s="48" t="s">
        <v>753</v>
      </c>
    </row>
    <row r="31">
      <c r="A31" s="39">
        <v>14.0</v>
      </c>
      <c r="B31" s="40" t="s">
        <v>2038</v>
      </c>
      <c r="C31" s="48" t="s">
        <v>753</v>
      </c>
    </row>
    <row r="32">
      <c r="A32" s="39">
        <v>15.0</v>
      </c>
      <c r="B32" s="40" t="s">
        <v>2039</v>
      </c>
      <c r="C32" s="48" t="s">
        <v>753</v>
      </c>
    </row>
    <row r="33">
      <c r="A33" s="39">
        <v>16.0</v>
      </c>
      <c r="B33" s="40" t="s">
        <v>2040</v>
      </c>
      <c r="C33" s="48" t="s">
        <v>753</v>
      </c>
    </row>
    <row r="34">
      <c r="A34" s="39">
        <v>17.0</v>
      </c>
      <c r="B34" s="40" t="s">
        <v>2041</v>
      </c>
      <c r="C34" s="48" t="s">
        <v>753</v>
      </c>
    </row>
    <row r="35">
      <c r="A35" s="39">
        <v>18.0</v>
      </c>
      <c r="B35" s="40" t="s">
        <v>2042</v>
      </c>
      <c r="C35" s="48" t="s">
        <v>2043</v>
      </c>
    </row>
    <row r="36">
      <c r="A36" s="39">
        <v>19.0</v>
      </c>
      <c r="B36" s="40" t="s">
        <v>2044</v>
      </c>
      <c r="C36" s="48" t="s">
        <v>753</v>
      </c>
    </row>
    <row r="37">
      <c r="A37" s="43">
        <v>20.0</v>
      </c>
      <c r="B37" s="49" t="s">
        <v>2045</v>
      </c>
      <c r="C37" s="50" t="s">
        <v>753</v>
      </c>
    </row>
    <row r="38">
      <c r="A38" s="35"/>
      <c r="B38" s="35"/>
      <c r="C38" s="35"/>
    </row>
    <row r="39">
      <c r="A39" s="34" t="s">
        <v>756</v>
      </c>
    </row>
    <row r="40">
      <c r="A40" s="35"/>
      <c r="B40" s="35"/>
      <c r="C40" s="35"/>
    </row>
    <row r="41">
      <c r="A41" s="36" t="s">
        <v>749</v>
      </c>
      <c r="B41" s="37" t="s">
        <v>757</v>
      </c>
      <c r="C41" s="38"/>
    </row>
    <row r="42">
      <c r="A42" s="39">
        <v>1.0</v>
      </c>
      <c r="B42" s="40" t="s">
        <v>2046</v>
      </c>
      <c r="C42" s="41"/>
    </row>
    <row r="43">
      <c r="A43" s="39">
        <v>2.0</v>
      </c>
      <c r="B43" s="40" t="s">
        <v>2047</v>
      </c>
      <c r="C43" s="41"/>
    </row>
    <row r="44">
      <c r="A44" s="39">
        <v>3.0</v>
      </c>
      <c r="B44" s="40" t="s">
        <v>2048</v>
      </c>
      <c r="C44" s="41"/>
    </row>
    <row r="45">
      <c r="A45" s="39">
        <v>4.0</v>
      </c>
      <c r="B45" s="40" t="s">
        <v>2049</v>
      </c>
      <c r="C45" s="41"/>
    </row>
    <row r="46">
      <c r="A46" s="43">
        <v>5.0</v>
      </c>
      <c r="B46" s="49" t="s">
        <v>2050</v>
      </c>
      <c r="C46" s="45"/>
    </row>
    <row r="47">
      <c r="A47" s="35"/>
      <c r="B47" s="35"/>
      <c r="C47" s="35"/>
    </row>
    <row r="48">
      <c r="A48" s="34" t="s">
        <v>760</v>
      </c>
    </row>
    <row r="49">
      <c r="A49" s="35"/>
      <c r="B49" s="35"/>
      <c r="C49" s="35"/>
    </row>
    <row r="50">
      <c r="A50" s="36" t="s">
        <v>749</v>
      </c>
      <c r="B50" s="37" t="s">
        <v>757</v>
      </c>
      <c r="C50" s="38"/>
    </row>
    <row r="51">
      <c r="A51" s="39">
        <v>1.0</v>
      </c>
      <c r="B51" s="40" t="s">
        <v>2051</v>
      </c>
      <c r="C51" s="41"/>
    </row>
    <row r="52">
      <c r="A52" s="39">
        <v>2.0</v>
      </c>
      <c r="B52" s="40" t="s">
        <v>2052</v>
      </c>
      <c r="C52" s="41"/>
    </row>
    <row r="53">
      <c r="A53" s="39">
        <v>3.0</v>
      </c>
      <c r="B53" s="40" t="s">
        <v>2053</v>
      </c>
      <c r="C53" s="41"/>
    </row>
    <row r="54">
      <c r="A54" s="43">
        <v>4.0</v>
      </c>
      <c r="B54" s="49" t="s">
        <v>2054</v>
      </c>
      <c r="C54" s="45"/>
    </row>
    <row r="55">
      <c r="A55" s="35"/>
      <c r="B55" s="35"/>
      <c r="C55" s="35"/>
    </row>
    <row r="56">
      <c r="A56" s="34" t="s">
        <v>763</v>
      </c>
    </row>
    <row r="57">
      <c r="A57" s="35"/>
      <c r="B57" s="35"/>
      <c r="C57" s="35"/>
    </row>
    <row r="58">
      <c r="A58" s="36" t="s">
        <v>749</v>
      </c>
      <c r="B58" s="37" t="s">
        <v>757</v>
      </c>
      <c r="C58" s="38"/>
    </row>
    <row r="59">
      <c r="A59" s="39">
        <v>1.0</v>
      </c>
      <c r="B59" s="40" t="s">
        <v>2055</v>
      </c>
      <c r="C59" s="41"/>
    </row>
    <row r="60">
      <c r="A60" s="39">
        <v>2.0</v>
      </c>
      <c r="B60" s="40" t="s">
        <v>2056</v>
      </c>
      <c r="C60" s="41"/>
    </row>
    <row r="61">
      <c r="A61" s="39">
        <v>3.0</v>
      </c>
      <c r="B61" s="40" t="s">
        <v>2057</v>
      </c>
      <c r="C61" s="41"/>
    </row>
    <row r="62">
      <c r="A62" s="39">
        <v>4.0</v>
      </c>
      <c r="B62" s="40" t="s">
        <v>2058</v>
      </c>
      <c r="C62" s="41"/>
    </row>
    <row r="63">
      <c r="A63" s="39">
        <v>5.0</v>
      </c>
      <c r="B63" s="40" t="s">
        <v>2059</v>
      </c>
      <c r="C63" s="41"/>
    </row>
    <row r="64">
      <c r="A64" s="43">
        <v>6.0</v>
      </c>
      <c r="B64" s="49" t="s">
        <v>2060</v>
      </c>
      <c r="C64" s="45"/>
    </row>
  </sheetData>
  <mergeCells count="7">
    <mergeCell ref="A1:C1"/>
    <mergeCell ref="A11:C11"/>
    <mergeCell ref="A13:C13"/>
    <mergeCell ref="A15:C15"/>
    <mergeCell ref="A39:C39"/>
    <mergeCell ref="A48:C48"/>
    <mergeCell ref="A56:C56"/>
  </mergeCells>
  <hyperlinks>
    <hyperlink r:id="rId1" ref="B9"/>
  </hyperlinks>
  <drawing r:id="rId2"/>
</worksheet>
</file>

<file path=xl/worksheets/sheet4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2" max="2" width="87.63"/>
    <col customWidth="1" min="3" max="3" width="20.13"/>
  </cols>
  <sheetData>
    <row r="1">
      <c r="A1" s="34" t="s">
        <v>742</v>
      </c>
    </row>
    <row r="2">
      <c r="A2" s="35"/>
      <c r="B2" s="35"/>
      <c r="C2" s="35"/>
    </row>
    <row r="3">
      <c r="A3" s="36" t="s">
        <v>743</v>
      </c>
      <c r="B3" s="37" t="s">
        <v>744</v>
      </c>
      <c r="C3" s="38"/>
    </row>
    <row r="4">
      <c r="A4" s="39" t="s">
        <v>6</v>
      </c>
      <c r="B4" s="40" t="s">
        <v>213</v>
      </c>
      <c r="C4" s="41"/>
    </row>
    <row r="5">
      <c r="A5" s="39" t="s">
        <v>745</v>
      </c>
      <c r="B5" s="42">
        <v>46140.0</v>
      </c>
      <c r="C5" s="41"/>
    </row>
    <row r="6">
      <c r="A6" s="39" t="s">
        <v>0</v>
      </c>
      <c r="B6" s="40" t="s">
        <v>204</v>
      </c>
      <c r="C6" s="41"/>
    </row>
    <row r="7">
      <c r="A7" s="39" t="s">
        <v>7</v>
      </c>
      <c r="B7" s="40" t="s">
        <v>134</v>
      </c>
      <c r="C7" s="41"/>
    </row>
    <row r="8">
      <c r="A8" s="39" t="s">
        <v>746</v>
      </c>
      <c r="B8" s="40">
        <v>2.0</v>
      </c>
      <c r="C8" s="41"/>
    </row>
    <row r="9">
      <c r="A9" s="43" t="s">
        <v>8</v>
      </c>
      <c r="B9" s="44" t="s">
        <v>214</v>
      </c>
      <c r="C9" s="45"/>
    </row>
    <row r="10">
      <c r="A10" s="35"/>
      <c r="B10" s="35"/>
      <c r="C10" s="35"/>
    </row>
    <row r="11">
      <c r="A11" s="34" t="s">
        <v>747</v>
      </c>
    </row>
    <row r="12">
      <c r="A12" s="35"/>
      <c r="B12" s="35"/>
      <c r="C12" s="35"/>
    </row>
    <row r="13">
      <c r="A13" s="46" t="s">
        <v>2061</v>
      </c>
    </row>
    <row r="14">
      <c r="A14" s="35"/>
      <c r="B14" s="35"/>
      <c r="C14" s="35"/>
    </row>
    <row r="15">
      <c r="A15" s="34" t="s">
        <v>748</v>
      </c>
    </row>
    <row r="16">
      <c r="A16" s="35"/>
      <c r="B16" s="35"/>
      <c r="C16" s="35"/>
    </row>
    <row r="17">
      <c r="A17" s="36" t="s">
        <v>749</v>
      </c>
      <c r="B17" s="37" t="s">
        <v>750</v>
      </c>
      <c r="C17" s="47" t="s">
        <v>751</v>
      </c>
    </row>
    <row r="18">
      <c r="A18" s="39">
        <v>1.0</v>
      </c>
      <c r="B18" s="40" t="s">
        <v>2062</v>
      </c>
      <c r="C18" s="48" t="s">
        <v>2063</v>
      </c>
    </row>
    <row r="19">
      <c r="A19" s="39">
        <v>2.0</v>
      </c>
      <c r="B19" s="40" t="s">
        <v>2064</v>
      </c>
      <c r="C19" s="48" t="s">
        <v>2063</v>
      </c>
    </row>
    <row r="20">
      <c r="A20" s="39">
        <v>3.0</v>
      </c>
      <c r="B20" s="40" t="s">
        <v>2065</v>
      </c>
      <c r="C20" s="48" t="s">
        <v>753</v>
      </c>
    </row>
    <row r="21">
      <c r="A21" s="39">
        <v>4.0</v>
      </c>
      <c r="B21" s="40" t="s">
        <v>2066</v>
      </c>
      <c r="C21" s="48" t="s">
        <v>753</v>
      </c>
    </row>
    <row r="22">
      <c r="A22" s="43">
        <v>5.0</v>
      </c>
      <c r="B22" s="49" t="s">
        <v>2067</v>
      </c>
      <c r="C22" s="50" t="s">
        <v>753</v>
      </c>
    </row>
    <row r="23">
      <c r="A23" s="35"/>
      <c r="B23" s="35"/>
      <c r="C23" s="35"/>
    </row>
    <row r="24">
      <c r="A24" s="34" t="s">
        <v>756</v>
      </c>
    </row>
    <row r="25">
      <c r="A25" s="35"/>
      <c r="B25" s="35"/>
      <c r="C25" s="35"/>
    </row>
    <row r="26">
      <c r="A26" s="36" t="s">
        <v>749</v>
      </c>
      <c r="B26" s="37" t="s">
        <v>757</v>
      </c>
      <c r="C26" s="38"/>
    </row>
    <row r="27">
      <c r="A27" s="39">
        <v>1.0</v>
      </c>
      <c r="B27" s="40" t="s">
        <v>2068</v>
      </c>
      <c r="C27" s="41"/>
    </row>
    <row r="28">
      <c r="A28" s="39">
        <v>2.0</v>
      </c>
      <c r="B28" s="40" t="s">
        <v>2069</v>
      </c>
      <c r="C28" s="41"/>
    </row>
    <row r="29">
      <c r="A29" s="39">
        <v>3.0</v>
      </c>
      <c r="B29" s="40" t="s">
        <v>2070</v>
      </c>
      <c r="C29" s="41"/>
    </row>
    <row r="30">
      <c r="A30" s="43">
        <v>4.0</v>
      </c>
      <c r="B30" s="49" t="s">
        <v>2071</v>
      </c>
      <c r="C30" s="45"/>
    </row>
    <row r="31">
      <c r="A31" s="35"/>
      <c r="B31" s="35"/>
      <c r="C31" s="35"/>
    </row>
    <row r="32">
      <c r="A32" s="34" t="s">
        <v>760</v>
      </c>
    </row>
    <row r="33">
      <c r="A33" s="35"/>
      <c r="B33" s="35"/>
      <c r="C33" s="35"/>
    </row>
    <row r="34">
      <c r="A34" s="36" t="s">
        <v>749</v>
      </c>
      <c r="B34" s="37" t="s">
        <v>757</v>
      </c>
      <c r="C34" s="38"/>
    </row>
    <row r="35">
      <c r="A35" s="39">
        <v>1.0</v>
      </c>
      <c r="B35" s="40" t="s">
        <v>2072</v>
      </c>
      <c r="C35" s="41"/>
    </row>
    <row r="36">
      <c r="A36" s="39">
        <v>2.0</v>
      </c>
      <c r="B36" s="40" t="s">
        <v>2073</v>
      </c>
      <c r="C36" s="41"/>
    </row>
    <row r="37">
      <c r="A37" s="43">
        <v>3.0</v>
      </c>
      <c r="B37" s="49" t="s">
        <v>2074</v>
      </c>
      <c r="C37" s="45"/>
    </row>
    <row r="38">
      <c r="A38" s="35"/>
      <c r="B38" s="35"/>
      <c r="C38" s="35"/>
    </row>
    <row r="39">
      <c r="A39" s="34" t="s">
        <v>763</v>
      </c>
    </row>
    <row r="40">
      <c r="A40" s="35"/>
      <c r="B40" s="35"/>
      <c r="C40" s="35"/>
    </row>
    <row r="41">
      <c r="A41" s="36" t="s">
        <v>749</v>
      </c>
      <c r="B41" s="37" t="s">
        <v>757</v>
      </c>
      <c r="C41" s="38"/>
    </row>
    <row r="42">
      <c r="A42" s="39">
        <v>1.0</v>
      </c>
      <c r="B42" s="40" t="s">
        <v>2075</v>
      </c>
      <c r="C42" s="41"/>
    </row>
    <row r="43">
      <c r="A43" s="39">
        <v>2.0</v>
      </c>
      <c r="B43" s="40" t="s">
        <v>2076</v>
      </c>
      <c r="C43" s="41"/>
    </row>
    <row r="44">
      <c r="A44" s="39">
        <v>3.0</v>
      </c>
      <c r="B44" s="40" t="s">
        <v>2077</v>
      </c>
      <c r="C44" s="41"/>
    </row>
    <row r="45">
      <c r="A45" s="39">
        <v>4.0</v>
      </c>
      <c r="B45" s="40" t="s">
        <v>2078</v>
      </c>
      <c r="C45" s="41"/>
    </row>
    <row r="46">
      <c r="A46" s="43">
        <v>5.0</v>
      </c>
      <c r="B46" s="49" t="s">
        <v>2079</v>
      </c>
      <c r="C46" s="45"/>
    </row>
  </sheetData>
  <mergeCells count="7">
    <mergeCell ref="A1:C1"/>
    <mergeCell ref="A11:C11"/>
    <mergeCell ref="A13:C13"/>
    <mergeCell ref="A15:C15"/>
    <mergeCell ref="A24:C24"/>
    <mergeCell ref="A32:C32"/>
    <mergeCell ref="A39:C39"/>
  </mergeCells>
  <hyperlinks>
    <hyperlink r:id="rId1" ref="B9"/>
  </hyperlinks>
  <drawing r:id="rId2"/>
</worksheet>
</file>

<file path=xl/worksheets/sheet4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2" max="2" width="87.63"/>
    <col customWidth="1" min="3" max="3" width="20.13"/>
  </cols>
  <sheetData>
    <row r="1">
      <c r="A1" s="34" t="s">
        <v>742</v>
      </c>
    </row>
    <row r="2">
      <c r="A2" s="35"/>
      <c r="B2" s="35"/>
      <c r="C2" s="35"/>
    </row>
    <row r="3">
      <c r="A3" s="36" t="s">
        <v>743</v>
      </c>
      <c r="B3" s="37" t="s">
        <v>744</v>
      </c>
      <c r="C3" s="38"/>
    </row>
    <row r="4">
      <c r="A4" s="39" t="s">
        <v>6</v>
      </c>
      <c r="B4" s="40" t="s">
        <v>217</v>
      </c>
      <c r="C4" s="41"/>
    </row>
    <row r="5">
      <c r="A5" s="39" t="s">
        <v>745</v>
      </c>
      <c r="B5" s="42">
        <v>46140.0</v>
      </c>
      <c r="C5" s="41"/>
    </row>
    <row r="6">
      <c r="A6" s="39" t="s">
        <v>0</v>
      </c>
      <c r="B6" s="40" t="s">
        <v>204</v>
      </c>
      <c r="C6" s="41"/>
    </row>
    <row r="7">
      <c r="A7" s="39" t="s">
        <v>7</v>
      </c>
      <c r="B7" s="40" t="s">
        <v>92</v>
      </c>
      <c r="C7" s="41"/>
    </row>
    <row r="8">
      <c r="A8" s="39" t="s">
        <v>746</v>
      </c>
      <c r="B8" s="40">
        <v>3.0</v>
      </c>
      <c r="C8" s="41"/>
    </row>
    <row r="9">
      <c r="A9" s="43" t="s">
        <v>8</v>
      </c>
      <c r="B9" s="44" t="s">
        <v>218</v>
      </c>
      <c r="C9" s="45"/>
    </row>
    <row r="10">
      <c r="A10" s="35"/>
      <c r="B10" s="35"/>
      <c r="C10" s="35"/>
    </row>
    <row r="11">
      <c r="A11" s="34" t="s">
        <v>747</v>
      </c>
    </row>
    <row r="12">
      <c r="A12" s="35"/>
      <c r="B12" s="35"/>
      <c r="C12" s="35"/>
    </row>
    <row r="13">
      <c r="A13" s="46" t="s">
        <v>2080</v>
      </c>
    </row>
    <row r="14">
      <c r="A14" s="35"/>
      <c r="B14" s="35"/>
      <c r="C14" s="35"/>
    </row>
    <row r="15">
      <c r="A15" s="34" t="s">
        <v>748</v>
      </c>
    </row>
    <row r="16">
      <c r="A16" s="35"/>
      <c r="B16" s="35"/>
      <c r="C16" s="35"/>
    </row>
    <row r="17">
      <c r="A17" s="36" t="s">
        <v>749</v>
      </c>
      <c r="B17" s="37" t="s">
        <v>750</v>
      </c>
      <c r="C17" s="47" t="s">
        <v>751</v>
      </c>
    </row>
    <row r="18">
      <c r="A18" s="39">
        <v>1.0</v>
      </c>
      <c r="B18" s="40" t="s">
        <v>2081</v>
      </c>
      <c r="C18" s="48" t="s">
        <v>753</v>
      </c>
    </row>
    <row r="19">
      <c r="A19" s="39">
        <v>2.0</v>
      </c>
      <c r="B19" s="40" t="s">
        <v>2082</v>
      </c>
      <c r="C19" s="48" t="s">
        <v>753</v>
      </c>
    </row>
    <row r="20">
      <c r="A20" s="39">
        <v>3.0</v>
      </c>
      <c r="B20" s="40" t="s">
        <v>2083</v>
      </c>
      <c r="C20" s="48" t="s">
        <v>753</v>
      </c>
    </row>
    <row r="21">
      <c r="A21" s="39">
        <v>4.0</v>
      </c>
      <c r="B21" s="40" t="s">
        <v>2084</v>
      </c>
      <c r="C21" s="48" t="s">
        <v>753</v>
      </c>
    </row>
    <row r="22">
      <c r="A22" s="39">
        <v>5.0</v>
      </c>
      <c r="B22" s="40" t="s">
        <v>2085</v>
      </c>
      <c r="C22" s="48" t="s">
        <v>753</v>
      </c>
    </row>
    <row r="23">
      <c r="A23" s="39">
        <v>6.0</v>
      </c>
      <c r="B23" s="40" t="s">
        <v>2086</v>
      </c>
      <c r="C23" s="48" t="s">
        <v>753</v>
      </c>
    </row>
    <row r="24">
      <c r="A24" s="39">
        <v>7.0</v>
      </c>
      <c r="B24" s="40" t="s">
        <v>2087</v>
      </c>
      <c r="C24" s="48" t="s">
        <v>753</v>
      </c>
    </row>
    <row r="25">
      <c r="A25" s="39">
        <v>8.0</v>
      </c>
      <c r="B25" s="40" t="s">
        <v>2088</v>
      </c>
      <c r="C25" s="48" t="s">
        <v>753</v>
      </c>
    </row>
    <row r="26">
      <c r="A26" s="39">
        <v>9.0</v>
      </c>
      <c r="B26" s="40" t="s">
        <v>2089</v>
      </c>
      <c r="C26" s="48" t="s">
        <v>753</v>
      </c>
    </row>
    <row r="27">
      <c r="A27" s="43">
        <v>10.0</v>
      </c>
      <c r="B27" s="49" t="s">
        <v>2090</v>
      </c>
      <c r="C27" s="50" t="s">
        <v>753</v>
      </c>
    </row>
    <row r="28">
      <c r="A28" s="35"/>
      <c r="B28" s="35"/>
      <c r="C28" s="35"/>
    </row>
    <row r="29">
      <c r="A29" s="34" t="s">
        <v>756</v>
      </c>
    </row>
    <row r="30">
      <c r="A30" s="35"/>
      <c r="B30" s="35"/>
      <c r="C30" s="35"/>
    </row>
    <row r="31">
      <c r="A31" s="36" t="s">
        <v>749</v>
      </c>
      <c r="B31" s="37" t="s">
        <v>757</v>
      </c>
      <c r="C31" s="38"/>
    </row>
    <row r="32">
      <c r="A32" s="39">
        <v>1.0</v>
      </c>
      <c r="B32" s="40" t="s">
        <v>2091</v>
      </c>
      <c r="C32" s="41"/>
    </row>
    <row r="33">
      <c r="A33" s="39">
        <v>2.0</v>
      </c>
      <c r="B33" s="40" t="s">
        <v>2092</v>
      </c>
      <c r="C33" s="41"/>
    </row>
    <row r="34">
      <c r="A34" s="39">
        <v>3.0</v>
      </c>
      <c r="B34" s="40" t="s">
        <v>2093</v>
      </c>
      <c r="C34" s="41"/>
    </row>
    <row r="35">
      <c r="A35" s="39">
        <v>4.0</v>
      </c>
      <c r="B35" s="40" t="s">
        <v>2094</v>
      </c>
      <c r="C35" s="41"/>
    </row>
    <row r="36">
      <c r="A36" s="43">
        <v>5.0</v>
      </c>
      <c r="B36" s="49" t="s">
        <v>2095</v>
      </c>
      <c r="C36" s="45"/>
    </row>
    <row r="37">
      <c r="A37" s="35"/>
      <c r="B37" s="35"/>
      <c r="C37" s="35"/>
    </row>
    <row r="38">
      <c r="A38" s="34" t="s">
        <v>760</v>
      </c>
    </row>
    <row r="39">
      <c r="A39" s="35"/>
      <c r="B39" s="35"/>
      <c r="C39" s="35"/>
    </row>
    <row r="40">
      <c r="A40" s="36" t="s">
        <v>749</v>
      </c>
      <c r="B40" s="37" t="s">
        <v>757</v>
      </c>
      <c r="C40" s="38"/>
    </row>
    <row r="41">
      <c r="A41" s="39">
        <v>1.0</v>
      </c>
      <c r="B41" s="40" t="s">
        <v>2096</v>
      </c>
      <c r="C41" s="41"/>
    </row>
    <row r="42">
      <c r="A42" s="39">
        <v>2.0</v>
      </c>
      <c r="B42" s="40" t="s">
        <v>2097</v>
      </c>
      <c r="C42" s="41"/>
    </row>
    <row r="43">
      <c r="A43" s="39">
        <v>3.0</v>
      </c>
      <c r="B43" s="40" t="s">
        <v>2098</v>
      </c>
      <c r="C43" s="41"/>
    </row>
    <row r="44">
      <c r="A44" s="39">
        <v>4.0</v>
      </c>
      <c r="B44" s="40" t="s">
        <v>2099</v>
      </c>
      <c r="C44" s="41"/>
    </row>
    <row r="45">
      <c r="A45" s="39">
        <v>5.0</v>
      </c>
      <c r="B45" s="40" t="s">
        <v>2100</v>
      </c>
      <c r="C45" s="41"/>
    </row>
    <row r="46">
      <c r="A46" s="43">
        <v>6.0</v>
      </c>
      <c r="B46" s="49" t="s">
        <v>2101</v>
      </c>
      <c r="C46" s="45"/>
    </row>
    <row r="47">
      <c r="A47" s="35"/>
      <c r="B47" s="35"/>
      <c r="C47" s="35"/>
    </row>
    <row r="48">
      <c r="A48" s="34" t="s">
        <v>763</v>
      </c>
    </row>
    <row r="49">
      <c r="A49" s="35"/>
      <c r="B49" s="35"/>
      <c r="C49" s="35"/>
    </row>
    <row r="50">
      <c r="A50" s="36" t="s">
        <v>749</v>
      </c>
      <c r="B50" s="37" t="s">
        <v>757</v>
      </c>
      <c r="C50" s="38"/>
    </row>
    <row r="51">
      <c r="A51" s="39">
        <v>1.0</v>
      </c>
      <c r="B51" s="40" t="s">
        <v>2102</v>
      </c>
      <c r="C51" s="41"/>
    </row>
    <row r="52">
      <c r="A52" s="39">
        <v>2.0</v>
      </c>
      <c r="B52" s="40" t="s">
        <v>2103</v>
      </c>
      <c r="C52" s="41"/>
    </row>
    <row r="53">
      <c r="A53" s="39">
        <v>3.0</v>
      </c>
      <c r="B53" s="40" t="s">
        <v>2104</v>
      </c>
      <c r="C53" s="41"/>
    </row>
    <row r="54">
      <c r="A54" s="39">
        <v>4.0</v>
      </c>
      <c r="B54" s="40" t="s">
        <v>2105</v>
      </c>
      <c r="C54" s="41"/>
    </row>
    <row r="55">
      <c r="A55" s="39">
        <v>5.0</v>
      </c>
      <c r="B55" s="40" t="s">
        <v>2106</v>
      </c>
      <c r="C55" s="41"/>
    </row>
    <row r="56">
      <c r="A56" s="39">
        <v>6.0</v>
      </c>
      <c r="B56" s="40" t="s">
        <v>2107</v>
      </c>
      <c r="C56" s="41"/>
    </row>
    <row r="57">
      <c r="A57" s="39">
        <v>7.0</v>
      </c>
      <c r="B57" s="40" t="s">
        <v>2108</v>
      </c>
      <c r="C57" s="41"/>
    </row>
    <row r="58">
      <c r="A58" s="43">
        <v>8.0</v>
      </c>
      <c r="B58" s="49" t="s">
        <v>2109</v>
      </c>
      <c r="C58" s="45"/>
    </row>
  </sheetData>
  <mergeCells count="7">
    <mergeCell ref="A1:C1"/>
    <mergeCell ref="A11:C11"/>
    <mergeCell ref="A13:C13"/>
    <mergeCell ref="A15:C15"/>
    <mergeCell ref="A29:C29"/>
    <mergeCell ref="A38:C38"/>
    <mergeCell ref="A48:C48"/>
  </mergeCells>
  <hyperlinks>
    <hyperlink r:id="rId1" ref="B9"/>
  </hyperlinks>
  <drawing r:id="rId2"/>
</worksheet>
</file>

<file path=xl/worksheets/sheet4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2" max="2" width="87.63"/>
    <col customWidth="1" min="3" max="3" width="20.13"/>
  </cols>
  <sheetData>
    <row r="1">
      <c r="A1" s="34" t="s">
        <v>742</v>
      </c>
    </row>
    <row r="2">
      <c r="A2" s="35"/>
      <c r="B2" s="35"/>
      <c r="C2" s="35"/>
    </row>
    <row r="3">
      <c r="A3" s="36" t="s">
        <v>743</v>
      </c>
      <c r="B3" s="37" t="s">
        <v>744</v>
      </c>
      <c r="C3" s="38"/>
    </row>
    <row r="4">
      <c r="A4" s="39" t="s">
        <v>6</v>
      </c>
      <c r="B4" s="40" t="s">
        <v>221</v>
      </c>
      <c r="C4" s="41"/>
    </row>
    <row r="5">
      <c r="A5" s="39" t="s">
        <v>745</v>
      </c>
      <c r="B5" s="42">
        <v>46140.0</v>
      </c>
      <c r="C5" s="41"/>
    </row>
    <row r="6">
      <c r="A6" s="39" t="s">
        <v>0</v>
      </c>
      <c r="B6" s="40" t="s">
        <v>204</v>
      </c>
      <c r="C6" s="41"/>
    </row>
    <row r="7">
      <c r="A7" s="39" t="s">
        <v>7</v>
      </c>
      <c r="B7" s="40" t="s">
        <v>222</v>
      </c>
      <c r="C7" s="41"/>
    </row>
    <row r="8">
      <c r="A8" s="39" t="s">
        <v>746</v>
      </c>
      <c r="B8" s="40">
        <v>7.0</v>
      </c>
      <c r="C8" s="41"/>
    </row>
    <row r="9">
      <c r="A9" s="43" t="s">
        <v>8</v>
      </c>
      <c r="B9" s="44" t="s">
        <v>223</v>
      </c>
      <c r="C9" s="45"/>
    </row>
    <row r="10">
      <c r="A10" s="35"/>
      <c r="B10" s="35"/>
      <c r="C10" s="35"/>
    </row>
    <row r="11">
      <c r="A11" s="34" t="s">
        <v>747</v>
      </c>
    </row>
    <row r="12">
      <c r="A12" s="35"/>
      <c r="B12" s="35"/>
      <c r="C12" s="35"/>
    </row>
    <row r="13">
      <c r="A13" s="46" t="s">
        <v>2110</v>
      </c>
    </row>
    <row r="14">
      <c r="A14" s="35"/>
      <c r="B14" s="35"/>
      <c r="C14" s="35"/>
    </row>
    <row r="15">
      <c r="A15" s="34" t="s">
        <v>748</v>
      </c>
    </row>
    <row r="16">
      <c r="A16" s="35"/>
      <c r="B16" s="35"/>
      <c r="C16" s="35"/>
    </row>
    <row r="17">
      <c r="A17" s="36" t="s">
        <v>749</v>
      </c>
      <c r="B17" s="37" t="s">
        <v>750</v>
      </c>
      <c r="C17" s="47" t="s">
        <v>751</v>
      </c>
    </row>
    <row r="18">
      <c r="A18" s="39">
        <v>1.0</v>
      </c>
      <c r="B18" s="40" t="s">
        <v>2111</v>
      </c>
      <c r="C18" s="48" t="s">
        <v>753</v>
      </c>
    </row>
    <row r="19">
      <c r="A19" s="39">
        <v>2.0</v>
      </c>
      <c r="B19" s="40" t="s">
        <v>2112</v>
      </c>
      <c r="C19" s="48" t="s">
        <v>753</v>
      </c>
    </row>
    <row r="20">
      <c r="A20" s="39">
        <v>3.0</v>
      </c>
      <c r="B20" s="40" t="s">
        <v>2113</v>
      </c>
      <c r="C20" s="48" t="s">
        <v>753</v>
      </c>
    </row>
    <row r="21">
      <c r="A21" s="39">
        <v>4.0</v>
      </c>
      <c r="B21" s="40" t="s">
        <v>2114</v>
      </c>
      <c r="C21" s="48" t="s">
        <v>753</v>
      </c>
    </row>
    <row r="22">
      <c r="A22" s="39">
        <v>5.0</v>
      </c>
      <c r="B22" s="40" t="s">
        <v>2115</v>
      </c>
      <c r="C22" s="48" t="s">
        <v>753</v>
      </c>
    </row>
    <row r="23">
      <c r="A23" s="43">
        <v>6.0</v>
      </c>
      <c r="B23" s="49" t="s">
        <v>2116</v>
      </c>
      <c r="C23" s="50" t="s">
        <v>753</v>
      </c>
    </row>
    <row r="24">
      <c r="A24" s="35"/>
      <c r="B24" s="35"/>
      <c r="C24" s="35"/>
    </row>
    <row r="25">
      <c r="A25" s="34" t="s">
        <v>756</v>
      </c>
    </row>
    <row r="26">
      <c r="A26" s="35"/>
      <c r="B26" s="35"/>
      <c r="C26" s="35"/>
    </row>
    <row r="27">
      <c r="A27" s="36" t="s">
        <v>749</v>
      </c>
      <c r="B27" s="37" t="s">
        <v>757</v>
      </c>
      <c r="C27" s="38"/>
    </row>
    <row r="28">
      <c r="A28" s="39">
        <v>1.0</v>
      </c>
      <c r="B28" s="40" t="s">
        <v>2117</v>
      </c>
      <c r="C28" s="41"/>
    </row>
    <row r="29">
      <c r="A29" s="39">
        <v>2.0</v>
      </c>
      <c r="B29" s="40" t="s">
        <v>2118</v>
      </c>
      <c r="C29" s="41"/>
    </row>
    <row r="30">
      <c r="A30" s="39">
        <v>3.0</v>
      </c>
      <c r="B30" s="40" t="s">
        <v>2119</v>
      </c>
      <c r="C30" s="41"/>
    </row>
    <row r="31">
      <c r="A31" s="39">
        <v>4.0</v>
      </c>
      <c r="B31" s="40" t="s">
        <v>2120</v>
      </c>
      <c r="C31" s="41"/>
    </row>
    <row r="32">
      <c r="A32" s="43">
        <v>5.0</v>
      </c>
      <c r="B32" s="49" t="s">
        <v>2121</v>
      </c>
      <c r="C32" s="45"/>
    </row>
    <row r="33">
      <c r="A33" s="35"/>
      <c r="B33" s="35"/>
      <c r="C33" s="35"/>
    </row>
    <row r="34">
      <c r="A34" s="34" t="s">
        <v>760</v>
      </c>
    </row>
    <row r="35">
      <c r="A35" s="35"/>
      <c r="B35" s="35"/>
      <c r="C35" s="35"/>
    </row>
    <row r="36">
      <c r="A36" s="36" t="s">
        <v>749</v>
      </c>
      <c r="B36" s="37" t="s">
        <v>757</v>
      </c>
      <c r="C36" s="38"/>
    </row>
    <row r="37">
      <c r="A37" s="39">
        <v>1.0</v>
      </c>
      <c r="B37" s="40" t="s">
        <v>2122</v>
      </c>
      <c r="C37" s="41"/>
    </row>
    <row r="38">
      <c r="A38" s="39">
        <v>2.0</v>
      </c>
      <c r="B38" s="40" t="s">
        <v>2123</v>
      </c>
      <c r="C38" s="41"/>
    </row>
    <row r="39">
      <c r="A39" s="39">
        <v>3.0</v>
      </c>
      <c r="B39" s="40" t="s">
        <v>2124</v>
      </c>
      <c r="C39" s="41"/>
    </row>
    <row r="40">
      <c r="A40" s="43">
        <v>4.0</v>
      </c>
      <c r="B40" s="49" t="s">
        <v>2125</v>
      </c>
      <c r="C40" s="45"/>
    </row>
    <row r="41">
      <c r="A41" s="35"/>
      <c r="B41" s="35"/>
      <c r="C41" s="35"/>
    </row>
    <row r="42">
      <c r="A42" s="34" t="s">
        <v>763</v>
      </c>
    </row>
    <row r="43">
      <c r="A43" s="35"/>
      <c r="B43" s="35"/>
      <c r="C43" s="35"/>
    </row>
    <row r="44">
      <c r="A44" s="36" t="s">
        <v>749</v>
      </c>
      <c r="B44" s="37" t="s">
        <v>757</v>
      </c>
      <c r="C44" s="38"/>
    </row>
    <row r="45">
      <c r="A45" s="39">
        <v>1.0</v>
      </c>
      <c r="B45" s="40" t="s">
        <v>2126</v>
      </c>
      <c r="C45" s="41"/>
    </row>
    <row r="46">
      <c r="A46" s="39">
        <v>2.0</v>
      </c>
      <c r="B46" s="40" t="s">
        <v>2127</v>
      </c>
      <c r="C46" s="41"/>
    </row>
    <row r="47">
      <c r="A47" s="39">
        <v>3.0</v>
      </c>
      <c r="B47" s="40" t="s">
        <v>2128</v>
      </c>
      <c r="C47" s="41"/>
    </row>
    <row r="48">
      <c r="A48" s="39">
        <v>4.0</v>
      </c>
      <c r="B48" s="40" t="s">
        <v>2129</v>
      </c>
      <c r="C48" s="41"/>
    </row>
    <row r="49">
      <c r="A49" s="39">
        <v>5.0</v>
      </c>
      <c r="B49" s="40" t="s">
        <v>2130</v>
      </c>
      <c r="C49" s="41"/>
    </row>
    <row r="50">
      <c r="A50" s="43">
        <v>6.0</v>
      </c>
      <c r="B50" s="49" t="s">
        <v>2131</v>
      </c>
      <c r="C50" s="45"/>
    </row>
  </sheetData>
  <mergeCells count="7">
    <mergeCell ref="A1:C1"/>
    <mergeCell ref="A11:C11"/>
    <mergeCell ref="A13:C13"/>
    <mergeCell ref="A15:C15"/>
    <mergeCell ref="A25:C25"/>
    <mergeCell ref="A34:C34"/>
    <mergeCell ref="A42:C42"/>
  </mergeCells>
  <hyperlinks>
    <hyperlink r:id="rId1" ref="B9"/>
  </hyperlinks>
  <drawing r:id="rId2"/>
</worksheet>
</file>

<file path=xl/worksheets/sheet4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2" max="2" width="87.63"/>
    <col customWidth="1" min="3" max="3" width="20.13"/>
  </cols>
  <sheetData>
    <row r="1">
      <c r="A1" s="34" t="s">
        <v>742</v>
      </c>
    </row>
    <row r="2">
      <c r="A2" s="35"/>
      <c r="B2" s="35"/>
      <c r="C2" s="35"/>
    </row>
    <row r="3">
      <c r="A3" s="36" t="s">
        <v>743</v>
      </c>
      <c r="B3" s="37" t="s">
        <v>744</v>
      </c>
      <c r="C3" s="38"/>
    </row>
    <row r="4">
      <c r="A4" s="39" t="s">
        <v>6</v>
      </c>
      <c r="B4" s="40" t="s">
        <v>226</v>
      </c>
      <c r="C4" s="41"/>
    </row>
    <row r="5">
      <c r="A5" s="39" t="s">
        <v>745</v>
      </c>
      <c r="B5" s="42">
        <v>46140.0</v>
      </c>
      <c r="C5" s="41"/>
    </row>
    <row r="6">
      <c r="A6" s="39" t="s">
        <v>0</v>
      </c>
      <c r="B6" s="40" t="s">
        <v>204</v>
      </c>
      <c r="C6" s="41"/>
    </row>
    <row r="7">
      <c r="A7" s="39" t="s">
        <v>7</v>
      </c>
      <c r="B7" s="40" t="s">
        <v>227</v>
      </c>
      <c r="C7" s="41"/>
    </row>
    <row r="8">
      <c r="A8" s="39" t="s">
        <v>746</v>
      </c>
      <c r="B8" s="40">
        <v>3.0</v>
      </c>
      <c r="C8" s="41"/>
    </row>
    <row r="9">
      <c r="A9" s="43" t="s">
        <v>8</v>
      </c>
      <c r="B9" s="44" t="s">
        <v>228</v>
      </c>
      <c r="C9" s="45"/>
    </row>
    <row r="10">
      <c r="A10" s="35"/>
      <c r="B10" s="35"/>
      <c r="C10" s="35"/>
    </row>
    <row r="11">
      <c r="A11" s="34" t="s">
        <v>747</v>
      </c>
    </row>
    <row r="12">
      <c r="A12" s="35"/>
      <c r="B12" s="35"/>
      <c r="C12" s="35"/>
    </row>
    <row r="13">
      <c r="A13" s="46" t="s">
        <v>2132</v>
      </c>
    </row>
    <row r="14">
      <c r="A14" s="35"/>
      <c r="B14" s="35"/>
      <c r="C14" s="35"/>
    </row>
    <row r="15">
      <c r="A15" s="34" t="s">
        <v>748</v>
      </c>
    </row>
    <row r="16">
      <c r="A16" s="35"/>
      <c r="B16" s="35"/>
      <c r="C16" s="35"/>
    </row>
    <row r="17">
      <c r="A17" s="36" t="s">
        <v>749</v>
      </c>
      <c r="B17" s="37" t="s">
        <v>750</v>
      </c>
      <c r="C17" s="47" t="s">
        <v>751</v>
      </c>
    </row>
    <row r="18">
      <c r="A18" s="39">
        <v>1.0</v>
      </c>
      <c r="B18" s="40" t="s">
        <v>2133</v>
      </c>
      <c r="C18" s="48" t="s">
        <v>753</v>
      </c>
    </row>
    <row r="19">
      <c r="A19" s="39">
        <v>2.0</v>
      </c>
      <c r="B19" s="40" t="s">
        <v>2134</v>
      </c>
      <c r="C19" s="48" t="s">
        <v>753</v>
      </c>
    </row>
    <row r="20">
      <c r="A20" s="39">
        <v>3.0</v>
      </c>
      <c r="B20" s="40" t="s">
        <v>2135</v>
      </c>
      <c r="C20" s="48" t="s">
        <v>753</v>
      </c>
    </row>
    <row r="21">
      <c r="A21" s="39">
        <v>4.0</v>
      </c>
      <c r="B21" s="40" t="s">
        <v>2136</v>
      </c>
      <c r="C21" s="48" t="s">
        <v>753</v>
      </c>
    </row>
    <row r="22">
      <c r="A22" s="39">
        <v>5.0</v>
      </c>
      <c r="B22" s="40" t="s">
        <v>2137</v>
      </c>
      <c r="C22" s="48" t="s">
        <v>753</v>
      </c>
    </row>
    <row r="23">
      <c r="A23" s="39">
        <v>6.0</v>
      </c>
      <c r="B23" s="40" t="s">
        <v>2138</v>
      </c>
      <c r="C23" s="48" t="s">
        <v>753</v>
      </c>
    </row>
    <row r="24">
      <c r="A24" s="39">
        <v>7.0</v>
      </c>
      <c r="B24" s="40" t="s">
        <v>2139</v>
      </c>
      <c r="C24" s="48" t="s">
        <v>753</v>
      </c>
    </row>
    <row r="25">
      <c r="A25" s="39">
        <v>8.0</v>
      </c>
      <c r="B25" s="40" t="s">
        <v>2140</v>
      </c>
      <c r="C25" s="48" t="s">
        <v>753</v>
      </c>
    </row>
    <row r="26">
      <c r="A26" s="39">
        <v>9.0</v>
      </c>
      <c r="B26" s="40" t="s">
        <v>2141</v>
      </c>
      <c r="C26" s="48" t="s">
        <v>753</v>
      </c>
    </row>
    <row r="27">
      <c r="A27" s="39">
        <v>10.0</v>
      </c>
      <c r="B27" s="40" t="s">
        <v>2142</v>
      </c>
      <c r="C27" s="48" t="s">
        <v>753</v>
      </c>
    </row>
    <row r="28">
      <c r="A28" s="39">
        <v>11.0</v>
      </c>
      <c r="B28" s="40" t="s">
        <v>2143</v>
      </c>
      <c r="C28" s="48" t="s">
        <v>753</v>
      </c>
    </row>
    <row r="29">
      <c r="A29" s="39">
        <v>12.0</v>
      </c>
      <c r="B29" s="40" t="s">
        <v>2144</v>
      </c>
      <c r="C29" s="48" t="s">
        <v>753</v>
      </c>
    </row>
    <row r="30">
      <c r="A30" s="39">
        <v>13.0</v>
      </c>
      <c r="B30" s="40" t="s">
        <v>2145</v>
      </c>
      <c r="C30" s="48" t="s">
        <v>753</v>
      </c>
    </row>
    <row r="31">
      <c r="A31" s="39">
        <v>14.0</v>
      </c>
      <c r="B31" s="40" t="s">
        <v>2146</v>
      </c>
      <c r="C31" s="48" t="s">
        <v>753</v>
      </c>
    </row>
    <row r="32">
      <c r="A32" s="39">
        <v>15.0</v>
      </c>
      <c r="B32" s="40" t="s">
        <v>2147</v>
      </c>
      <c r="C32" s="48" t="s">
        <v>753</v>
      </c>
    </row>
    <row r="33">
      <c r="A33" s="39">
        <v>16.0</v>
      </c>
      <c r="B33" s="40" t="s">
        <v>2148</v>
      </c>
      <c r="C33" s="48" t="s">
        <v>753</v>
      </c>
    </row>
    <row r="34">
      <c r="A34" s="39">
        <v>17.0</v>
      </c>
      <c r="B34" s="40" t="s">
        <v>2149</v>
      </c>
      <c r="C34" s="48" t="s">
        <v>753</v>
      </c>
    </row>
    <row r="35">
      <c r="A35" s="39">
        <v>18.0</v>
      </c>
      <c r="B35" s="40" t="s">
        <v>2150</v>
      </c>
      <c r="C35" s="48" t="s">
        <v>753</v>
      </c>
    </row>
    <row r="36">
      <c r="A36" s="43">
        <v>19.0</v>
      </c>
      <c r="B36" s="49" t="s">
        <v>2151</v>
      </c>
      <c r="C36" s="50" t="s">
        <v>753</v>
      </c>
    </row>
    <row r="37">
      <c r="A37" s="35"/>
      <c r="B37" s="35"/>
      <c r="C37" s="35"/>
    </row>
    <row r="38">
      <c r="A38" s="34" t="s">
        <v>756</v>
      </c>
    </row>
    <row r="39">
      <c r="A39" s="35"/>
      <c r="B39" s="35"/>
      <c r="C39" s="35"/>
    </row>
    <row r="40">
      <c r="A40" s="36" t="s">
        <v>749</v>
      </c>
      <c r="B40" s="37" t="s">
        <v>757</v>
      </c>
      <c r="C40" s="38"/>
    </row>
    <row r="41">
      <c r="A41" s="39">
        <v>1.0</v>
      </c>
      <c r="B41" s="40" t="s">
        <v>2152</v>
      </c>
      <c r="C41" s="41"/>
    </row>
    <row r="42">
      <c r="A42" s="39">
        <v>2.0</v>
      </c>
      <c r="B42" s="40" t="s">
        <v>2153</v>
      </c>
      <c r="C42" s="41"/>
    </row>
    <row r="43">
      <c r="A43" s="39">
        <v>3.0</v>
      </c>
      <c r="B43" s="40" t="s">
        <v>2154</v>
      </c>
      <c r="C43" s="41"/>
    </row>
    <row r="44">
      <c r="A44" s="39">
        <v>4.0</v>
      </c>
      <c r="B44" s="40" t="s">
        <v>2155</v>
      </c>
      <c r="C44" s="41"/>
    </row>
    <row r="45">
      <c r="A45" s="43">
        <v>5.0</v>
      </c>
      <c r="B45" s="49" t="s">
        <v>2156</v>
      </c>
      <c r="C45" s="45"/>
    </row>
    <row r="46">
      <c r="A46" s="35"/>
      <c r="B46" s="35"/>
      <c r="C46" s="35"/>
    </row>
    <row r="47">
      <c r="A47" s="34" t="s">
        <v>760</v>
      </c>
    </row>
    <row r="48">
      <c r="A48" s="35"/>
      <c r="B48" s="35"/>
      <c r="C48" s="35"/>
    </row>
    <row r="49">
      <c r="A49" s="36" t="s">
        <v>749</v>
      </c>
      <c r="B49" s="37" t="s">
        <v>757</v>
      </c>
      <c r="C49" s="38"/>
    </row>
    <row r="50">
      <c r="A50" s="39">
        <v>1.0</v>
      </c>
      <c r="B50" s="40" t="s">
        <v>2157</v>
      </c>
      <c r="C50" s="41"/>
    </row>
    <row r="51">
      <c r="A51" s="39">
        <v>2.0</v>
      </c>
      <c r="B51" s="40" t="s">
        <v>2158</v>
      </c>
      <c r="C51" s="41"/>
    </row>
    <row r="52">
      <c r="A52" s="39">
        <v>3.0</v>
      </c>
      <c r="B52" s="40" t="s">
        <v>2159</v>
      </c>
      <c r="C52" s="41"/>
    </row>
    <row r="53">
      <c r="A53" s="39">
        <v>4.0</v>
      </c>
      <c r="B53" s="40" t="s">
        <v>2160</v>
      </c>
      <c r="C53" s="41"/>
    </row>
    <row r="54">
      <c r="A54" s="43">
        <v>5.0</v>
      </c>
      <c r="B54" s="49" t="s">
        <v>2161</v>
      </c>
      <c r="C54" s="45"/>
    </row>
    <row r="55">
      <c r="A55" s="35"/>
      <c r="B55" s="35"/>
      <c r="C55" s="35"/>
    </row>
    <row r="56">
      <c r="A56" s="34" t="s">
        <v>763</v>
      </c>
    </row>
    <row r="57">
      <c r="A57" s="35"/>
      <c r="B57" s="35"/>
      <c r="C57" s="35"/>
    </row>
    <row r="58">
      <c r="A58" s="36" t="s">
        <v>749</v>
      </c>
      <c r="B58" s="37" t="s">
        <v>757</v>
      </c>
      <c r="C58" s="38"/>
    </row>
    <row r="59">
      <c r="A59" s="39">
        <v>1.0</v>
      </c>
      <c r="B59" s="40" t="s">
        <v>2162</v>
      </c>
      <c r="C59" s="41"/>
    </row>
    <row r="60">
      <c r="A60" s="39">
        <v>2.0</v>
      </c>
      <c r="B60" s="40" t="s">
        <v>2163</v>
      </c>
      <c r="C60" s="41"/>
    </row>
    <row r="61">
      <c r="A61" s="39">
        <v>3.0</v>
      </c>
      <c r="B61" s="40" t="s">
        <v>2164</v>
      </c>
      <c r="C61" s="41"/>
    </row>
    <row r="62">
      <c r="A62" s="39">
        <v>4.0</v>
      </c>
      <c r="B62" s="40" t="s">
        <v>2165</v>
      </c>
      <c r="C62" s="41"/>
    </row>
    <row r="63">
      <c r="A63" s="39">
        <v>5.0</v>
      </c>
      <c r="B63" s="40" t="s">
        <v>2166</v>
      </c>
      <c r="C63" s="41"/>
    </row>
    <row r="64">
      <c r="A64" s="39">
        <v>6.0</v>
      </c>
      <c r="B64" s="40" t="s">
        <v>2167</v>
      </c>
      <c r="C64" s="41"/>
    </row>
    <row r="65">
      <c r="A65" s="39">
        <v>7.0</v>
      </c>
      <c r="B65" s="40" t="s">
        <v>2168</v>
      </c>
      <c r="C65" s="41"/>
    </row>
    <row r="66">
      <c r="A66" s="43">
        <v>8.0</v>
      </c>
      <c r="B66" s="49" t="s">
        <v>2169</v>
      </c>
      <c r="C66" s="45"/>
    </row>
  </sheetData>
  <mergeCells count="7">
    <mergeCell ref="A1:C1"/>
    <mergeCell ref="A11:C11"/>
    <mergeCell ref="A13:C13"/>
    <mergeCell ref="A15:C15"/>
    <mergeCell ref="A38:C38"/>
    <mergeCell ref="A47:C47"/>
    <mergeCell ref="A56:C56"/>
  </mergeCells>
  <hyperlinks>
    <hyperlink r:id="rId1" ref="B9"/>
  </hyperlinks>
  <drawing r:id="rId2"/>
</worksheet>
</file>

<file path=xl/worksheets/sheet4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2" max="2" width="87.63"/>
    <col customWidth="1" min="3" max="3" width="20.13"/>
  </cols>
  <sheetData>
    <row r="1">
      <c r="A1" s="34" t="s">
        <v>742</v>
      </c>
    </row>
    <row r="2">
      <c r="A2" s="35"/>
      <c r="B2" s="35"/>
      <c r="C2" s="35"/>
    </row>
    <row r="3">
      <c r="A3" s="36" t="s">
        <v>743</v>
      </c>
      <c r="B3" s="37" t="s">
        <v>744</v>
      </c>
      <c r="C3" s="38"/>
    </row>
    <row r="4">
      <c r="A4" s="39" t="s">
        <v>6</v>
      </c>
      <c r="B4" s="40" t="s">
        <v>231</v>
      </c>
      <c r="C4" s="41"/>
    </row>
    <row r="5">
      <c r="A5" s="39" t="s">
        <v>745</v>
      </c>
      <c r="B5" s="42">
        <v>46134.0</v>
      </c>
      <c r="C5" s="41"/>
    </row>
    <row r="6">
      <c r="A6" s="39" t="s">
        <v>0</v>
      </c>
      <c r="B6" s="40" t="s">
        <v>204</v>
      </c>
      <c r="C6" s="41"/>
    </row>
    <row r="7">
      <c r="A7" s="39" t="s">
        <v>7</v>
      </c>
      <c r="B7" s="40" t="s">
        <v>232</v>
      </c>
      <c r="C7" s="41"/>
    </row>
    <row r="8">
      <c r="A8" s="39" t="s">
        <v>746</v>
      </c>
      <c r="B8" s="40">
        <v>4.0</v>
      </c>
      <c r="C8" s="41"/>
    </row>
    <row r="9">
      <c r="A9" s="43" t="s">
        <v>8</v>
      </c>
      <c r="B9" s="44" t="s">
        <v>233</v>
      </c>
      <c r="C9" s="45"/>
    </row>
    <row r="10">
      <c r="A10" s="35"/>
      <c r="B10" s="35"/>
      <c r="C10" s="35"/>
    </row>
    <row r="11">
      <c r="A11" s="34" t="s">
        <v>747</v>
      </c>
    </row>
    <row r="12">
      <c r="A12" s="35"/>
      <c r="B12" s="35"/>
      <c r="C12" s="35"/>
    </row>
    <row r="13">
      <c r="A13" s="46" t="s">
        <v>234</v>
      </c>
    </row>
    <row r="14">
      <c r="A14" s="35"/>
      <c r="B14" s="35"/>
      <c r="C14" s="35"/>
    </row>
    <row r="15">
      <c r="A15" s="34" t="s">
        <v>748</v>
      </c>
    </row>
    <row r="16">
      <c r="A16" s="35"/>
      <c r="B16" s="35"/>
      <c r="C16" s="35"/>
    </row>
    <row r="17">
      <c r="A17" s="36" t="s">
        <v>749</v>
      </c>
      <c r="B17" s="37" t="s">
        <v>750</v>
      </c>
      <c r="C17" s="47" t="s">
        <v>751</v>
      </c>
    </row>
    <row r="18">
      <c r="A18" s="39">
        <v>1.0</v>
      </c>
      <c r="B18" s="40" t="s">
        <v>2170</v>
      </c>
      <c r="C18" s="48" t="s">
        <v>753</v>
      </c>
    </row>
    <row r="19">
      <c r="A19" s="39">
        <v>2.0</v>
      </c>
      <c r="B19" s="40" t="s">
        <v>2171</v>
      </c>
      <c r="C19" s="48" t="s">
        <v>753</v>
      </c>
    </row>
    <row r="20">
      <c r="A20" s="39">
        <v>3.0</v>
      </c>
      <c r="B20" s="40" t="s">
        <v>2172</v>
      </c>
      <c r="C20" s="48" t="s">
        <v>753</v>
      </c>
    </row>
    <row r="21">
      <c r="A21" s="39">
        <v>4.0</v>
      </c>
      <c r="B21" s="40" t="s">
        <v>2173</v>
      </c>
      <c r="C21" s="48" t="s">
        <v>753</v>
      </c>
    </row>
    <row r="22">
      <c r="A22" s="39">
        <v>5.0</v>
      </c>
      <c r="B22" s="40" t="s">
        <v>2174</v>
      </c>
      <c r="C22" s="48" t="s">
        <v>753</v>
      </c>
    </row>
    <row r="23">
      <c r="A23" s="39">
        <v>6.0</v>
      </c>
      <c r="B23" s="40" t="s">
        <v>2175</v>
      </c>
      <c r="C23" s="48" t="s">
        <v>753</v>
      </c>
    </row>
    <row r="24">
      <c r="A24" s="39">
        <v>7.0</v>
      </c>
      <c r="B24" s="40" t="s">
        <v>2176</v>
      </c>
      <c r="C24" s="48" t="s">
        <v>753</v>
      </c>
    </row>
    <row r="25">
      <c r="A25" s="39">
        <v>8.0</v>
      </c>
      <c r="B25" s="40" t="s">
        <v>2177</v>
      </c>
      <c r="C25" s="48" t="s">
        <v>753</v>
      </c>
    </row>
    <row r="26">
      <c r="A26" s="39">
        <v>9.0</v>
      </c>
      <c r="B26" s="40" t="s">
        <v>2178</v>
      </c>
      <c r="C26" s="48" t="s">
        <v>753</v>
      </c>
    </row>
    <row r="27">
      <c r="A27" s="39">
        <v>10.0</v>
      </c>
      <c r="B27" s="40" t="s">
        <v>2179</v>
      </c>
      <c r="C27" s="48" t="s">
        <v>753</v>
      </c>
    </row>
    <row r="28">
      <c r="A28" s="39">
        <v>11.0</v>
      </c>
      <c r="B28" s="40" t="s">
        <v>2180</v>
      </c>
      <c r="C28" s="48" t="s">
        <v>753</v>
      </c>
    </row>
    <row r="29">
      <c r="A29" s="39">
        <v>12.0</v>
      </c>
      <c r="B29" s="40" t="s">
        <v>2181</v>
      </c>
      <c r="C29" s="48" t="s">
        <v>753</v>
      </c>
    </row>
    <row r="30">
      <c r="A30" s="43">
        <v>13.0</v>
      </c>
      <c r="B30" s="49" t="s">
        <v>2182</v>
      </c>
      <c r="C30" s="50" t="s">
        <v>753</v>
      </c>
    </row>
    <row r="31">
      <c r="A31" s="35"/>
      <c r="B31" s="35"/>
      <c r="C31" s="35"/>
    </row>
    <row r="32">
      <c r="A32" s="34" t="s">
        <v>756</v>
      </c>
    </row>
    <row r="33">
      <c r="A33" s="35"/>
      <c r="B33" s="35"/>
      <c r="C33" s="35"/>
    </row>
    <row r="34">
      <c r="A34" s="36" t="s">
        <v>749</v>
      </c>
      <c r="B34" s="37" t="s">
        <v>757</v>
      </c>
      <c r="C34" s="38"/>
    </row>
    <row r="35">
      <c r="A35" s="39">
        <v>1.0</v>
      </c>
      <c r="B35" s="40" t="s">
        <v>2183</v>
      </c>
      <c r="C35" s="41"/>
    </row>
    <row r="36">
      <c r="A36" s="39">
        <v>2.0</v>
      </c>
      <c r="B36" s="40" t="s">
        <v>2184</v>
      </c>
      <c r="C36" s="41"/>
    </row>
    <row r="37">
      <c r="A37" s="39">
        <v>3.0</v>
      </c>
      <c r="B37" s="40" t="s">
        <v>2185</v>
      </c>
      <c r="C37" s="41"/>
    </row>
    <row r="38">
      <c r="A38" s="39">
        <v>4.0</v>
      </c>
      <c r="B38" s="40" t="s">
        <v>2186</v>
      </c>
      <c r="C38" s="41"/>
    </row>
    <row r="39">
      <c r="A39" s="39">
        <v>5.0</v>
      </c>
      <c r="B39" s="40" t="s">
        <v>2187</v>
      </c>
      <c r="C39" s="41"/>
    </row>
    <row r="40">
      <c r="A40" s="43">
        <v>6.0</v>
      </c>
      <c r="B40" s="49" t="s">
        <v>2188</v>
      </c>
      <c r="C40" s="45"/>
    </row>
    <row r="41">
      <c r="A41" s="35"/>
      <c r="B41" s="35"/>
      <c r="C41" s="35"/>
    </row>
    <row r="42">
      <c r="A42" s="34" t="s">
        <v>760</v>
      </c>
    </row>
    <row r="43">
      <c r="A43" s="35"/>
      <c r="B43" s="35"/>
      <c r="C43" s="35"/>
    </row>
    <row r="44">
      <c r="A44" s="36" t="s">
        <v>749</v>
      </c>
      <c r="B44" s="37" t="s">
        <v>757</v>
      </c>
      <c r="C44" s="38"/>
    </row>
    <row r="45">
      <c r="A45" s="39">
        <v>1.0</v>
      </c>
      <c r="B45" s="40" t="s">
        <v>2189</v>
      </c>
      <c r="C45" s="41"/>
    </row>
    <row r="46">
      <c r="A46" s="39">
        <v>2.0</v>
      </c>
      <c r="B46" s="40" t="s">
        <v>2190</v>
      </c>
      <c r="C46" s="41"/>
    </row>
    <row r="47">
      <c r="A47" s="39">
        <v>3.0</v>
      </c>
      <c r="B47" s="40" t="s">
        <v>2191</v>
      </c>
      <c r="C47" s="41"/>
    </row>
    <row r="48">
      <c r="A48" s="39">
        <v>4.0</v>
      </c>
      <c r="B48" s="40" t="s">
        <v>2192</v>
      </c>
      <c r="C48" s="41"/>
    </row>
    <row r="49">
      <c r="A49" s="39">
        <v>5.0</v>
      </c>
      <c r="B49" s="40" t="s">
        <v>2193</v>
      </c>
      <c r="C49" s="41"/>
    </row>
    <row r="50">
      <c r="A50" s="43">
        <v>6.0</v>
      </c>
      <c r="B50" s="49" t="s">
        <v>2194</v>
      </c>
      <c r="C50" s="45"/>
    </row>
    <row r="51">
      <c r="A51" s="35"/>
      <c r="B51" s="35"/>
      <c r="C51" s="35"/>
    </row>
    <row r="52">
      <c r="A52" s="34" t="s">
        <v>763</v>
      </c>
    </row>
    <row r="53">
      <c r="A53" s="35"/>
      <c r="B53" s="35"/>
      <c r="C53" s="35"/>
    </row>
    <row r="54">
      <c r="A54" s="36" t="s">
        <v>749</v>
      </c>
      <c r="B54" s="37" t="s">
        <v>757</v>
      </c>
      <c r="C54" s="38"/>
    </row>
    <row r="55">
      <c r="A55" s="39">
        <v>1.0</v>
      </c>
      <c r="B55" s="40" t="s">
        <v>2195</v>
      </c>
      <c r="C55" s="41"/>
    </row>
    <row r="56">
      <c r="A56" s="39">
        <v>2.0</v>
      </c>
      <c r="B56" s="40" t="s">
        <v>2196</v>
      </c>
      <c r="C56" s="41"/>
    </row>
    <row r="57">
      <c r="A57" s="39">
        <v>3.0</v>
      </c>
      <c r="B57" s="40" t="s">
        <v>2197</v>
      </c>
      <c r="C57" s="41"/>
    </row>
    <row r="58">
      <c r="A58" s="39">
        <v>4.0</v>
      </c>
      <c r="B58" s="40" t="s">
        <v>2198</v>
      </c>
      <c r="C58" s="41"/>
    </row>
    <row r="59">
      <c r="A59" s="39">
        <v>5.0</v>
      </c>
      <c r="B59" s="40" t="s">
        <v>2199</v>
      </c>
      <c r="C59" s="41"/>
    </row>
    <row r="60">
      <c r="A60" s="39">
        <v>6.0</v>
      </c>
      <c r="B60" s="40" t="s">
        <v>2200</v>
      </c>
      <c r="C60" s="41"/>
    </row>
    <row r="61">
      <c r="A61" s="39">
        <v>7.0</v>
      </c>
      <c r="B61" s="40" t="s">
        <v>2201</v>
      </c>
      <c r="C61" s="41"/>
    </row>
    <row r="62">
      <c r="A62" s="39">
        <v>8.0</v>
      </c>
      <c r="B62" s="40" t="s">
        <v>2202</v>
      </c>
      <c r="C62" s="41"/>
    </row>
    <row r="63">
      <c r="A63" s="39">
        <v>9.0</v>
      </c>
      <c r="B63" s="40" t="s">
        <v>2203</v>
      </c>
      <c r="C63" s="41"/>
    </row>
    <row r="64">
      <c r="A64" s="43">
        <v>10.0</v>
      </c>
      <c r="B64" s="49" t="s">
        <v>2204</v>
      </c>
      <c r="C64" s="45"/>
    </row>
  </sheetData>
  <mergeCells count="7">
    <mergeCell ref="A1:C1"/>
    <mergeCell ref="A11:C11"/>
    <mergeCell ref="A13:C13"/>
    <mergeCell ref="A15:C15"/>
    <mergeCell ref="A32:C32"/>
    <mergeCell ref="A42:C42"/>
    <mergeCell ref="A52:C52"/>
  </mergeCells>
  <hyperlinks>
    <hyperlink r:id="rId1" ref="B9"/>
  </hyperlinks>
  <drawing r:id="rId2"/>
</worksheet>
</file>

<file path=xl/worksheets/sheet5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2" max="2" width="87.63"/>
    <col customWidth="1" min="3" max="3" width="20.13"/>
  </cols>
  <sheetData>
    <row r="1">
      <c r="A1" s="34" t="s">
        <v>742</v>
      </c>
    </row>
    <row r="2">
      <c r="A2" s="35"/>
      <c r="B2" s="35"/>
      <c r="C2" s="35"/>
    </row>
    <row r="3">
      <c r="A3" s="36" t="s">
        <v>743</v>
      </c>
      <c r="B3" s="37" t="s">
        <v>744</v>
      </c>
      <c r="C3" s="38"/>
    </row>
    <row r="4">
      <c r="A4" s="39" t="s">
        <v>6</v>
      </c>
      <c r="B4" s="40" t="s">
        <v>236</v>
      </c>
      <c r="C4" s="41"/>
    </row>
    <row r="5">
      <c r="A5" s="39" t="s">
        <v>745</v>
      </c>
      <c r="B5" s="42">
        <v>46140.0</v>
      </c>
      <c r="C5" s="41"/>
    </row>
    <row r="6">
      <c r="A6" s="39" t="s">
        <v>0</v>
      </c>
      <c r="B6" s="40" t="s">
        <v>204</v>
      </c>
      <c r="C6" s="41"/>
    </row>
    <row r="7">
      <c r="A7" s="39" t="s">
        <v>7</v>
      </c>
      <c r="B7" s="40" t="s">
        <v>227</v>
      </c>
      <c r="C7" s="41"/>
    </row>
    <row r="8">
      <c r="A8" s="39" t="s">
        <v>746</v>
      </c>
      <c r="B8" s="40">
        <v>3.0</v>
      </c>
      <c r="C8" s="41"/>
    </row>
    <row r="9">
      <c r="A9" s="43" t="s">
        <v>8</v>
      </c>
      <c r="B9" s="44" t="s">
        <v>237</v>
      </c>
      <c r="C9" s="45"/>
    </row>
    <row r="10">
      <c r="A10" s="35"/>
      <c r="B10" s="35"/>
      <c r="C10" s="35"/>
    </row>
    <row r="11">
      <c r="A11" s="34" t="s">
        <v>747</v>
      </c>
    </row>
    <row r="12">
      <c r="A12" s="35"/>
      <c r="B12" s="35"/>
      <c r="C12" s="35"/>
    </row>
    <row r="13">
      <c r="A13" s="46" t="s">
        <v>2205</v>
      </c>
    </row>
    <row r="14">
      <c r="A14" s="35"/>
      <c r="B14" s="35"/>
      <c r="C14" s="35"/>
    </row>
    <row r="15">
      <c r="A15" s="34" t="s">
        <v>748</v>
      </c>
    </row>
    <row r="16">
      <c r="A16" s="35"/>
      <c r="B16" s="35"/>
      <c r="C16" s="35"/>
    </row>
    <row r="17">
      <c r="A17" s="36" t="s">
        <v>749</v>
      </c>
      <c r="B17" s="37" t="s">
        <v>750</v>
      </c>
      <c r="C17" s="47" t="s">
        <v>751</v>
      </c>
    </row>
    <row r="18">
      <c r="A18" s="39">
        <v>1.0</v>
      </c>
      <c r="B18" s="73" t="s">
        <v>2206</v>
      </c>
      <c r="C18" s="48" t="s">
        <v>753</v>
      </c>
    </row>
    <row r="19">
      <c r="A19" s="39">
        <v>2.0</v>
      </c>
      <c r="B19" s="40" t="s">
        <v>2207</v>
      </c>
      <c r="C19" s="48" t="s">
        <v>753</v>
      </c>
    </row>
    <row r="20">
      <c r="A20" s="39">
        <v>3.0</v>
      </c>
      <c r="B20" s="40" t="s">
        <v>2208</v>
      </c>
      <c r="C20" s="48" t="s">
        <v>753</v>
      </c>
    </row>
    <row r="21">
      <c r="A21" s="39">
        <v>4.0</v>
      </c>
      <c r="B21" s="40" t="s">
        <v>2209</v>
      </c>
      <c r="C21" s="48" t="s">
        <v>753</v>
      </c>
    </row>
    <row r="22">
      <c r="A22" s="39">
        <v>5.0</v>
      </c>
      <c r="B22" s="40" t="s">
        <v>2210</v>
      </c>
      <c r="C22" s="48" t="s">
        <v>753</v>
      </c>
    </row>
    <row r="23">
      <c r="A23" s="39">
        <v>6.0</v>
      </c>
      <c r="B23" s="40" t="s">
        <v>2211</v>
      </c>
      <c r="C23" s="48" t="s">
        <v>753</v>
      </c>
    </row>
    <row r="24">
      <c r="A24" s="39">
        <v>7.0</v>
      </c>
      <c r="B24" s="40" t="s">
        <v>2212</v>
      </c>
      <c r="C24" s="48" t="s">
        <v>753</v>
      </c>
    </row>
    <row r="25">
      <c r="A25" s="39">
        <v>8.0</v>
      </c>
      <c r="B25" s="40" t="s">
        <v>2213</v>
      </c>
      <c r="C25" s="48" t="s">
        <v>753</v>
      </c>
    </row>
    <row r="26">
      <c r="A26" s="39">
        <v>9.0</v>
      </c>
      <c r="B26" s="40" t="s">
        <v>2214</v>
      </c>
      <c r="C26" s="48" t="s">
        <v>753</v>
      </c>
    </row>
    <row r="27">
      <c r="A27" s="39">
        <v>10.0</v>
      </c>
      <c r="B27" s="40" t="s">
        <v>2215</v>
      </c>
      <c r="C27" s="48" t="s">
        <v>753</v>
      </c>
    </row>
    <row r="28">
      <c r="A28" s="39">
        <v>11.0</v>
      </c>
      <c r="B28" s="40" t="s">
        <v>2216</v>
      </c>
      <c r="C28" s="48" t="s">
        <v>753</v>
      </c>
    </row>
    <row r="29">
      <c r="A29" s="39">
        <v>12.0</v>
      </c>
      <c r="B29" s="40" t="s">
        <v>2217</v>
      </c>
      <c r="C29" s="48" t="s">
        <v>753</v>
      </c>
    </row>
    <row r="30">
      <c r="A30" s="39">
        <v>13.0</v>
      </c>
      <c r="B30" s="40" t="s">
        <v>2218</v>
      </c>
      <c r="C30" s="48" t="s">
        <v>753</v>
      </c>
    </row>
    <row r="31">
      <c r="A31" s="39">
        <v>14.0</v>
      </c>
      <c r="B31" s="40" t="s">
        <v>2219</v>
      </c>
      <c r="C31" s="48" t="s">
        <v>753</v>
      </c>
    </row>
    <row r="32">
      <c r="A32" s="39">
        <v>15.0</v>
      </c>
      <c r="B32" s="40" t="s">
        <v>2220</v>
      </c>
      <c r="C32" s="48" t="s">
        <v>753</v>
      </c>
    </row>
    <row r="33">
      <c r="A33" s="39">
        <v>16.0</v>
      </c>
      <c r="B33" s="40" t="s">
        <v>2221</v>
      </c>
      <c r="C33" s="48" t="s">
        <v>753</v>
      </c>
    </row>
    <row r="34">
      <c r="A34" s="39">
        <v>17.0</v>
      </c>
      <c r="B34" s="40" t="s">
        <v>2222</v>
      </c>
      <c r="C34" s="48" t="s">
        <v>753</v>
      </c>
    </row>
    <row r="35">
      <c r="A35" s="39">
        <v>18.0</v>
      </c>
      <c r="B35" s="40" t="s">
        <v>2223</v>
      </c>
      <c r="C35" s="48" t="s">
        <v>753</v>
      </c>
    </row>
    <row r="36">
      <c r="A36" s="39">
        <v>19.0</v>
      </c>
      <c r="B36" s="40" t="s">
        <v>2224</v>
      </c>
      <c r="C36" s="48" t="s">
        <v>753</v>
      </c>
    </row>
    <row r="37">
      <c r="A37" s="39">
        <v>20.0</v>
      </c>
      <c r="B37" s="40" t="s">
        <v>2225</v>
      </c>
      <c r="C37" s="48" t="s">
        <v>753</v>
      </c>
    </row>
    <row r="38">
      <c r="A38" s="43">
        <v>21.0</v>
      </c>
      <c r="B38" s="49" t="s">
        <v>2226</v>
      </c>
      <c r="C38" s="50" t="s">
        <v>753</v>
      </c>
    </row>
    <row r="39">
      <c r="A39" s="35"/>
      <c r="B39" s="35"/>
      <c r="C39" s="35"/>
    </row>
    <row r="40">
      <c r="A40" s="34" t="s">
        <v>756</v>
      </c>
    </row>
    <row r="41">
      <c r="A41" s="35"/>
      <c r="B41" s="35"/>
      <c r="C41" s="35"/>
    </row>
    <row r="42">
      <c r="A42" s="36" t="s">
        <v>749</v>
      </c>
      <c r="B42" s="37" t="s">
        <v>757</v>
      </c>
      <c r="C42" s="38"/>
    </row>
    <row r="43">
      <c r="A43" s="39">
        <v>1.0</v>
      </c>
      <c r="B43" s="40" t="s">
        <v>2227</v>
      </c>
      <c r="C43" s="41"/>
    </row>
    <row r="44">
      <c r="A44" s="39">
        <v>2.0</v>
      </c>
      <c r="B44" s="40" t="s">
        <v>2228</v>
      </c>
      <c r="C44" s="41"/>
    </row>
    <row r="45">
      <c r="A45" s="39">
        <v>3.0</v>
      </c>
      <c r="B45" s="40" t="s">
        <v>2229</v>
      </c>
      <c r="C45" s="41"/>
    </row>
    <row r="46">
      <c r="A46" s="39">
        <v>4.0</v>
      </c>
      <c r="B46" s="40" t="s">
        <v>2230</v>
      </c>
      <c r="C46" s="41"/>
    </row>
    <row r="47">
      <c r="A47" s="43">
        <v>5.0</v>
      </c>
      <c r="B47" s="49" t="s">
        <v>2231</v>
      </c>
      <c r="C47" s="45"/>
    </row>
    <row r="48">
      <c r="A48" s="35"/>
      <c r="B48" s="35"/>
      <c r="C48" s="35"/>
    </row>
    <row r="49">
      <c r="A49" s="34" t="s">
        <v>760</v>
      </c>
    </row>
    <row r="50">
      <c r="A50" s="35"/>
      <c r="B50" s="35"/>
      <c r="C50" s="35"/>
    </row>
    <row r="51">
      <c r="A51" s="36" t="s">
        <v>749</v>
      </c>
      <c r="B51" s="37" t="s">
        <v>757</v>
      </c>
      <c r="C51" s="38"/>
    </row>
    <row r="52">
      <c r="A52" s="39">
        <v>1.0</v>
      </c>
      <c r="B52" s="40" t="s">
        <v>2232</v>
      </c>
      <c r="C52" s="41"/>
    </row>
    <row r="53">
      <c r="A53" s="39">
        <v>2.0</v>
      </c>
      <c r="B53" s="40" t="s">
        <v>2233</v>
      </c>
      <c r="C53" s="41"/>
    </row>
    <row r="54">
      <c r="A54" s="39">
        <v>3.0</v>
      </c>
      <c r="B54" s="40" t="s">
        <v>2234</v>
      </c>
      <c r="C54" s="41"/>
    </row>
    <row r="55">
      <c r="A55" s="39">
        <v>4.0</v>
      </c>
      <c r="B55" s="40" t="s">
        <v>2235</v>
      </c>
      <c r="C55" s="41"/>
    </row>
    <row r="56">
      <c r="A56" s="39">
        <v>5.0</v>
      </c>
      <c r="B56" s="40" t="s">
        <v>2236</v>
      </c>
      <c r="C56" s="41"/>
    </row>
    <row r="57">
      <c r="A57" s="43">
        <v>6.0</v>
      </c>
      <c r="B57" s="49" t="s">
        <v>2237</v>
      </c>
      <c r="C57" s="45"/>
    </row>
    <row r="58">
      <c r="A58" s="35"/>
      <c r="B58" s="35"/>
      <c r="C58" s="35"/>
    </row>
    <row r="59">
      <c r="A59" s="34" t="s">
        <v>763</v>
      </c>
    </row>
    <row r="60">
      <c r="A60" s="35"/>
      <c r="B60" s="35"/>
      <c r="C60" s="35"/>
    </row>
    <row r="61">
      <c r="A61" s="36" t="s">
        <v>749</v>
      </c>
      <c r="B61" s="37" t="s">
        <v>757</v>
      </c>
      <c r="C61" s="38"/>
    </row>
    <row r="62">
      <c r="A62" s="39">
        <v>1.0</v>
      </c>
      <c r="B62" s="40" t="s">
        <v>2238</v>
      </c>
      <c r="C62" s="41"/>
    </row>
    <row r="63">
      <c r="A63" s="39">
        <v>2.0</v>
      </c>
      <c r="B63" s="40" t="s">
        <v>2239</v>
      </c>
      <c r="C63" s="41"/>
    </row>
    <row r="64">
      <c r="A64" s="39">
        <v>3.0</v>
      </c>
      <c r="B64" s="40" t="s">
        <v>2240</v>
      </c>
      <c r="C64" s="41"/>
    </row>
    <row r="65">
      <c r="A65" s="39">
        <v>4.0</v>
      </c>
      <c r="B65" s="40" t="s">
        <v>2241</v>
      </c>
      <c r="C65" s="41"/>
    </row>
    <row r="66">
      <c r="A66" s="39">
        <v>5.0</v>
      </c>
      <c r="B66" s="40" t="s">
        <v>2242</v>
      </c>
      <c r="C66" s="41"/>
    </row>
    <row r="67">
      <c r="A67" s="39">
        <v>6.0</v>
      </c>
      <c r="B67" s="40" t="s">
        <v>2243</v>
      </c>
      <c r="C67" s="41"/>
    </row>
    <row r="68">
      <c r="A68" s="39">
        <v>7.0</v>
      </c>
      <c r="B68" s="40" t="s">
        <v>2244</v>
      </c>
      <c r="C68" s="41"/>
    </row>
    <row r="69">
      <c r="A69" s="39">
        <v>8.0</v>
      </c>
      <c r="B69" s="40" t="s">
        <v>2245</v>
      </c>
      <c r="C69" s="41"/>
    </row>
    <row r="70">
      <c r="A70" s="39">
        <v>9.0</v>
      </c>
      <c r="B70" s="40" t="s">
        <v>2246</v>
      </c>
      <c r="C70" s="41"/>
    </row>
    <row r="71">
      <c r="A71" s="39">
        <v>10.0</v>
      </c>
      <c r="B71" s="40" t="s">
        <v>899</v>
      </c>
      <c r="C71" s="41"/>
    </row>
    <row r="72">
      <c r="A72" s="43">
        <v>11.0</v>
      </c>
      <c r="B72" s="49" t="s">
        <v>2247</v>
      </c>
      <c r="C72" s="45"/>
    </row>
  </sheetData>
  <mergeCells count="7">
    <mergeCell ref="A1:C1"/>
    <mergeCell ref="A11:C11"/>
    <mergeCell ref="A13:C13"/>
    <mergeCell ref="A15:C15"/>
    <mergeCell ref="A40:C40"/>
    <mergeCell ref="A49:C49"/>
    <mergeCell ref="A59:C59"/>
  </mergeCells>
  <hyperlinks>
    <hyperlink r:id="rId1" ref="B9"/>
    <hyperlink r:id="rId2" ref="B18"/>
  </hyperlinks>
  <drawing r:id="rId3"/>
</worksheet>
</file>

<file path=xl/worksheets/sheet5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2" max="2" width="87.63"/>
    <col customWidth="1" min="3" max="3" width="20.13"/>
  </cols>
  <sheetData>
    <row r="1">
      <c r="A1" s="34" t="s">
        <v>742</v>
      </c>
    </row>
    <row r="2">
      <c r="A2" s="35"/>
      <c r="B2" s="35"/>
      <c r="C2" s="35"/>
    </row>
    <row r="3">
      <c r="A3" s="36" t="s">
        <v>743</v>
      </c>
      <c r="B3" s="37" t="s">
        <v>744</v>
      </c>
      <c r="C3" s="38"/>
    </row>
    <row r="4">
      <c r="A4" s="39" t="s">
        <v>6</v>
      </c>
      <c r="B4" s="40" t="s">
        <v>240</v>
      </c>
      <c r="C4" s="41"/>
    </row>
    <row r="5">
      <c r="A5" s="39" t="s">
        <v>745</v>
      </c>
      <c r="B5" s="42">
        <v>46140.0</v>
      </c>
      <c r="C5" s="41"/>
    </row>
    <row r="6">
      <c r="A6" s="39" t="s">
        <v>0</v>
      </c>
      <c r="B6" s="40" t="s">
        <v>204</v>
      </c>
      <c r="C6" s="41"/>
    </row>
    <row r="7">
      <c r="A7" s="39" t="s">
        <v>7</v>
      </c>
      <c r="B7" s="40" t="s">
        <v>134</v>
      </c>
      <c r="C7" s="41"/>
    </row>
    <row r="8">
      <c r="A8" s="39" t="s">
        <v>746</v>
      </c>
      <c r="B8" s="40">
        <v>6.0</v>
      </c>
      <c r="C8" s="41"/>
    </row>
    <row r="9">
      <c r="A9" s="43" t="s">
        <v>8</v>
      </c>
      <c r="B9" s="44" t="s">
        <v>241</v>
      </c>
      <c r="C9" s="45"/>
    </row>
    <row r="10">
      <c r="A10" s="35"/>
      <c r="B10" s="35"/>
      <c r="C10" s="35"/>
    </row>
    <row r="11">
      <c r="A11" s="34" t="s">
        <v>747</v>
      </c>
    </row>
    <row r="12">
      <c r="A12" s="35"/>
      <c r="B12" s="35"/>
      <c r="C12" s="35"/>
    </row>
    <row r="13">
      <c r="A13" s="46" t="s">
        <v>2248</v>
      </c>
    </row>
    <row r="14">
      <c r="A14" s="35"/>
      <c r="B14" s="35"/>
      <c r="C14" s="35"/>
    </row>
    <row r="15">
      <c r="A15" s="34" t="s">
        <v>748</v>
      </c>
    </row>
    <row r="16">
      <c r="A16" s="35"/>
      <c r="B16" s="35"/>
      <c r="C16" s="35"/>
    </row>
    <row r="17">
      <c r="A17" s="36" t="s">
        <v>749</v>
      </c>
      <c r="B17" s="37" t="s">
        <v>750</v>
      </c>
      <c r="C17" s="47" t="s">
        <v>751</v>
      </c>
    </row>
    <row r="18">
      <c r="A18" s="39">
        <v>1.0</v>
      </c>
      <c r="B18" s="40" t="s">
        <v>2249</v>
      </c>
      <c r="C18" s="48" t="s">
        <v>753</v>
      </c>
    </row>
    <row r="19">
      <c r="A19" s="39">
        <v>2.0</v>
      </c>
      <c r="B19" s="40" t="s">
        <v>2250</v>
      </c>
      <c r="C19" s="48" t="s">
        <v>753</v>
      </c>
    </row>
    <row r="20">
      <c r="A20" s="39">
        <v>3.0</v>
      </c>
      <c r="B20" s="40" t="s">
        <v>2251</v>
      </c>
      <c r="C20" s="48" t="s">
        <v>753</v>
      </c>
    </row>
    <row r="21">
      <c r="A21" s="39">
        <v>4.0</v>
      </c>
      <c r="B21" s="40" t="s">
        <v>2252</v>
      </c>
      <c r="C21" s="48" t="s">
        <v>753</v>
      </c>
    </row>
    <row r="22">
      <c r="A22" s="39">
        <v>5.0</v>
      </c>
      <c r="B22" s="40" t="s">
        <v>2253</v>
      </c>
      <c r="C22" s="48" t="s">
        <v>753</v>
      </c>
    </row>
    <row r="23">
      <c r="A23" s="43">
        <v>6.0</v>
      </c>
      <c r="B23" s="49" t="s">
        <v>2254</v>
      </c>
      <c r="C23" s="50" t="s">
        <v>753</v>
      </c>
    </row>
    <row r="24">
      <c r="A24" s="35"/>
      <c r="B24" s="35"/>
      <c r="C24" s="35"/>
    </row>
    <row r="25">
      <c r="A25" s="34" t="s">
        <v>756</v>
      </c>
    </row>
    <row r="26">
      <c r="A26" s="35"/>
      <c r="B26" s="35"/>
      <c r="C26" s="35"/>
    </row>
    <row r="27">
      <c r="A27" s="36" t="s">
        <v>749</v>
      </c>
      <c r="B27" s="37" t="s">
        <v>757</v>
      </c>
      <c r="C27" s="38"/>
    </row>
    <row r="28">
      <c r="A28" s="39">
        <v>1.0</v>
      </c>
      <c r="B28" s="40" t="s">
        <v>2255</v>
      </c>
      <c r="C28" s="41"/>
    </row>
    <row r="29">
      <c r="A29" s="39">
        <v>2.0</v>
      </c>
      <c r="B29" s="40" t="s">
        <v>2256</v>
      </c>
      <c r="C29" s="41"/>
    </row>
    <row r="30">
      <c r="A30" s="39">
        <v>3.0</v>
      </c>
      <c r="B30" s="40" t="s">
        <v>2257</v>
      </c>
      <c r="C30" s="41"/>
    </row>
    <row r="31">
      <c r="A31" s="43">
        <v>4.0</v>
      </c>
      <c r="B31" s="49" t="s">
        <v>2258</v>
      </c>
      <c r="C31" s="45"/>
    </row>
    <row r="32">
      <c r="A32" s="35"/>
      <c r="B32" s="35"/>
      <c r="C32" s="35"/>
    </row>
    <row r="33">
      <c r="A33" s="34" t="s">
        <v>760</v>
      </c>
    </row>
    <row r="34">
      <c r="A34" s="35"/>
      <c r="B34" s="35"/>
      <c r="C34" s="35"/>
    </row>
    <row r="35">
      <c r="A35" s="36" t="s">
        <v>749</v>
      </c>
      <c r="B35" s="37" t="s">
        <v>757</v>
      </c>
      <c r="C35" s="38"/>
    </row>
    <row r="36">
      <c r="A36" s="39">
        <v>1.0</v>
      </c>
      <c r="B36" s="40" t="s">
        <v>2259</v>
      </c>
      <c r="C36" s="41"/>
    </row>
    <row r="37">
      <c r="A37" s="39">
        <v>2.0</v>
      </c>
      <c r="B37" s="40" t="s">
        <v>2260</v>
      </c>
      <c r="C37" s="41"/>
    </row>
    <row r="38">
      <c r="A38" s="39">
        <v>3.0</v>
      </c>
      <c r="B38" s="40" t="s">
        <v>2261</v>
      </c>
      <c r="C38" s="41"/>
    </row>
    <row r="39">
      <c r="A39" s="43">
        <v>4.0</v>
      </c>
      <c r="B39" s="49" t="s">
        <v>2262</v>
      </c>
      <c r="C39" s="45"/>
    </row>
    <row r="40">
      <c r="A40" s="35"/>
      <c r="B40" s="35"/>
      <c r="C40" s="35"/>
    </row>
    <row r="41">
      <c r="A41" s="34" t="s">
        <v>763</v>
      </c>
    </row>
    <row r="42">
      <c r="A42" s="35"/>
      <c r="B42" s="35"/>
      <c r="C42" s="35"/>
    </row>
    <row r="43">
      <c r="A43" s="36" t="s">
        <v>749</v>
      </c>
      <c r="B43" s="37" t="s">
        <v>757</v>
      </c>
      <c r="C43" s="38"/>
    </row>
    <row r="44">
      <c r="A44" s="39">
        <v>1.0</v>
      </c>
      <c r="B44" s="40" t="s">
        <v>2263</v>
      </c>
      <c r="C44" s="41"/>
    </row>
    <row r="45">
      <c r="A45" s="39">
        <v>2.0</v>
      </c>
      <c r="B45" s="40" t="s">
        <v>2264</v>
      </c>
      <c r="C45" s="41"/>
    </row>
    <row r="46">
      <c r="A46" s="39">
        <v>3.0</v>
      </c>
      <c r="B46" s="40" t="s">
        <v>2265</v>
      </c>
      <c r="C46" s="41"/>
    </row>
    <row r="47">
      <c r="A47" s="39">
        <v>4.0</v>
      </c>
      <c r="B47" s="40" t="s">
        <v>2266</v>
      </c>
      <c r="C47" s="41"/>
    </row>
    <row r="48">
      <c r="A48" s="39">
        <v>5.0</v>
      </c>
      <c r="B48" s="40" t="s">
        <v>2267</v>
      </c>
      <c r="C48" s="41"/>
    </row>
    <row r="49">
      <c r="A49" s="43">
        <v>6.0</v>
      </c>
      <c r="B49" s="49" t="s">
        <v>2268</v>
      </c>
      <c r="C49" s="45"/>
    </row>
  </sheetData>
  <mergeCells count="7">
    <mergeCell ref="A1:C1"/>
    <mergeCell ref="A11:C11"/>
    <mergeCell ref="A13:C13"/>
    <mergeCell ref="A15:C15"/>
    <mergeCell ref="A25:C25"/>
    <mergeCell ref="A33:C33"/>
    <mergeCell ref="A41:C41"/>
  </mergeCells>
  <hyperlinks>
    <hyperlink r:id="rId1" ref="B9"/>
  </hyperlinks>
  <drawing r:id="rId2"/>
</worksheet>
</file>

<file path=xl/worksheets/sheet5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2" max="2" width="87.63"/>
    <col customWidth="1" min="3" max="3" width="20.13"/>
  </cols>
  <sheetData>
    <row r="1">
      <c r="A1" s="34" t="s">
        <v>742</v>
      </c>
    </row>
    <row r="2">
      <c r="A2" s="35"/>
      <c r="B2" s="35"/>
      <c r="C2" s="35"/>
    </row>
    <row r="3">
      <c r="A3" s="36" t="s">
        <v>743</v>
      </c>
      <c r="B3" s="37" t="s">
        <v>744</v>
      </c>
      <c r="C3" s="38"/>
    </row>
    <row r="4">
      <c r="A4" s="39" t="s">
        <v>6</v>
      </c>
      <c r="B4" s="40" t="s">
        <v>244</v>
      </c>
      <c r="C4" s="41"/>
    </row>
    <row r="5">
      <c r="A5" s="39" t="s">
        <v>745</v>
      </c>
      <c r="B5" s="42">
        <v>46144.0</v>
      </c>
      <c r="C5" s="41"/>
    </row>
    <row r="6">
      <c r="A6" s="39" t="s">
        <v>0</v>
      </c>
      <c r="B6" s="40" t="s">
        <v>204</v>
      </c>
      <c r="C6" s="41"/>
    </row>
    <row r="7">
      <c r="A7" s="39" t="s">
        <v>7</v>
      </c>
      <c r="B7" s="40" t="s">
        <v>245</v>
      </c>
      <c r="C7" s="41"/>
    </row>
    <row r="8">
      <c r="A8" s="39" t="s">
        <v>746</v>
      </c>
      <c r="B8" s="40">
        <v>3.0</v>
      </c>
      <c r="C8" s="41"/>
    </row>
    <row r="9">
      <c r="A9" s="43" t="s">
        <v>8</v>
      </c>
      <c r="B9" s="44" t="s">
        <v>246</v>
      </c>
      <c r="C9" s="45"/>
    </row>
    <row r="10">
      <c r="A10" s="35"/>
      <c r="B10" s="35"/>
      <c r="C10" s="35"/>
    </row>
    <row r="11">
      <c r="A11" s="34" t="s">
        <v>747</v>
      </c>
    </row>
    <row r="12">
      <c r="A12" s="35"/>
      <c r="B12" s="35"/>
      <c r="C12" s="35"/>
    </row>
    <row r="13">
      <c r="A13" s="46" t="s">
        <v>247</v>
      </c>
    </row>
    <row r="14">
      <c r="A14" s="35"/>
      <c r="B14" s="35"/>
      <c r="C14" s="35"/>
    </row>
    <row r="15">
      <c r="A15" s="34" t="s">
        <v>748</v>
      </c>
    </row>
    <row r="16">
      <c r="A16" s="35"/>
      <c r="B16" s="35"/>
      <c r="C16" s="35"/>
    </row>
    <row r="17">
      <c r="A17" s="36" t="s">
        <v>749</v>
      </c>
      <c r="B17" s="37" t="s">
        <v>750</v>
      </c>
      <c r="C17" s="47" t="s">
        <v>751</v>
      </c>
    </row>
    <row r="18">
      <c r="A18" s="39">
        <v>1.0</v>
      </c>
      <c r="B18" s="40" t="s">
        <v>2269</v>
      </c>
      <c r="C18" s="48" t="s">
        <v>753</v>
      </c>
    </row>
    <row r="19">
      <c r="A19" s="39">
        <v>2.0</v>
      </c>
      <c r="B19" s="40" t="s">
        <v>2270</v>
      </c>
      <c r="C19" s="48" t="s">
        <v>753</v>
      </c>
    </row>
    <row r="20">
      <c r="A20" s="39">
        <v>3.0</v>
      </c>
      <c r="B20" s="40" t="s">
        <v>2271</v>
      </c>
      <c r="C20" s="48" t="s">
        <v>753</v>
      </c>
    </row>
    <row r="21">
      <c r="A21" s="39">
        <v>4.0</v>
      </c>
      <c r="B21" s="40" t="s">
        <v>2272</v>
      </c>
      <c r="C21" s="48" t="s">
        <v>753</v>
      </c>
    </row>
    <row r="22">
      <c r="A22" s="39">
        <v>5.0</v>
      </c>
      <c r="B22" s="40" t="s">
        <v>2273</v>
      </c>
      <c r="C22" s="48" t="s">
        <v>753</v>
      </c>
    </row>
    <row r="23">
      <c r="A23" s="43">
        <v>6.0</v>
      </c>
      <c r="B23" s="49" t="s">
        <v>2274</v>
      </c>
      <c r="C23" s="50" t="s">
        <v>753</v>
      </c>
    </row>
    <row r="24">
      <c r="A24" s="35"/>
      <c r="B24" s="35"/>
      <c r="C24" s="35"/>
    </row>
    <row r="25">
      <c r="A25" s="34" t="s">
        <v>756</v>
      </c>
    </row>
    <row r="26">
      <c r="A26" s="35"/>
      <c r="B26" s="35"/>
      <c r="C26" s="35"/>
    </row>
    <row r="27">
      <c r="A27" s="36" t="s">
        <v>749</v>
      </c>
      <c r="B27" s="37" t="s">
        <v>757</v>
      </c>
      <c r="C27" s="38"/>
    </row>
    <row r="28">
      <c r="A28" s="39">
        <v>1.0</v>
      </c>
      <c r="B28" s="40" t="s">
        <v>2275</v>
      </c>
      <c r="C28" s="41"/>
    </row>
    <row r="29">
      <c r="A29" s="39">
        <v>2.0</v>
      </c>
      <c r="B29" s="40" t="s">
        <v>2276</v>
      </c>
      <c r="C29" s="41"/>
    </row>
    <row r="30">
      <c r="A30" s="39">
        <v>3.0</v>
      </c>
      <c r="B30" s="40" t="s">
        <v>2277</v>
      </c>
      <c r="C30" s="41"/>
    </row>
    <row r="31">
      <c r="A31" s="39">
        <v>4.0</v>
      </c>
      <c r="B31" s="40" t="s">
        <v>2278</v>
      </c>
      <c r="C31" s="41"/>
    </row>
    <row r="32">
      <c r="A32" s="43">
        <v>5.0</v>
      </c>
      <c r="B32" s="49" t="s">
        <v>2279</v>
      </c>
      <c r="C32" s="45"/>
    </row>
    <row r="33">
      <c r="A33" s="35"/>
      <c r="B33" s="35"/>
      <c r="C33" s="35"/>
    </row>
    <row r="34">
      <c r="A34" s="34" t="s">
        <v>760</v>
      </c>
    </row>
    <row r="35">
      <c r="A35" s="35"/>
      <c r="B35" s="35"/>
      <c r="C35" s="35"/>
    </row>
    <row r="36">
      <c r="A36" s="36" t="s">
        <v>749</v>
      </c>
      <c r="B36" s="37" t="s">
        <v>757</v>
      </c>
      <c r="C36" s="38"/>
    </row>
    <row r="37">
      <c r="A37" s="39">
        <v>1.0</v>
      </c>
      <c r="B37" s="40" t="s">
        <v>2280</v>
      </c>
      <c r="C37" s="41"/>
    </row>
    <row r="38">
      <c r="A38" s="39">
        <v>2.0</v>
      </c>
      <c r="B38" s="40" t="s">
        <v>2281</v>
      </c>
      <c r="C38" s="41"/>
    </row>
    <row r="39">
      <c r="A39" s="39">
        <v>3.0</v>
      </c>
      <c r="B39" s="40" t="s">
        <v>2282</v>
      </c>
      <c r="C39" s="41"/>
    </row>
    <row r="40">
      <c r="A40" s="43">
        <v>4.0</v>
      </c>
      <c r="B40" s="49" t="s">
        <v>2283</v>
      </c>
      <c r="C40" s="45"/>
    </row>
    <row r="41">
      <c r="A41" s="35"/>
      <c r="B41" s="35"/>
      <c r="C41" s="35"/>
    </row>
    <row r="42">
      <c r="A42" s="34" t="s">
        <v>763</v>
      </c>
    </row>
    <row r="43">
      <c r="A43" s="35"/>
      <c r="B43" s="35"/>
      <c r="C43" s="35"/>
    </row>
    <row r="44">
      <c r="A44" s="36" t="s">
        <v>749</v>
      </c>
      <c r="B44" s="37" t="s">
        <v>757</v>
      </c>
      <c r="C44" s="38"/>
    </row>
    <row r="45">
      <c r="A45" s="39">
        <v>1.0</v>
      </c>
      <c r="B45" s="40" t="s">
        <v>2284</v>
      </c>
      <c r="C45" s="41"/>
    </row>
    <row r="46">
      <c r="A46" s="39">
        <v>2.0</v>
      </c>
      <c r="B46" s="40" t="s">
        <v>2285</v>
      </c>
      <c r="C46" s="41"/>
    </row>
    <row r="47">
      <c r="A47" s="39">
        <v>3.0</v>
      </c>
      <c r="B47" s="40" t="s">
        <v>2286</v>
      </c>
      <c r="C47" s="41"/>
    </row>
    <row r="48">
      <c r="A48" s="39">
        <v>4.0</v>
      </c>
      <c r="B48" s="40" t="s">
        <v>2287</v>
      </c>
      <c r="C48" s="41"/>
    </row>
    <row r="49">
      <c r="A49" s="39">
        <v>5.0</v>
      </c>
      <c r="B49" s="40" t="s">
        <v>2288</v>
      </c>
      <c r="C49" s="41"/>
    </row>
    <row r="50">
      <c r="A50" s="43">
        <v>6.0</v>
      </c>
      <c r="B50" s="49" t="s">
        <v>2289</v>
      </c>
      <c r="C50" s="45"/>
    </row>
  </sheetData>
  <mergeCells count="7">
    <mergeCell ref="A1:C1"/>
    <mergeCell ref="A11:C11"/>
    <mergeCell ref="A13:C13"/>
    <mergeCell ref="A15:C15"/>
    <mergeCell ref="A25:C25"/>
    <mergeCell ref="A34:C34"/>
    <mergeCell ref="A42:C42"/>
  </mergeCells>
  <hyperlinks>
    <hyperlink r:id="rId1" ref="B9"/>
  </hyperlinks>
  <drawing r:id="rId2"/>
</worksheet>
</file>

<file path=xl/worksheets/sheet5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2" max="2" width="87.63"/>
    <col customWidth="1" min="3" max="3" width="20.13"/>
  </cols>
  <sheetData>
    <row r="1">
      <c r="A1" s="34" t="s">
        <v>742</v>
      </c>
    </row>
    <row r="2">
      <c r="A2" s="35"/>
      <c r="B2" s="35"/>
      <c r="C2" s="35"/>
    </row>
    <row r="3">
      <c r="A3" s="36" t="s">
        <v>743</v>
      </c>
      <c r="B3" s="37" t="s">
        <v>744</v>
      </c>
      <c r="C3" s="38"/>
    </row>
    <row r="4">
      <c r="A4" s="39" t="s">
        <v>6</v>
      </c>
      <c r="B4" s="40" t="s">
        <v>250</v>
      </c>
      <c r="C4" s="41"/>
    </row>
    <row r="5">
      <c r="A5" s="39" t="s">
        <v>745</v>
      </c>
      <c r="B5" s="42">
        <v>46148.0</v>
      </c>
      <c r="C5" s="41"/>
    </row>
    <row r="6">
      <c r="A6" s="39" t="s">
        <v>0</v>
      </c>
      <c r="B6" s="40" t="s">
        <v>249</v>
      </c>
      <c r="C6" s="41"/>
    </row>
    <row r="7">
      <c r="A7" s="39" t="s">
        <v>7</v>
      </c>
      <c r="B7" s="40" t="s">
        <v>251</v>
      </c>
      <c r="C7" s="41"/>
    </row>
    <row r="8">
      <c r="A8" s="39" t="s">
        <v>746</v>
      </c>
      <c r="B8" s="40">
        <v>3.0</v>
      </c>
      <c r="C8" s="41"/>
    </row>
    <row r="9">
      <c r="A9" s="43" t="s">
        <v>8</v>
      </c>
      <c r="B9" s="44" t="s">
        <v>252</v>
      </c>
      <c r="C9" s="45"/>
    </row>
    <row r="10">
      <c r="A10" s="35"/>
      <c r="B10" s="35"/>
      <c r="C10" s="35"/>
    </row>
    <row r="11">
      <c r="A11" s="34" t="s">
        <v>747</v>
      </c>
    </row>
    <row r="12">
      <c r="A12" s="35"/>
      <c r="B12" s="35"/>
      <c r="C12" s="35"/>
    </row>
    <row r="13">
      <c r="A13" s="46" t="s">
        <v>253</v>
      </c>
    </row>
    <row r="14">
      <c r="A14" s="35"/>
      <c r="B14" s="35"/>
      <c r="C14" s="35"/>
    </row>
    <row r="15">
      <c r="A15" s="34" t="s">
        <v>748</v>
      </c>
    </row>
    <row r="16">
      <c r="A16" s="35"/>
      <c r="B16" s="35"/>
      <c r="C16" s="35"/>
    </row>
    <row r="17">
      <c r="A17" s="36" t="s">
        <v>749</v>
      </c>
      <c r="B17" s="37" t="s">
        <v>750</v>
      </c>
      <c r="C17" s="47" t="s">
        <v>751</v>
      </c>
    </row>
    <row r="18">
      <c r="A18" s="39">
        <v>1.0</v>
      </c>
      <c r="B18" s="40" t="s">
        <v>2290</v>
      </c>
      <c r="C18" s="48" t="s">
        <v>1418</v>
      </c>
    </row>
    <row r="19">
      <c r="A19" s="39">
        <v>2.0</v>
      </c>
      <c r="B19" s="40" t="s">
        <v>2291</v>
      </c>
      <c r="C19" s="48" t="s">
        <v>1418</v>
      </c>
    </row>
    <row r="20">
      <c r="A20" s="39">
        <v>3.0</v>
      </c>
      <c r="B20" s="40" t="s">
        <v>2292</v>
      </c>
      <c r="C20" s="48" t="s">
        <v>1418</v>
      </c>
    </row>
    <row r="21">
      <c r="A21" s="39">
        <v>4.0</v>
      </c>
      <c r="B21" s="40" t="s">
        <v>2293</v>
      </c>
      <c r="C21" s="48" t="s">
        <v>1418</v>
      </c>
    </row>
    <row r="22">
      <c r="A22" s="39">
        <v>5.0</v>
      </c>
      <c r="B22" s="40" t="s">
        <v>2294</v>
      </c>
      <c r="C22" s="48" t="s">
        <v>1418</v>
      </c>
    </row>
    <row r="23">
      <c r="A23" s="39">
        <v>6.0</v>
      </c>
      <c r="B23" s="40" t="s">
        <v>2295</v>
      </c>
      <c r="C23" s="48" t="s">
        <v>1418</v>
      </c>
    </row>
    <row r="24">
      <c r="A24" s="39">
        <v>7.0</v>
      </c>
      <c r="B24" s="40" t="s">
        <v>2296</v>
      </c>
      <c r="C24" s="48" t="s">
        <v>1418</v>
      </c>
    </row>
    <row r="25">
      <c r="A25" s="39">
        <v>8.0</v>
      </c>
      <c r="B25" s="40" t="s">
        <v>2297</v>
      </c>
      <c r="C25" s="48" t="s">
        <v>1418</v>
      </c>
    </row>
    <row r="26">
      <c r="A26" s="39">
        <v>9.0</v>
      </c>
      <c r="B26" s="40" t="s">
        <v>2298</v>
      </c>
      <c r="C26" s="48" t="s">
        <v>1418</v>
      </c>
    </row>
    <row r="27">
      <c r="A27" s="43">
        <v>10.0</v>
      </c>
      <c r="B27" s="49" t="s">
        <v>2299</v>
      </c>
      <c r="C27" s="50" t="s">
        <v>1418</v>
      </c>
    </row>
    <row r="28">
      <c r="A28" s="35"/>
      <c r="B28" s="35"/>
      <c r="C28" s="35"/>
    </row>
    <row r="29">
      <c r="A29" s="34" t="s">
        <v>756</v>
      </c>
    </row>
    <row r="30">
      <c r="A30" s="35"/>
      <c r="B30" s="35"/>
      <c r="C30" s="35"/>
    </row>
    <row r="31">
      <c r="A31" s="36" t="s">
        <v>749</v>
      </c>
      <c r="B31" s="37" t="s">
        <v>757</v>
      </c>
      <c r="C31" s="38"/>
    </row>
    <row r="32">
      <c r="A32" s="39">
        <v>1.0</v>
      </c>
      <c r="B32" s="40" t="s">
        <v>2300</v>
      </c>
      <c r="C32" s="41"/>
    </row>
    <row r="33">
      <c r="A33" s="39">
        <v>2.0</v>
      </c>
      <c r="B33" s="40" t="s">
        <v>2301</v>
      </c>
      <c r="C33" s="41"/>
    </row>
    <row r="34">
      <c r="A34" s="39">
        <v>3.0</v>
      </c>
      <c r="B34" s="40" t="s">
        <v>2302</v>
      </c>
      <c r="C34" s="41"/>
    </row>
    <row r="35">
      <c r="A35" s="39">
        <v>4.0</v>
      </c>
      <c r="B35" s="40" t="s">
        <v>2303</v>
      </c>
      <c r="C35" s="41"/>
    </row>
    <row r="36">
      <c r="A36" s="43">
        <v>5.0</v>
      </c>
      <c r="B36" s="49" t="s">
        <v>2304</v>
      </c>
      <c r="C36" s="45"/>
    </row>
    <row r="37">
      <c r="A37" s="35"/>
      <c r="B37" s="35"/>
      <c r="C37" s="35"/>
    </row>
    <row r="38">
      <c r="A38" s="34" t="s">
        <v>760</v>
      </c>
    </row>
    <row r="39">
      <c r="A39" s="35"/>
      <c r="B39" s="35"/>
      <c r="C39" s="35"/>
    </row>
    <row r="40">
      <c r="A40" s="36" t="s">
        <v>749</v>
      </c>
      <c r="B40" s="37" t="s">
        <v>757</v>
      </c>
      <c r="C40" s="38"/>
    </row>
    <row r="41">
      <c r="A41" s="39">
        <v>1.0</v>
      </c>
      <c r="B41" s="40" t="s">
        <v>2305</v>
      </c>
      <c r="C41" s="41"/>
    </row>
    <row r="42">
      <c r="A42" s="39">
        <v>2.0</v>
      </c>
      <c r="B42" s="40" t="s">
        <v>2306</v>
      </c>
      <c r="C42" s="41"/>
    </row>
    <row r="43">
      <c r="A43" s="39">
        <v>3.0</v>
      </c>
      <c r="B43" s="40" t="s">
        <v>2307</v>
      </c>
      <c r="C43" s="41"/>
    </row>
    <row r="44">
      <c r="A44" s="43">
        <v>4.0</v>
      </c>
      <c r="B44" s="49" t="s">
        <v>2308</v>
      </c>
      <c r="C44" s="45"/>
    </row>
    <row r="45">
      <c r="A45" s="35"/>
      <c r="B45" s="35"/>
      <c r="C45" s="35"/>
    </row>
    <row r="46">
      <c r="A46" s="34" t="s">
        <v>763</v>
      </c>
    </row>
    <row r="47">
      <c r="A47" s="35"/>
      <c r="B47" s="35"/>
      <c r="C47" s="35"/>
    </row>
    <row r="48">
      <c r="A48" s="36" t="s">
        <v>749</v>
      </c>
      <c r="B48" s="37" t="s">
        <v>757</v>
      </c>
      <c r="C48" s="38"/>
    </row>
    <row r="49">
      <c r="A49" s="39">
        <v>1.0</v>
      </c>
      <c r="B49" s="40" t="s">
        <v>2309</v>
      </c>
      <c r="C49" s="41"/>
    </row>
    <row r="50">
      <c r="A50" s="39">
        <v>2.0</v>
      </c>
      <c r="B50" s="40" t="s">
        <v>2310</v>
      </c>
      <c r="C50" s="41"/>
    </row>
    <row r="51">
      <c r="A51" s="39">
        <v>3.0</v>
      </c>
      <c r="B51" s="40" t="s">
        <v>2311</v>
      </c>
      <c r="C51" s="41"/>
    </row>
    <row r="52">
      <c r="A52" s="39">
        <v>4.0</v>
      </c>
      <c r="B52" s="40" t="s">
        <v>2312</v>
      </c>
      <c r="C52" s="41"/>
    </row>
    <row r="53">
      <c r="A53" s="39">
        <v>5.0</v>
      </c>
      <c r="B53" s="40" t="s">
        <v>2313</v>
      </c>
      <c r="C53" s="41"/>
    </row>
    <row r="54">
      <c r="A54" s="39">
        <v>6.0</v>
      </c>
      <c r="B54" s="40" t="s">
        <v>2314</v>
      </c>
      <c r="C54" s="41"/>
    </row>
    <row r="55">
      <c r="A55" s="43">
        <v>7.0</v>
      </c>
      <c r="B55" s="49" t="s">
        <v>2315</v>
      </c>
      <c r="C55" s="45"/>
    </row>
  </sheetData>
  <mergeCells count="7">
    <mergeCell ref="A1:C1"/>
    <mergeCell ref="A11:C11"/>
    <mergeCell ref="A13:C13"/>
    <mergeCell ref="A15:C15"/>
    <mergeCell ref="A29:C29"/>
    <mergeCell ref="A38:C38"/>
    <mergeCell ref="A46:C46"/>
  </mergeCells>
  <hyperlinks>
    <hyperlink r:id="rId1" ref="B9"/>
  </hyperlinks>
  <drawing r:id="rId2"/>
</worksheet>
</file>

<file path=xl/worksheets/sheet5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2" max="2" width="87.63"/>
    <col customWidth="1" min="3" max="3" width="20.13"/>
  </cols>
  <sheetData>
    <row r="1">
      <c r="A1" s="34" t="s">
        <v>742</v>
      </c>
    </row>
    <row r="2">
      <c r="A2" s="35"/>
      <c r="B2" s="35"/>
      <c r="C2" s="35"/>
    </row>
    <row r="3">
      <c r="A3" s="36" t="s">
        <v>743</v>
      </c>
      <c r="B3" s="37" t="s">
        <v>744</v>
      </c>
      <c r="C3" s="38"/>
    </row>
    <row r="4">
      <c r="A4" s="39" t="s">
        <v>6</v>
      </c>
      <c r="B4" s="40" t="s">
        <v>255</v>
      </c>
      <c r="C4" s="41"/>
    </row>
    <row r="5">
      <c r="A5" s="39" t="s">
        <v>745</v>
      </c>
      <c r="B5" s="42">
        <v>46148.0</v>
      </c>
      <c r="C5" s="41"/>
    </row>
    <row r="6">
      <c r="A6" s="39" t="s">
        <v>0</v>
      </c>
      <c r="B6" s="40" t="s">
        <v>249</v>
      </c>
      <c r="C6" s="41"/>
    </row>
    <row r="7">
      <c r="A7" s="39" t="s">
        <v>7</v>
      </c>
      <c r="B7" s="40" t="s">
        <v>232</v>
      </c>
      <c r="C7" s="41"/>
    </row>
    <row r="8">
      <c r="A8" s="39" t="s">
        <v>746</v>
      </c>
      <c r="B8" s="40">
        <v>2.0</v>
      </c>
      <c r="C8" s="41"/>
    </row>
    <row r="9">
      <c r="A9" s="43" t="s">
        <v>8</v>
      </c>
      <c r="B9" s="44" t="s">
        <v>256</v>
      </c>
      <c r="C9" s="45"/>
    </row>
    <row r="10">
      <c r="A10" s="35"/>
      <c r="B10" s="35"/>
      <c r="C10" s="35"/>
    </row>
    <row r="11">
      <c r="A11" s="34" t="s">
        <v>747</v>
      </c>
    </row>
    <row r="12">
      <c r="A12" s="35"/>
      <c r="B12" s="35"/>
      <c r="C12" s="35"/>
    </row>
    <row r="13">
      <c r="A13" s="46" t="s">
        <v>257</v>
      </c>
    </row>
    <row r="14">
      <c r="A14" s="35"/>
      <c r="B14" s="35"/>
      <c r="C14" s="35"/>
    </row>
    <row r="15">
      <c r="A15" s="34" t="s">
        <v>748</v>
      </c>
    </row>
    <row r="16">
      <c r="A16" s="35"/>
      <c r="B16" s="35"/>
      <c r="C16" s="35"/>
    </row>
    <row r="17">
      <c r="A17" s="36" t="s">
        <v>749</v>
      </c>
      <c r="B17" s="37" t="s">
        <v>750</v>
      </c>
      <c r="C17" s="47" t="s">
        <v>751</v>
      </c>
    </row>
    <row r="18">
      <c r="A18" s="39">
        <v>1.0</v>
      </c>
      <c r="B18" s="40" t="s">
        <v>2316</v>
      </c>
      <c r="C18" s="48" t="s">
        <v>2317</v>
      </c>
    </row>
    <row r="19">
      <c r="A19" s="39">
        <v>2.0</v>
      </c>
      <c r="B19" s="40" t="s">
        <v>2318</v>
      </c>
      <c r="C19" s="48" t="s">
        <v>2319</v>
      </c>
    </row>
    <row r="20">
      <c r="A20" s="39">
        <v>3.0</v>
      </c>
      <c r="B20" s="40" t="s">
        <v>2320</v>
      </c>
      <c r="C20" s="48" t="s">
        <v>2321</v>
      </c>
    </row>
    <row r="21">
      <c r="A21" s="39">
        <v>4.0</v>
      </c>
      <c r="B21" s="40" t="s">
        <v>2322</v>
      </c>
      <c r="C21" s="48" t="s">
        <v>2317</v>
      </c>
    </row>
    <row r="22">
      <c r="A22" s="39">
        <v>5.0</v>
      </c>
      <c r="B22" s="40" t="s">
        <v>2323</v>
      </c>
      <c r="C22" s="48" t="s">
        <v>753</v>
      </c>
    </row>
    <row r="23">
      <c r="A23" s="39">
        <v>6.0</v>
      </c>
      <c r="B23" s="40" t="s">
        <v>2324</v>
      </c>
      <c r="C23" s="48" t="s">
        <v>753</v>
      </c>
    </row>
    <row r="24">
      <c r="A24" s="43">
        <v>7.0</v>
      </c>
      <c r="B24" s="49" t="s">
        <v>2325</v>
      </c>
      <c r="C24" s="50" t="s">
        <v>2326</v>
      </c>
    </row>
    <row r="25">
      <c r="A25" s="35"/>
      <c r="B25" s="35"/>
      <c r="C25" s="35"/>
    </row>
    <row r="26">
      <c r="A26" s="34" t="s">
        <v>756</v>
      </c>
    </row>
    <row r="27">
      <c r="A27" s="35"/>
      <c r="B27" s="35"/>
      <c r="C27" s="35"/>
    </row>
    <row r="28">
      <c r="A28" s="36" t="s">
        <v>749</v>
      </c>
      <c r="B28" s="37" t="s">
        <v>757</v>
      </c>
      <c r="C28" s="38"/>
    </row>
    <row r="29">
      <c r="A29" s="39">
        <v>1.0</v>
      </c>
      <c r="B29" s="40" t="s">
        <v>2327</v>
      </c>
      <c r="C29" s="41"/>
    </row>
    <row r="30">
      <c r="A30" s="39">
        <v>2.0</v>
      </c>
      <c r="B30" s="40" t="s">
        <v>2328</v>
      </c>
      <c r="C30" s="41"/>
    </row>
    <row r="31">
      <c r="A31" s="39">
        <v>3.0</v>
      </c>
      <c r="B31" s="40" t="s">
        <v>2329</v>
      </c>
      <c r="C31" s="41"/>
    </row>
    <row r="32">
      <c r="A32" s="39">
        <v>4.0</v>
      </c>
      <c r="B32" s="40" t="s">
        <v>2330</v>
      </c>
      <c r="C32" s="41"/>
    </row>
    <row r="33">
      <c r="A33" s="43">
        <v>5.0</v>
      </c>
      <c r="B33" s="49" t="s">
        <v>2331</v>
      </c>
      <c r="C33" s="45"/>
    </row>
    <row r="34">
      <c r="A34" s="35"/>
      <c r="B34" s="35"/>
      <c r="C34" s="35"/>
    </row>
    <row r="35">
      <c r="A35" s="34" t="s">
        <v>760</v>
      </c>
    </row>
    <row r="36">
      <c r="A36" s="35"/>
      <c r="B36" s="35"/>
      <c r="C36" s="35"/>
    </row>
    <row r="37">
      <c r="A37" s="36" t="s">
        <v>749</v>
      </c>
      <c r="B37" s="37" t="s">
        <v>757</v>
      </c>
      <c r="C37" s="38"/>
    </row>
    <row r="38">
      <c r="A38" s="39">
        <v>1.0</v>
      </c>
      <c r="B38" s="40" t="s">
        <v>2332</v>
      </c>
      <c r="C38" s="41"/>
    </row>
    <row r="39">
      <c r="A39" s="39">
        <v>2.0</v>
      </c>
      <c r="B39" s="40" t="s">
        <v>2333</v>
      </c>
      <c r="C39" s="41"/>
    </row>
    <row r="40">
      <c r="A40" s="39">
        <v>3.0</v>
      </c>
      <c r="B40" s="40" t="s">
        <v>2334</v>
      </c>
      <c r="C40" s="41"/>
    </row>
    <row r="41">
      <c r="A41" s="43">
        <v>4.0</v>
      </c>
      <c r="B41" s="49" t="s">
        <v>2335</v>
      </c>
      <c r="C41" s="45"/>
    </row>
    <row r="42">
      <c r="A42" s="35"/>
      <c r="B42" s="35"/>
      <c r="C42" s="35"/>
    </row>
    <row r="43">
      <c r="A43" s="34" t="s">
        <v>763</v>
      </c>
    </row>
    <row r="44">
      <c r="A44" s="35"/>
      <c r="B44" s="35"/>
      <c r="C44" s="35"/>
    </row>
    <row r="45">
      <c r="A45" s="36" t="s">
        <v>749</v>
      </c>
      <c r="B45" s="37" t="s">
        <v>757</v>
      </c>
      <c r="C45" s="38"/>
    </row>
    <row r="46">
      <c r="A46" s="39">
        <v>1.0</v>
      </c>
      <c r="B46" s="40" t="s">
        <v>2336</v>
      </c>
      <c r="C46" s="41"/>
    </row>
    <row r="47">
      <c r="A47" s="39">
        <v>2.0</v>
      </c>
      <c r="B47" s="40" t="s">
        <v>2337</v>
      </c>
      <c r="C47" s="41"/>
    </row>
    <row r="48">
      <c r="A48" s="39">
        <v>3.0</v>
      </c>
      <c r="B48" s="40" t="s">
        <v>2338</v>
      </c>
      <c r="C48" s="41"/>
    </row>
    <row r="49">
      <c r="A49" s="39">
        <v>4.0</v>
      </c>
      <c r="B49" s="40" t="s">
        <v>2339</v>
      </c>
      <c r="C49" s="41"/>
    </row>
    <row r="50">
      <c r="A50" s="39">
        <v>5.0</v>
      </c>
      <c r="B50" s="40" t="s">
        <v>2340</v>
      </c>
      <c r="C50" s="41"/>
    </row>
    <row r="51">
      <c r="A51" s="39">
        <v>6.0</v>
      </c>
      <c r="B51" s="40" t="s">
        <v>2341</v>
      </c>
      <c r="C51" s="41"/>
    </row>
    <row r="52">
      <c r="A52" s="43">
        <v>7.0</v>
      </c>
      <c r="B52" s="49" t="s">
        <v>899</v>
      </c>
      <c r="C52" s="45"/>
    </row>
  </sheetData>
  <mergeCells count="7">
    <mergeCell ref="A1:C1"/>
    <mergeCell ref="A11:C11"/>
    <mergeCell ref="A13:C13"/>
    <mergeCell ref="A15:C15"/>
    <mergeCell ref="A26:C26"/>
    <mergeCell ref="A35:C35"/>
    <mergeCell ref="A43:C43"/>
  </mergeCells>
  <hyperlinks>
    <hyperlink r:id="rId1" ref="B9"/>
  </hyperlinks>
  <drawing r:id="rId2"/>
</worksheet>
</file>

<file path=xl/worksheets/sheet5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2" max="2" width="87.63"/>
    <col customWidth="1" min="3" max="3" width="20.13"/>
  </cols>
  <sheetData>
    <row r="1">
      <c r="A1" s="34" t="s">
        <v>742</v>
      </c>
    </row>
    <row r="2">
      <c r="A2" s="35"/>
      <c r="B2" s="35"/>
      <c r="C2" s="35"/>
    </row>
    <row r="3">
      <c r="A3" s="36" t="s">
        <v>743</v>
      </c>
      <c r="B3" s="37" t="s">
        <v>744</v>
      </c>
      <c r="C3" s="38"/>
    </row>
    <row r="4">
      <c r="A4" s="39" t="s">
        <v>6</v>
      </c>
      <c r="B4" s="40" t="s">
        <v>259</v>
      </c>
      <c r="C4" s="41"/>
    </row>
    <row r="5">
      <c r="A5" s="39" t="s">
        <v>745</v>
      </c>
      <c r="B5" s="42">
        <v>46147.0</v>
      </c>
      <c r="C5" s="41"/>
    </row>
    <row r="6">
      <c r="A6" s="39" t="s">
        <v>0</v>
      </c>
      <c r="B6" s="40" t="s">
        <v>249</v>
      </c>
      <c r="C6" s="41"/>
    </row>
    <row r="7">
      <c r="A7" s="39" t="s">
        <v>7</v>
      </c>
      <c r="B7" s="40" t="s">
        <v>260</v>
      </c>
      <c r="C7" s="41"/>
    </row>
    <row r="8">
      <c r="A8" s="39" t="s">
        <v>746</v>
      </c>
      <c r="B8" s="40">
        <v>10.0</v>
      </c>
      <c r="C8" s="41"/>
    </row>
    <row r="9">
      <c r="A9" s="43" t="s">
        <v>8</v>
      </c>
      <c r="B9" s="44" t="s">
        <v>261</v>
      </c>
      <c r="C9" s="45"/>
    </row>
    <row r="10">
      <c r="A10" s="35"/>
      <c r="B10" s="35"/>
      <c r="C10" s="35"/>
    </row>
    <row r="11">
      <c r="A11" s="34" t="s">
        <v>747</v>
      </c>
    </row>
    <row r="12">
      <c r="A12" s="35"/>
      <c r="B12" s="35"/>
      <c r="C12" s="35"/>
    </row>
    <row r="13">
      <c r="A13" s="46" t="s">
        <v>2342</v>
      </c>
    </row>
    <row r="14">
      <c r="A14" s="35"/>
      <c r="B14" s="35"/>
      <c r="C14" s="35"/>
    </row>
    <row r="15">
      <c r="A15" s="34" t="s">
        <v>748</v>
      </c>
    </row>
    <row r="16">
      <c r="A16" s="35"/>
      <c r="B16" s="35"/>
      <c r="C16" s="35"/>
    </row>
    <row r="17">
      <c r="A17" s="36" t="s">
        <v>749</v>
      </c>
      <c r="B17" s="37" t="s">
        <v>750</v>
      </c>
      <c r="C17" s="47" t="s">
        <v>751</v>
      </c>
    </row>
    <row r="18">
      <c r="A18" s="39">
        <v>1.0</v>
      </c>
      <c r="B18" s="40" t="s">
        <v>2343</v>
      </c>
      <c r="C18" s="74">
        <v>46150.0</v>
      </c>
    </row>
    <row r="19">
      <c r="A19" s="39">
        <v>2.0</v>
      </c>
      <c r="B19" s="40" t="s">
        <v>2344</v>
      </c>
      <c r="C19" s="48" t="s">
        <v>753</v>
      </c>
    </row>
    <row r="20">
      <c r="A20" s="39">
        <v>3.0</v>
      </c>
      <c r="B20" s="40" t="s">
        <v>2345</v>
      </c>
      <c r="C20" s="48" t="s">
        <v>2346</v>
      </c>
    </row>
    <row r="21">
      <c r="A21" s="39">
        <v>4.0</v>
      </c>
      <c r="B21" s="40" t="s">
        <v>2347</v>
      </c>
      <c r="C21" s="48" t="s">
        <v>753</v>
      </c>
    </row>
    <row r="22">
      <c r="A22" s="39">
        <v>5.0</v>
      </c>
      <c r="B22" s="40" t="s">
        <v>2348</v>
      </c>
      <c r="C22" s="48" t="s">
        <v>753</v>
      </c>
    </row>
    <row r="23">
      <c r="A23" s="39">
        <v>6.0</v>
      </c>
      <c r="B23" s="40" t="s">
        <v>2349</v>
      </c>
      <c r="C23" s="48" t="s">
        <v>2350</v>
      </c>
    </row>
    <row r="24">
      <c r="A24" s="39">
        <v>7.0</v>
      </c>
      <c r="B24" s="40" t="s">
        <v>2351</v>
      </c>
      <c r="C24" s="48" t="s">
        <v>753</v>
      </c>
    </row>
    <row r="25">
      <c r="A25" s="39">
        <v>8.0</v>
      </c>
      <c r="B25" s="40" t="s">
        <v>2352</v>
      </c>
      <c r="C25" s="48" t="s">
        <v>753</v>
      </c>
    </row>
    <row r="26">
      <c r="A26" s="39">
        <v>9.0</v>
      </c>
      <c r="B26" s="40" t="s">
        <v>2353</v>
      </c>
      <c r="C26" s="48" t="s">
        <v>2354</v>
      </c>
    </row>
    <row r="27">
      <c r="A27" s="43">
        <v>10.0</v>
      </c>
      <c r="B27" s="49" t="s">
        <v>2355</v>
      </c>
      <c r="C27" s="50" t="s">
        <v>2356</v>
      </c>
    </row>
    <row r="28">
      <c r="A28" s="35"/>
      <c r="B28" s="35"/>
      <c r="C28" s="35"/>
    </row>
    <row r="29">
      <c r="A29" s="34" t="s">
        <v>756</v>
      </c>
    </row>
    <row r="30">
      <c r="A30" s="35"/>
      <c r="B30" s="35"/>
      <c r="C30" s="35"/>
    </row>
    <row r="31">
      <c r="A31" s="36" t="s">
        <v>749</v>
      </c>
      <c r="B31" s="37" t="s">
        <v>757</v>
      </c>
      <c r="C31" s="38"/>
    </row>
    <row r="32">
      <c r="A32" s="39">
        <v>1.0</v>
      </c>
      <c r="B32" s="40" t="s">
        <v>2357</v>
      </c>
      <c r="C32" s="41"/>
    </row>
    <row r="33">
      <c r="A33" s="39">
        <v>2.0</v>
      </c>
      <c r="B33" s="40" t="s">
        <v>2358</v>
      </c>
      <c r="C33" s="41"/>
    </row>
    <row r="34">
      <c r="A34" s="43">
        <v>3.0</v>
      </c>
      <c r="B34" s="49" t="s">
        <v>2359</v>
      </c>
      <c r="C34" s="45"/>
    </row>
    <row r="35">
      <c r="A35" s="35"/>
      <c r="B35" s="35"/>
      <c r="C35" s="35"/>
    </row>
    <row r="36">
      <c r="A36" s="34" t="s">
        <v>760</v>
      </c>
    </row>
    <row r="37">
      <c r="A37" s="35"/>
      <c r="B37" s="35"/>
      <c r="C37" s="35"/>
    </row>
    <row r="38">
      <c r="A38" s="36" t="s">
        <v>749</v>
      </c>
      <c r="B38" s="37" t="s">
        <v>757</v>
      </c>
      <c r="C38" s="38"/>
    </row>
    <row r="39">
      <c r="A39" s="39">
        <v>1.0</v>
      </c>
      <c r="B39" s="40" t="s">
        <v>2360</v>
      </c>
      <c r="C39" s="41"/>
    </row>
    <row r="40">
      <c r="A40" s="39">
        <v>2.0</v>
      </c>
      <c r="B40" s="40" t="s">
        <v>2361</v>
      </c>
      <c r="C40" s="41"/>
    </row>
    <row r="41">
      <c r="A41" s="39">
        <v>3.0</v>
      </c>
      <c r="B41" s="40" t="s">
        <v>2362</v>
      </c>
      <c r="C41" s="41"/>
    </row>
    <row r="42">
      <c r="A42" s="39">
        <v>4.0</v>
      </c>
      <c r="B42" s="40" t="s">
        <v>2363</v>
      </c>
      <c r="C42" s="41"/>
    </row>
    <row r="43">
      <c r="A43" s="43">
        <v>5.0</v>
      </c>
      <c r="B43" s="49" t="s">
        <v>2364</v>
      </c>
      <c r="C43" s="45"/>
    </row>
    <row r="44">
      <c r="A44" s="35"/>
      <c r="B44" s="35"/>
      <c r="C44" s="35"/>
    </row>
    <row r="45">
      <c r="A45" s="34" t="s">
        <v>763</v>
      </c>
    </row>
    <row r="46">
      <c r="A46" s="35"/>
      <c r="B46" s="35"/>
      <c r="C46" s="35"/>
    </row>
    <row r="47">
      <c r="A47" s="36" t="s">
        <v>749</v>
      </c>
      <c r="B47" s="37" t="s">
        <v>757</v>
      </c>
      <c r="C47" s="38"/>
    </row>
    <row r="48">
      <c r="A48" s="39">
        <v>1.0</v>
      </c>
      <c r="B48" s="40" t="s">
        <v>2365</v>
      </c>
      <c r="C48" s="41"/>
    </row>
    <row r="49">
      <c r="A49" s="39">
        <v>2.0</v>
      </c>
      <c r="B49" s="40" t="s">
        <v>2366</v>
      </c>
      <c r="C49" s="41"/>
    </row>
    <row r="50">
      <c r="A50" s="39">
        <v>3.0</v>
      </c>
      <c r="B50" s="40" t="s">
        <v>2367</v>
      </c>
      <c r="C50" s="41"/>
    </row>
    <row r="51">
      <c r="A51" s="39">
        <v>4.0</v>
      </c>
      <c r="B51" s="40" t="s">
        <v>2368</v>
      </c>
      <c r="C51" s="41"/>
    </row>
    <row r="52">
      <c r="A52" s="39">
        <v>5.0</v>
      </c>
      <c r="B52" s="40" t="s">
        <v>2369</v>
      </c>
      <c r="C52" s="41"/>
    </row>
    <row r="53">
      <c r="A53" s="39">
        <v>6.0</v>
      </c>
      <c r="B53" s="40" t="s">
        <v>2370</v>
      </c>
      <c r="C53" s="41"/>
    </row>
    <row r="54">
      <c r="A54" s="39">
        <v>7.0</v>
      </c>
      <c r="B54" s="40" t="s">
        <v>2371</v>
      </c>
      <c r="C54" s="41"/>
    </row>
    <row r="55">
      <c r="A55" s="43">
        <v>8.0</v>
      </c>
      <c r="B55" s="49" t="s">
        <v>899</v>
      </c>
      <c r="C55" s="45"/>
    </row>
  </sheetData>
  <mergeCells count="7">
    <mergeCell ref="A1:C1"/>
    <mergeCell ref="A11:C11"/>
    <mergeCell ref="A13:C13"/>
    <mergeCell ref="A15:C15"/>
    <mergeCell ref="A29:C29"/>
    <mergeCell ref="A36:C36"/>
    <mergeCell ref="A45:C45"/>
  </mergeCells>
  <hyperlinks>
    <hyperlink r:id="rId1" ref="B9"/>
  </hyperlinks>
  <drawing r:id="rId2"/>
</worksheet>
</file>

<file path=xl/worksheets/sheet5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2" max="2" width="87.63"/>
    <col customWidth="1" min="3" max="3" width="20.13"/>
  </cols>
  <sheetData>
    <row r="1">
      <c r="A1" s="34" t="s">
        <v>742</v>
      </c>
    </row>
    <row r="2">
      <c r="A2" s="35"/>
      <c r="B2" s="35"/>
      <c r="C2" s="35"/>
    </row>
    <row r="3">
      <c r="A3" s="36" t="s">
        <v>743</v>
      </c>
      <c r="B3" s="37" t="s">
        <v>744</v>
      </c>
      <c r="C3" s="38"/>
    </row>
    <row r="4">
      <c r="A4" s="39" t="s">
        <v>6</v>
      </c>
      <c r="B4" s="40" t="s">
        <v>264</v>
      </c>
      <c r="C4" s="41"/>
    </row>
    <row r="5">
      <c r="A5" s="39" t="s">
        <v>745</v>
      </c>
      <c r="B5" s="42">
        <v>46147.0</v>
      </c>
      <c r="C5" s="41"/>
    </row>
    <row r="6">
      <c r="A6" s="39" t="s">
        <v>0</v>
      </c>
      <c r="B6" s="40" t="s">
        <v>249</v>
      </c>
      <c r="C6" s="41"/>
    </row>
    <row r="7">
      <c r="A7" s="39" t="s">
        <v>7</v>
      </c>
      <c r="B7" s="40" t="s">
        <v>265</v>
      </c>
      <c r="C7" s="41"/>
    </row>
    <row r="8">
      <c r="A8" s="39" t="s">
        <v>746</v>
      </c>
      <c r="B8" s="40">
        <v>2.0</v>
      </c>
      <c r="C8" s="41"/>
    </row>
    <row r="9">
      <c r="A9" s="43" t="s">
        <v>8</v>
      </c>
      <c r="B9" s="44" t="s">
        <v>266</v>
      </c>
      <c r="C9" s="45"/>
    </row>
    <row r="10">
      <c r="A10" s="35"/>
      <c r="B10" s="35"/>
      <c r="C10" s="35"/>
    </row>
    <row r="11">
      <c r="A11" s="34" t="s">
        <v>747</v>
      </c>
    </row>
    <row r="12">
      <c r="A12" s="35"/>
      <c r="B12" s="35"/>
      <c r="C12" s="35"/>
    </row>
    <row r="13">
      <c r="A13" s="46" t="s">
        <v>267</v>
      </c>
    </row>
    <row r="14">
      <c r="A14" s="35"/>
      <c r="B14" s="35"/>
      <c r="C14" s="35"/>
    </row>
    <row r="15">
      <c r="A15" s="34" t="s">
        <v>748</v>
      </c>
    </row>
    <row r="16">
      <c r="A16" s="35"/>
      <c r="B16" s="35"/>
      <c r="C16" s="35"/>
    </row>
    <row r="17">
      <c r="A17" s="36" t="s">
        <v>749</v>
      </c>
      <c r="B17" s="37" t="s">
        <v>750</v>
      </c>
      <c r="C17" s="47" t="s">
        <v>751</v>
      </c>
    </row>
    <row r="18">
      <c r="A18" s="39">
        <v>1.0</v>
      </c>
      <c r="B18" s="40" t="s">
        <v>2372</v>
      </c>
      <c r="C18" s="48" t="s">
        <v>1418</v>
      </c>
    </row>
    <row r="19">
      <c r="A19" s="39">
        <v>2.0</v>
      </c>
      <c r="B19" s="40" t="s">
        <v>2373</v>
      </c>
      <c r="C19" s="48" t="s">
        <v>1418</v>
      </c>
    </row>
    <row r="20">
      <c r="A20" s="39">
        <v>3.0</v>
      </c>
      <c r="B20" s="40" t="s">
        <v>2374</v>
      </c>
      <c r="C20" s="48" t="s">
        <v>1418</v>
      </c>
    </row>
    <row r="21">
      <c r="A21" s="39">
        <v>4.0</v>
      </c>
      <c r="B21" s="40" t="s">
        <v>2375</v>
      </c>
      <c r="C21" s="48" t="s">
        <v>1418</v>
      </c>
    </row>
    <row r="22">
      <c r="A22" s="43">
        <v>5.0</v>
      </c>
      <c r="B22" s="49" t="s">
        <v>2376</v>
      </c>
      <c r="C22" s="50" t="s">
        <v>1418</v>
      </c>
    </row>
    <row r="23">
      <c r="A23" s="35"/>
      <c r="B23" s="35"/>
      <c r="C23" s="35"/>
    </row>
    <row r="24">
      <c r="A24" s="34" t="s">
        <v>756</v>
      </c>
    </row>
    <row r="25">
      <c r="A25" s="35"/>
      <c r="B25" s="35"/>
      <c r="C25" s="35"/>
    </row>
    <row r="26">
      <c r="A26" s="36" t="s">
        <v>749</v>
      </c>
      <c r="B26" s="37" t="s">
        <v>757</v>
      </c>
      <c r="C26" s="38"/>
    </row>
    <row r="27">
      <c r="A27" s="43">
        <v>1.0</v>
      </c>
      <c r="B27" s="49" t="s">
        <v>1060</v>
      </c>
      <c r="C27" s="45"/>
    </row>
    <row r="28">
      <c r="A28" s="35"/>
      <c r="B28" s="35"/>
      <c r="C28" s="35"/>
    </row>
    <row r="29">
      <c r="A29" s="34" t="s">
        <v>760</v>
      </c>
    </row>
    <row r="30">
      <c r="A30" s="35"/>
      <c r="B30" s="35"/>
      <c r="C30" s="35"/>
    </row>
    <row r="31">
      <c r="A31" s="36" t="s">
        <v>749</v>
      </c>
      <c r="B31" s="37" t="s">
        <v>757</v>
      </c>
      <c r="C31" s="38"/>
    </row>
    <row r="32">
      <c r="A32" s="39">
        <v>1.0</v>
      </c>
      <c r="B32" s="40" t="s">
        <v>2377</v>
      </c>
      <c r="C32" s="41"/>
    </row>
    <row r="33">
      <c r="A33" s="39">
        <v>2.0</v>
      </c>
      <c r="B33" s="40" t="s">
        <v>2378</v>
      </c>
      <c r="C33" s="41"/>
    </row>
    <row r="34">
      <c r="A34" s="39">
        <v>3.0</v>
      </c>
      <c r="B34" s="40" t="s">
        <v>2379</v>
      </c>
      <c r="C34" s="41"/>
    </row>
    <row r="35">
      <c r="A35" s="43">
        <v>4.0</v>
      </c>
      <c r="B35" s="49" t="s">
        <v>2380</v>
      </c>
      <c r="C35" s="45"/>
    </row>
    <row r="36">
      <c r="A36" s="35"/>
      <c r="B36" s="35"/>
      <c r="C36" s="35"/>
    </row>
    <row r="37">
      <c r="A37" s="34" t="s">
        <v>763</v>
      </c>
    </row>
    <row r="38">
      <c r="A38" s="35"/>
      <c r="B38" s="35"/>
      <c r="C38" s="35"/>
    </row>
    <row r="39">
      <c r="A39" s="36" t="s">
        <v>749</v>
      </c>
      <c r="B39" s="37" t="s">
        <v>757</v>
      </c>
      <c r="C39" s="38"/>
    </row>
    <row r="40">
      <c r="A40" s="39">
        <v>1.0</v>
      </c>
      <c r="B40" s="40" t="s">
        <v>2381</v>
      </c>
      <c r="C40" s="41"/>
    </row>
    <row r="41">
      <c r="A41" s="39">
        <v>2.0</v>
      </c>
      <c r="B41" s="40" t="s">
        <v>2382</v>
      </c>
      <c r="C41" s="41"/>
    </row>
    <row r="42">
      <c r="A42" s="39">
        <v>3.0</v>
      </c>
      <c r="B42" s="40" t="s">
        <v>2383</v>
      </c>
      <c r="C42" s="41"/>
    </row>
    <row r="43">
      <c r="A43" s="39">
        <v>4.0</v>
      </c>
      <c r="B43" s="40" t="s">
        <v>2384</v>
      </c>
      <c r="C43" s="41"/>
    </row>
    <row r="44">
      <c r="A44" s="43">
        <v>5.0</v>
      </c>
      <c r="B44" s="49" t="s">
        <v>2385</v>
      </c>
      <c r="C44" s="45"/>
    </row>
  </sheetData>
  <mergeCells count="7">
    <mergeCell ref="A1:C1"/>
    <mergeCell ref="A11:C11"/>
    <mergeCell ref="A13:C13"/>
    <mergeCell ref="A15:C15"/>
    <mergeCell ref="A24:C24"/>
    <mergeCell ref="A29:C29"/>
    <mergeCell ref="A37:C37"/>
  </mergeCells>
  <hyperlinks>
    <hyperlink r:id="rId1" ref="B9"/>
  </hyperlinks>
  <drawing r:id="rId2"/>
</worksheet>
</file>

<file path=xl/worksheets/sheet5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2" max="2" width="87.63"/>
    <col customWidth="1" min="3" max="3" width="20.13"/>
  </cols>
  <sheetData>
    <row r="1">
      <c r="A1" s="34" t="s">
        <v>742</v>
      </c>
    </row>
    <row r="2">
      <c r="A2" s="35"/>
      <c r="B2" s="35"/>
      <c r="C2" s="35"/>
    </row>
    <row r="3">
      <c r="A3" s="36" t="s">
        <v>743</v>
      </c>
      <c r="B3" s="37" t="s">
        <v>744</v>
      </c>
      <c r="C3" s="38"/>
    </row>
    <row r="4">
      <c r="A4" s="39" t="s">
        <v>6</v>
      </c>
      <c r="B4" s="40" t="s">
        <v>269</v>
      </c>
      <c r="C4" s="41"/>
    </row>
    <row r="5">
      <c r="A5" s="39" t="s">
        <v>745</v>
      </c>
      <c r="B5" s="42">
        <v>46147.0</v>
      </c>
      <c r="C5" s="41"/>
    </row>
    <row r="6">
      <c r="A6" s="39" t="s">
        <v>0</v>
      </c>
      <c r="B6" s="40" t="s">
        <v>249</v>
      </c>
      <c r="C6" s="41"/>
    </row>
    <row r="7">
      <c r="A7" s="39" t="s">
        <v>7</v>
      </c>
      <c r="B7" s="40" t="s">
        <v>270</v>
      </c>
      <c r="C7" s="41"/>
    </row>
    <row r="8">
      <c r="A8" s="39" t="s">
        <v>746</v>
      </c>
      <c r="B8" s="40">
        <v>3.0</v>
      </c>
      <c r="C8" s="41"/>
    </row>
    <row r="9">
      <c r="A9" s="43" t="s">
        <v>8</v>
      </c>
      <c r="B9" s="44" t="s">
        <v>271</v>
      </c>
      <c r="C9" s="45"/>
    </row>
    <row r="10">
      <c r="A10" s="35"/>
      <c r="B10" s="35"/>
      <c r="C10" s="35"/>
    </row>
    <row r="11">
      <c r="A11" s="34" t="s">
        <v>747</v>
      </c>
    </row>
    <row r="12">
      <c r="A12" s="35"/>
      <c r="B12" s="35"/>
      <c r="C12" s="35"/>
    </row>
    <row r="13">
      <c r="A13" s="46" t="s">
        <v>272</v>
      </c>
    </row>
    <row r="14">
      <c r="A14" s="35"/>
      <c r="B14" s="35"/>
      <c r="C14" s="35"/>
    </row>
    <row r="15">
      <c r="A15" s="34" t="s">
        <v>748</v>
      </c>
    </row>
    <row r="16">
      <c r="A16" s="35"/>
      <c r="B16" s="35"/>
      <c r="C16" s="35"/>
    </row>
    <row r="17">
      <c r="A17" s="36" t="s">
        <v>749</v>
      </c>
      <c r="B17" s="37" t="s">
        <v>750</v>
      </c>
      <c r="C17" s="47" t="s">
        <v>751</v>
      </c>
    </row>
    <row r="18">
      <c r="A18" s="39">
        <v>1.0</v>
      </c>
      <c r="B18" s="40" t="s">
        <v>2386</v>
      </c>
      <c r="C18" s="48" t="s">
        <v>1418</v>
      </c>
    </row>
    <row r="19">
      <c r="A19" s="39">
        <v>2.0</v>
      </c>
      <c r="B19" s="40" t="s">
        <v>2387</v>
      </c>
      <c r="C19" s="48" t="s">
        <v>1418</v>
      </c>
    </row>
    <row r="20">
      <c r="A20" s="43">
        <v>3.0</v>
      </c>
      <c r="B20" s="49" t="s">
        <v>2388</v>
      </c>
      <c r="C20" s="50" t="s">
        <v>1418</v>
      </c>
    </row>
    <row r="21">
      <c r="A21" s="35"/>
      <c r="B21" s="35"/>
      <c r="C21" s="35"/>
    </row>
    <row r="22">
      <c r="A22" s="34" t="s">
        <v>756</v>
      </c>
    </row>
    <row r="23">
      <c r="A23" s="35"/>
      <c r="B23" s="35"/>
      <c r="C23" s="35"/>
    </row>
    <row r="24">
      <c r="A24" s="36" t="s">
        <v>749</v>
      </c>
      <c r="B24" s="37" t="s">
        <v>757</v>
      </c>
      <c r="C24" s="38"/>
    </row>
    <row r="25">
      <c r="A25" s="39">
        <v>1.0</v>
      </c>
      <c r="B25" s="40" t="s">
        <v>2389</v>
      </c>
      <c r="C25" s="41"/>
    </row>
    <row r="26">
      <c r="A26" s="43">
        <v>2.0</v>
      </c>
      <c r="B26" s="49" t="s">
        <v>2390</v>
      </c>
      <c r="C26" s="45"/>
    </row>
    <row r="27">
      <c r="A27" s="35"/>
      <c r="B27" s="35"/>
      <c r="C27" s="35"/>
    </row>
    <row r="28">
      <c r="A28" s="34" t="s">
        <v>760</v>
      </c>
    </row>
    <row r="29">
      <c r="A29" s="35"/>
      <c r="B29" s="35"/>
      <c r="C29" s="35"/>
    </row>
    <row r="30">
      <c r="A30" s="36" t="s">
        <v>749</v>
      </c>
      <c r="B30" s="37" t="s">
        <v>757</v>
      </c>
      <c r="C30" s="38"/>
    </row>
    <row r="31">
      <c r="A31" s="43">
        <v>1.0</v>
      </c>
      <c r="B31" s="49" t="s">
        <v>1061</v>
      </c>
      <c r="C31" s="45"/>
    </row>
    <row r="32">
      <c r="A32" s="35"/>
      <c r="B32" s="35"/>
      <c r="C32" s="35"/>
    </row>
    <row r="33">
      <c r="A33" s="34" t="s">
        <v>763</v>
      </c>
    </row>
    <row r="34">
      <c r="A34" s="35"/>
      <c r="B34" s="35"/>
      <c r="C34" s="35"/>
    </row>
    <row r="35">
      <c r="A35" s="36" t="s">
        <v>749</v>
      </c>
      <c r="B35" s="37" t="s">
        <v>757</v>
      </c>
      <c r="C35" s="38"/>
    </row>
    <row r="36">
      <c r="A36" s="39">
        <v>1.0</v>
      </c>
      <c r="B36" s="40" t="s">
        <v>2391</v>
      </c>
      <c r="C36" s="41"/>
    </row>
    <row r="37">
      <c r="A37" s="39">
        <v>2.0</v>
      </c>
      <c r="B37" s="40" t="s">
        <v>2392</v>
      </c>
      <c r="C37" s="41"/>
    </row>
    <row r="38">
      <c r="A38" s="43">
        <v>3.0</v>
      </c>
      <c r="B38" s="49" t="s">
        <v>2393</v>
      </c>
      <c r="C38" s="45"/>
    </row>
  </sheetData>
  <mergeCells count="7">
    <mergeCell ref="A1:C1"/>
    <mergeCell ref="A11:C11"/>
    <mergeCell ref="A13:C13"/>
    <mergeCell ref="A15:C15"/>
    <mergeCell ref="A22:C22"/>
    <mergeCell ref="A28:C28"/>
    <mergeCell ref="A33:C33"/>
  </mergeCells>
  <hyperlinks>
    <hyperlink r:id="rId1" ref="B9"/>
  </hyperlinks>
  <drawing r:id="rId2"/>
</worksheet>
</file>

<file path=xl/worksheets/sheet5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2" max="2" width="87.63"/>
    <col customWidth="1" min="3" max="3" width="20.13"/>
  </cols>
  <sheetData>
    <row r="1">
      <c r="A1" s="34" t="s">
        <v>742</v>
      </c>
    </row>
    <row r="2">
      <c r="A2" s="35"/>
      <c r="B2" s="35"/>
      <c r="C2" s="35"/>
    </row>
    <row r="3">
      <c r="A3" s="36" t="s">
        <v>743</v>
      </c>
      <c r="B3" s="37" t="s">
        <v>744</v>
      </c>
      <c r="C3" s="38"/>
    </row>
    <row r="4">
      <c r="A4" s="39" t="s">
        <v>6</v>
      </c>
      <c r="B4" s="40" t="s">
        <v>274</v>
      </c>
      <c r="C4" s="41"/>
    </row>
    <row r="5">
      <c r="A5" s="39" t="s">
        <v>745</v>
      </c>
      <c r="B5" s="42">
        <v>46147.0</v>
      </c>
      <c r="C5" s="41"/>
    </row>
    <row r="6">
      <c r="A6" s="39" t="s">
        <v>0</v>
      </c>
      <c r="B6" s="40" t="s">
        <v>249</v>
      </c>
      <c r="C6" s="41"/>
    </row>
    <row r="7">
      <c r="A7" s="39" t="s">
        <v>7</v>
      </c>
      <c r="B7" s="40" t="s">
        <v>275</v>
      </c>
      <c r="C7" s="41"/>
    </row>
    <row r="8">
      <c r="A8" s="39" t="s">
        <v>746</v>
      </c>
      <c r="B8" s="40">
        <v>5.0</v>
      </c>
      <c r="C8" s="41"/>
    </row>
    <row r="9">
      <c r="A9" s="43" t="s">
        <v>8</v>
      </c>
      <c r="B9" s="44" t="s">
        <v>276</v>
      </c>
      <c r="C9" s="45"/>
    </row>
    <row r="10">
      <c r="A10" s="35"/>
      <c r="B10" s="35"/>
      <c r="C10" s="35"/>
    </row>
    <row r="11">
      <c r="A11" s="34" t="s">
        <v>747</v>
      </c>
    </row>
    <row r="12">
      <c r="A12" s="35"/>
      <c r="B12" s="35"/>
      <c r="C12" s="35"/>
    </row>
    <row r="13">
      <c r="A13" s="46" t="s">
        <v>277</v>
      </c>
    </row>
    <row r="14">
      <c r="A14" s="35"/>
      <c r="B14" s="35"/>
      <c r="C14" s="35"/>
    </row>
    <row r="15">
      <c r="A15" s="34" t="s">
        <v>748</v>
      </c>
    </row>
    <row r="16">
      <c r="A16" s="35"/>
      <c r="B16" s="35"/>
      <c r="C16" s="35"/>
    </row>
    <row r="17">
      <c r="A17" s="36" t="s">
        <v>749</v>
      </c>
      <c r="B17" s="37" t="s">
        <v>750</v>
      </c>
      <c r="C17" s="47" t="s">
        <v>751</v>
      </c>
    </row>
    <row r="18">
      <c r="A18" s="39">
        <v>1.0</v>
      </c>
      <c r="B18" s="40" t="s">
        <v>2394</v>
      </c>
      <c r="C18" s="48" t="s">
        <v>753</v>
      </c>
    </row>
    <row r="19">
      <c r="A19" s="39">
        <v>2.0</v>
      </c>
      <c r="B19" s="40" t="s">
        <v>2395</v>
      </c>
      <c r="C19" s="48" t="s">
        <v>753</v>
      </c>
    </row>
    <row r="20">
      <c r="A20" s="39">
        <v>3.0</v>
      </c>
      <c r="B20" s="40" t="s">
        <v>2396</v>
      </c>
      <c r="C20" s="48" t="s">
        <v>753</v>
      </c>
    </row>
    <row r="21">
      <c r="A21" s="39">
        <v>4.0</v>
      </c>
      <c r="B21" s="40" t="s">
        <v>2397</v>
      </c>
      <c r="C21" s="48" t="s">
        <v>753</v>
      </c>
    </row>
    <row r="22">
      <c r="A22" s="39">
        <v>5.0</v>
      </c>
      <c r="B22" s="40" t="s">
        <v>2398</v>
      </c>
      <c r="C22" s="48" t="s">
        <v>2399</v>
      </c>
    </row>
    <row r="23">
      <c r="A23" s="39">
        <v>6.0</v>
      </c>
      <c r="B23" s="40" t="s">
        <v>2400</v>
      </c>
      <c r="C23" s="48" t="s">
        <v>753</v>
      </c>
    </row>
    <row r="24">
      <c r="A24" s="39">
        <v>7.0</v>
      </c>
      <c r="B24" s="40" t="s">
        <v>2401</v>
      </c>
      <c r="C24" s="48" t="s">
        <v>753</v>
      </c>
    </row>
    <row r="25">
      <c r="A25" s="39">
        <v>8.0</v>
      </c>
      <c r="B25" s="40" t="s">
        <v>2402</v>
      </c>
      <c r="C25" s="48" t="s">
        <v>753</v>
      </c>
    </row>
    <row r="26">
      <c r="A26" s="43">
        <v>9.0</v>
      </c>
      <c r="B26" s="49" t="s">
        <v>2403</v>
      </c>
      <c r="C26" s="50" t="s">
        <v>753</v>
      </c>
    </row>
    <row r="27">
      <c r="A27" s="35"/>
      <c r="B27" s="35"/>
      <c r="C27" s="35"/>
    </row>
    <row r="28">
      <c r="A28" s="34" t="s">
        <v>756</v>
      </c>
    </row>
    <row r="29">
      <c r="A29" s="35"/>
      <c r="B29" s="35"/>
      <c r="C29" s="35"/>
    </row>
    <row r="30">
      <c r="A30" s="36" t="s">
        <v>749</v>
      </c>
      <c r="B30" s="37" t="s">
        <v>757</v>
      </c>
      <c r="C30" s="38"/>
    </row>
    <row r="31">
      <c r="A31" s="39">
        <v>1.0</v>
      </c>
      <c r="B31" s="40" t="s">
        <v>2404</v>
      </c>
      <c r="C31" s="41"/>
    </row>
    <row r="32">
      <c r="A32" s="39">
        <v>2.0</v>
      </c>
      <c r="B32" s="40" t="s">
        <v>2405</v>
      </c>
      <c r="C32" s="41"/>
    </row>
    <row r="33">
      <c r="A33" s="39">
        <v>3.0</v>
      </c>
      <c r="B33" s="40" t="s">
        <v>2406</v>
      </c>
      <c r="C33" s="41"/>
    </row>
    <row r="34">
      <c r="A34" s="43">
        <v>4.0</v>
      </c>
      <c r="B34" s="49" t="s">
        <v>2407</v>
      </c>
      <c r="C34" s="45"/>
    </row>
    <row r="35">
      <c r="A35" s="35"/>
      <c r="B35" s="35"/>
      <c r="C35" s="35"/>
    </row>
    <row r="36">
      <c r="A36" s="34" t="s">
        <v>760</v>
      </c>
    </row>
    <row r="37">
      <c r="A37" s="35"/>
      <c r="B37" s="35"/>
      <c r="C37" s="35"/>
    </row>
    <row r="38">
      <c r="A38" s="36" t="s">
        <v>749</v>
      </c>
      <c r="B38" s="37" t="s">
        <v>757</v>
      </c>
      <c r="C38" s="38"/>
    </row>
    <row r="39">
      <c r="A39" s="39">
        <v>1.0</v>
      </c>
      <c r="B39" s="40" t="s">
        <v>2408</v>
      </c>
      <c r="C39" s="41"/>
    </row>
    <row r="40">
      <c r="A40" s="39">
        <v>2.0</v>
      </c>
      <c r="B40" s="40" t="s">
        <v>2409</v>
      </c>
      <c r="C40" s="41"/>
    </row>
    <row r="41">
      <c r="A41" s="39">
        <v>3.0</v>
      </c>
      <c r="B41" s="40" t="s">
        <v>2410</v>
      </c>
      <c r="C41" s="41"/>
    </row>
    <row r="42">
      <c r="A42" s="39">
        <v>4.0</v>
      </c>
      <c r="B42" s="40" t="s">
        <v>2411</v>
      </c>
      <c r="C42" s="41"/>
    </row>
    <row r="43">
      <c r="A43" s="43">
        <v>5.0</v>
      </c>
      <c r="B43" s="49" t="s">
        <v>2412</v>
      </c>
      <c r="C43" s="45"/>
    </row>
    <row r="44">
      <c r="A44" s="35"/>
      <c r="B44" s="35"/>
      <c r="C44" s="35"/>
    </row>
    <row r="45">
      <c r="A45" s="34" t="s">
        <v>763</v>
      </c>
    </row>
    <row r="46">
      <c r="A46" s="35"/>
      <c r="B46" s="35"/>
      <c r="C46" s="35"/>
    </row>
    <row r="47">
      <c r="A47" s="36" t="s">
        <v>749</v>
      </c>
      <c r="B47" s="37" t="s">
        <v>757</v>
      </c>
      <c r="C47" s="38"/>
    </row>
    <row r="48">
      <c r="A48" s="39">
        <v>1.0</v>
      </c>
      <c r="B48" s="40" t="s">
        <v>2413</v>
      </c>
      <c r="C48" s="41"/>
    </row>
    <row r="49">
      <c r="A49" s="39">
        <v>2.0</v>
      </c>
      <c r="B49" s="40" t="s">
        <v>2414</v>
      </c>
      <c r="C49" s="41"/>
    </row>
    <row r="50">
      <c r="A50" s="39">
        <v>3.0</v>
      </c>
      <c r="B50" s="40" t="s">
        <v>2415</v>
      </c>
      <c r="C50" s="41"/>
    </row>
    <row r="51">
      <c r="A51" s="39">
        <v>4.0</v>
      </c>
      <c r="B51" s="40" t="s">
        <v>2416</v>
      </c>
      <c r="C51" s="41"/>
    </row>
    <row r="52">
      <c r="A52" s="39">
        <v>5.0</v>
      </c>
      <c r="B52" s="40" t="s">
        <v>2417</v>
      </c>
      <c r="C52" s="41"/>
    </row>
    <row r="53">
      <c r="A53" s="39">
        <v>6.0</v>
      </c>
      <c r="B53" s="40" t="s">
        <v>2418</v>
      </c>
      <c r="C53" s="41"/>
    </row>
    <row r="54">
      <c r="A54" s="39">
        <v>7.0</v>
      </c>
      <c r="B54" s="40" t="s">
        <v>2419</v>
      </c>
      <c r="C54" s="41"/>
    </row>
    <row r="55">
      <c r="A55" s="39">
        <v>8.0</v>
      </c>
      <c r="B55" s="40" t="s">
        <v>2420</v>
      </c>
      <c r="C55" s="41"/>
    </row>
    <row r="56">
      <c r="A56" s="39">
        <v>9.0</v>
      </c>
      <c r="B56" s="40" t="s">
        <v>899</v>
      </c>
      <c r="C56" s="41"/>
    </row>
    <row r="57">
      <c r="A57" s="43">
        <v>10.0</v>
      </c>
      <c r="B57" s="49" t="s">
        <v>2421</v>
      </c>
      <c r="C57" s="45"/>
    </row>
  </sheetData>
  <mergeCells count="7">
    <mergeCell ref="A1:C1"/>
    <mergeCell ref="A11:C11"/>
    <mergeCell ref="A13:C13"/>
    <mergeCell ref="A15:C15"/>
    <mergeCell ref="A28:C28"/>
    <mergeCell ref="A36:C36"/>
    <mergeCell ref="A45:C45"/>
  </mergeCells>
  <hyperlinks>
    <hyperlink r:id="rId1" ref="B9"/>
  </hyperlinks>
  <drawing r:id="rId2"/>
</worksheet>
</file>

<file path=xl/worksheets/sheet5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2" max="2" width="87.63"/>
    <col customWidth="1" min="3" max="3" width="20.13"/>
  </cols>
  <sheetData>
    <row r="1">
      <c r="A1" s="34" t="s">
        <v>742</v>
      </c>
    </row>
    <row r="2">
      <c r="A2" s="35"/>
      <c r="B2" s="35"/>
      <c r="C2" s="35"/>
    </row>
    <row r="3">
      <c r="A3" s="36" t="s">
        <v>743</v>
      </c>
      <c r="B3" s="37" t="s">
        <v>744</v>
      </c>
      <c r="C3" s="38"/>
    </row>
    <row r="4">
      <c r="A4" s="39" t="s">
        <v>6</v>
      </c>
      <c r="B4" s="40" t="s">
        <v>279</v>
      </c>
      <c r="C4" s="41"/>
    </row>
    <row r="5">
      <c r="A5" s="39" t="s">
        <v>745</v>
      </c>
      <c r="B5" s="42">
        <v>46150.0</v>
      </c>
      <c r="C5" s="41"/>
    </row>
    <row r="6">
      <c r="A6" s="39" t="s">
        <v>0</v>
      </c>
      <c r="B6" s="40" t="s">
        <v>249</v>
      </c>
      <c r="C6" s="41"/>
    </row>
    <row r="7">
      <c r="A7" s="39" t="s">
        <v>7</v>
      </c>
      <c r="B7" s="40" t="s">
        <v>280</v>
      </c>
      <c r="C7" s="41"/>
    </row>
    <row r="8">
      <c r="A8" s="39" t="s">
        <v>746</v>
      </c>
      <c r="B8" s="40">
        <v>3.0</v>
      </c>
      <c r="C8" s="41"/>
    </row>
    <row r="9">
      <c r="A9" s="43" t="s">
        <v>8</v>
      </c>
      <c r="B9" s="44" t="s">
        <v>281</v>
      </c>
      <c r="C9" s="45"/>
    </row>
    <row r="10">
      <c r="A10" s="35"/>
      <c r="B10" s="35"/>
      <c r="C10" s="35"/>
    </row>
    <row r="11">
      <c r="A11" s="34" t="s">
        <v>747</v>
      </c>
    </row>
    <row r="12">
      <c r="A12" s="35"/>
      <c r="B12" s="35"/>
      <c r="C12" s="35"/>
    </row>
    <row r="13">
      <c r="A13" s="46" t="s">
        <v>2422</v>
      </c>
    </row>
    <row r="14">
      <c r="A14" s="35"/>
      <c r="B14" s="35"/>
      <c r="C14" s="35"/>
    </row>
    <row r="15">
      <c r="A15" s="34" t="s">
        <v>748</v>
      </c>
    </row>
    <row r="16">
      <c r="A16" s="35"/>
      <c r="B16" s="35"/>
      <c r="C16" s="35"/>
    </row>
    <row r="17">
      <c r="A17" s="36" t="s">
        <v>749</v>
      </c>
      <c r="B17" s="37" t="s">
        <v>750</v>
      </c>
      <c r="C17" s="47" t="s">
        <v>751</v>
      </c>
    </row>
    <row r="18">
      <c r="A18" s="39">
        <v>1.0</v>
      </c>
      <c r="B18" s="40" t="s">
        <v>2423</v>
      </c>
      <c r="C18" s="48" t="s">
        <v>2424</v>
      </c>
    </row>
    <row r="19">
      <c r="A19" s="39">
        <v>2.0</v>
      </c>
      <c r="B19" s="40" t="s">
        <v>2425</v>
      </c>
      <c r="C19" s="48" t="s">
        <v>1418</v>
      </c>
    </row>
    <row r="20">
      <c r="A20" s="39">
        <v>3.0</v>
      </c>
      <c r="B20" s="40" t="s">
        <v>2426</v>
      </c>
      <c r="C20" s="48" t="s">
        <v>2427</v>
      </c>
    </row>
    <row r="21">
      <c r="A21" s="39">
        <v>4.0</v>
      </c>
      <c r="B21" s="40" t="s">
        <v>2428</v>
      </c>
      <c r="C21" s="48" t="s">
        <v>2429</v>
      </c>
    </row>
    <row r="22">
      <c r="A22" s="39">
        <v>5.0</v>
      </c>
      <c r="B22" s="40" t="s">
        <v>2430</v>
      </c>
      <c r="C22" s="48" t="s">
        <v>1418</v>
      </c>
    </row>
    <row r="23">
      <c r="A23" s="39">
        <v>6.0</v>
      </c>
      <c r="B23" s="40" t="s">
        <v>2431</v>
      </c>
      <c r="C23" s="48" t="s">
        <v>1418</v>
      </c>
    </row>
    <row r="24">
      <c r="A24" s="39">
        <v>7.0</v>
      </c>
      <c r="B24" s="40" t="s">
        <v>2432</v>
      </c>
      <c r="C24" s="48" t="s">
        <v>1418</v>
      </c>
    </row>
    <row r="25">
      <c r="A25" s="39">
        <v>8.0</v>
      </c>
      <c r="B25" s="40" t="s">
        <v>2433</v>
      </c>
      <c r="C25" s="48" t="s">
        <v>1418</v>
      </c>
    </row>
    <row r="26">
      <c r="A26" s="43">
        <v>9.0</v>
      </c>
      <c r="B26" s="49" t="s">
        <v>2434</v>
      </c>
      <c r="C26" s="50" t="s">
        <v>1418</v>
      </c>
    </row>
    <row r="27">
      <c r="A27" s="35"/>
      <c r="B27" s="35"/>
      <c r="C27" s="35"/>
    </row>
    <row r="28">
      <c r="A28" s="34" t="s">
        <v>756</v>
      </c>
    </row>
    <row r="29">
      <c r="A29" s="35"/>
      <c r="B29" s="35"/>
      <c r="C29" s="35"/>
    </row>
    <row r="30">
      <c r="A30" s="36" t="s">
        <v>749</v>
      </c>
      <c r="B30" s="37" t="s">
        <v>757</v>
      </c>
      <c r="C30" s="38"/>
    </row>
    <row r="31">
      <c r="A31" s="39">
        <v>1.0</v>
      </c>
      <c r="B31" s="40" t="s">
        <v>2435</v>
      </c>
      <c r="C31" s="41"/>
    </row>
    <row r="32">
      <c r="A32" s="39">
        <v>2.0</v>
      </c>
      <c r="B32" s="40" t="s">
        <v>2436</v>
      </c>
      <c r="C32" s="41"/>
    </row>
    <row r="33">
      <c r="A33" s="39">
        <v>3.0</v>
      </c>
      <c r="B33" s="40" t="s">
        <v>2437</v>
      </c>
      <c r="C33" s="41"/>
    </row>
    <row r="34">
      <c r="A34" s="39">
        <v>4.0</v>
      </c>
      <c r="B34" s="40" t="s">
        <v>2438</v>
      </c>
      <c r="C34" s="41"/>
    </row>
    <row r="35">
      <c r="A35" s="43">
        <v>5.0</v>
      </c>
      <c r="B35" s="49" t="s">
        <v>2439</v>
      </c>
      <c r="C35" s="45"/>
    </row>
    <row r="36">
      <c r="A36" s="35"/>
      <c r="B36" s="35"/>
      <c r="C36" s="35"/>
    </row>
    <row r="37">
      <c r="A37" s="34" t="s">
        <v>760</v>
      </c>
    </row>
    <row r="38">
      <c r="A38" s="35"/>
      <c r="B38" s="35"/>
      <c r="C38" s="35"/>
    </row>
    <row r="39">
      <c r="A39" s="36" t="s">
        <v>749</v>
      </c>
      <c r="B39" s="37" t="s">
        <v>757</v>
      </c>
      <c r="C39" s="38"/>
    </row>
    <row r="40">
      <c r="A40" s="39">
        <v>1.0</v>
      </c>
      <c r="B40" s="40" t="s">
        <v>2440</v>
      </c>
      <c r="C40" s="41"/>
    </row>
    <row r="41">
      <c r="A41" s="39">
        <v>2.0</v>
      </c>
      <c r="B41" s="40" t="s">
        <v>2441</v>
      </c>
      <c r="C41" s="41"/>
    </row>
    <row r="42">
      <c r="A42" s="39">
        <v>3.0</v>
      </c>
      <c r="B42" s="40" t="s">
        <v>2442</v>
      </c>
      <c r="C42" s="41"/>
    </row>
    <row r="43">
      <c r="A43" s="39">
        <v>4.0</v>
      </c>
      <c r="B43" s="40" t="s">
        <v>2443</v>
      </c>
      <c r="C43" s="41"/>
    </row>
    <row r="44">
      <c r="A44" s="43">
        <v>5.0</v>
      </c>
      <c r="B44" s="49" t="s">
        <v>2444</v>
      </c>
      <c r="C44" s="45"/>
    </row>
    <row r="45">
      <c r="A45" s="35"/>
      <c r="B45" s="35"/>
      <c r="C45" s="35"/>
    </row>
    <row r="46">
      <c r="A46" s="34" t="s">
        <v>763</v>
      </c>
    </row>
    <row r="47">
      <c r="A47" s="35"/>
      <c r="B47" s="35"/>
      <c r="C47" s="35"/>
    </row>
    <row r="48">
      <c r="A48" s="36" t="s">
        <v>749</v>
      </c>
      <c r="B48" s="37" t="s">
        <v>757</v>
      </c>
      <c r="C48" s="38"/>
    </row>
    <row r="49">
      <c r="A49" s="39">
        <v>1.0</v>
      </c>
      <c r="B49" s="40" t="s">
        <v>2445</v>
      </c>
      <c r="C49" s="41"/>
    </row>
    <row r="50">
      <c r="A50" s="39">
        <v>2.0</v>
      </c>
      <c r="B50" s="40" t="s">
        <v>2446</v>
      </c>
      <c r="C50" s="41"/>
    </row>
    <row r="51">
      <c r="A51" s="39">
        <v>3.0</v>
      </c>
      <c r="B51" s="40" t="s">
        <v>2447</v>
      </c>
      <c r="C51" s="41"/>
    </row>
    <row r="52">
      <c r="A52" s="39">
        <v>4.0</v>
      </c>
      <c r="B52" s="40" t="s">
        <v>2448</v>
      </c>
      <c r="C52" s="41"/>
    </row>
    <row r="53">
      <c r="A53" s="39">
        <v>5.0</v>
      </c>
      <c r="B53" s="40" t="s">
        <v>2449</v>
      </c>
      <c r="C53" s="41"/>
    </row>
    <row r="54">
      <c r="A54" s="39">
        <v>6.0</v>
      </c>
      <c r="B54" s="40" t="s">
        <v>2450</v>
      </c>
      <c r="C54" s="41"/>
    </row>
    <row r="55">
      <c r="A55" s="39">
        <v>7.0</v>
      </c>
      <c r="B55" s="40" t="s">
        <v>2451</v>
      </c>
      <c r="C55" s="41"/>
    </row>
    <row r="56">
      <c r="A56" s="39">
        <v>8.0</v>
      </c>
      <c r="B56" s="40" t="s">
        <v>2452</v>
      </c>
      <c r="C56" s="41"/>
    </row>
    <row r="57">
      <c r="A57" s="39">
        <v>9.0</v>
      </c>
      <c r="B57" s="40" t="s">
        <v>899</v>
      </c>
      <c r="C57" s="41"/>
    </row>
    <row r="58">
      <c r="A58" s="43">
        <v>10.0</v>
      </c>
      <c r="B58" s="49" t="s">
        <v>2453</v>
      </c>
      <c r="C58" s="45"/>
    </row>
  </sheetData>
  <mergeCells count="7">
    <mergeCell ref="A1:C1"/>
    <mergeCell ref="A11:C11"/>
    <mergeCell ref="A13:C13"/>
    <mergeCell ref="A15:C15"/>
    <mergeCell ref="A28:C28"/>
    <mergeCell ref="A37:C37"/>
    <mergeCell ref="A46:C46"/>
  </mergeCells>
  <hyperlinks>
    <hyperlink r:id="rId1" ref="B9"/>
  </hyperlinks>
  <drawing r:id="rId2"/>
</worksheet>
</file>

<file path=xl/worksheets/sheet6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2" max="2" width="87.63"/>
    <col customWidth="1" min="3" max="3" width="20.13"/>
  </cols>
  <sheetData>
    <row r="1">
      <c r="A1" s="34" t="s">
        <v>742</v>
      </c>
    </row>
    <row r="2">
      <c r="A2" s="35"/>
      <c r="B2" s="35"/>
      <c r="C2" s="35"/>
    </row>
    <row r="3">
      <c r="A3" s="36" t="s">
        <v>743</v>
      </c>
      <c r="B3" s="37" t="s">
        <v>744</v>
      </c>
      <c r="C3" s="38"/>
    </row>
    <row r="4">
      <c r="A4" s="39" t="s">
        <v>6</v>
      </c>
      <c r="B4" s="40" t="s">
        <v>284</v>
      </c>
      <c r="C4" s="41"/>
    </row>
    <row r="5">
      <c r="A5" s="39" t="s">
        <v>745</v>
      </c>
      <c r="B5" s="42">
        <v>46150.0</v>
      </c>
      <c r="C5" s="41"/>
    </row>
    <row r="6">
      <c r="A6" s="39" t="s">
        <v>0</v>
      </c>
      <c r="B6" s="40" t="s">
        <v>249</v>
      </c>
      <c r="C6" s="41"/>
    </row>
    <row r="7">
      <c r="A7" s="39" t="s">
        <v>7</v>
      </c>
      <c r="B7" s="40" t="s">
        <v>285</v>
      </c>
      <c r="C7" s="41"/>
    </row>
    <row r="8">
      <c r="A8" s="39" t="s">
        <v>746</v>
      </c>
      <c r="B8" s="40">
        <v>7.0</v>
      </c>
      <c r="C8" s="41"/>
    </row>
    <row r="9">
      <c r="A9" s="43" t="s">
        <v>8</v>
      </c>
      <c r="B9" s="44" t="s">
        <v>286</v>
      </c>
      <c r="C9" s="45"/>
    </row>
    <row r="10">
      <c r="A10" s="35"/>
      <c r="B10" s="35"/>
      <c r="C10" s="35"/>
    </row>
    <row r="11">
      <c r="A11" s="34" t="s">
        <v>747</v>
      </c>
    </row>
    <row r="12">
      <c r="A12" s="35"/>
      <c r="B12" s="35"/>
      <c r="C12" s="35"/>
    </row>
    <row r="13">
      <c r="A13" s="46" t="s">
        <v>2454</v>
      </c>
    </row>
    <row r="14">
      <c r="A14" s="35"/>
      <c r="B14" s="35"/>
      <c r="C14" s="35"/>
    </row>
    <row r="15">
      <c r="A15" s="34" t="s">
        <v>748</v>
      </c>
    </row>
    <row r="16">
      <c r="A16" s="35"/>
      <c r="B16" s="35"/>
      <c r="C16" s="35"/>
    </row>
    <row r="17">
      <c r="A17" s="36" t="s">
        <v>749</v>
      </c>
      <c r="B17" s="37" t="s">
        <v>750</v>
      </c>
      <c r="C17" s="47" t="s">
        <v>751</v>
      </c>
    </row>
    <row r="18">
      <c r="A18" s="39">
        <v>1.0</v>
      </c>
      <c r="B18" s="40" t="s">
        <v>2455</v>
      </c>
      <c r="C18" s="48" t="s">
        <v>1418</v>
      </c>
    </row>
    <row r="19">
      <c r="A19" s="39">
        <v>2.0</v>
      </c>
      <c r="B19" s="40" t="s">
        <v>2456</v>
      </c>
      <c r="C19" s="48" t="s">
        <v>1418</v>
      </c>
    </row>
    <row r="20">
      <c r="A20" s="39">
        <v>3.0</v>
      </c>
      <c r="B20" s="40" t="s">
        <v>2457</v>
      </c>
      <c r="C20" s="48" t="s">
        <v>753</v>
      </c>
    </row>
    <row r="21">
      <c r="A21" s="39">
        <v>4.0</v>
      </c>
      <c r="B21" s="40" t="s">
        <v>2458</v>
      </c>
      <c r="C21" s="48" t="s">
        <v>753</v>
      </c>
    </row>
    <row r="22">
      <c r="A22" s="39">
        <v>5.0</v>
      </c>
      <c r="B22" s="40" t="s">
        <v>2459</v>
      </c>
      <c r="C22" s="48" t="s">
        <v>753</v>
      </c>
    </row>
    <row r="23">
      <c r="A23" s="39">
        <v>6.0</v>
      </c>
      <c r="B23" s="40" t="s">
        <v>2460</v>
      </c>
      <c r="C23" s="48" t="s">
        <v>753</v>
      </c>
    </row>
    <row r="24">
      <c r="A24" s="39">
        <v>7.0</v>
      </c>
      <c r="B24" s="40" t="s">
        <v>2461</v>
      </c>
      <c r="C24" s="48" t="s">
        <v>753</v>
      </c>
    </row>
    <row r="25">
      <c r="A25" s="39">
        <v>8.0</v>
      </c>
      <c r="B25" s="40" t="s">
        <v>2462</v>
      </c>
      <c r="C25" s="48" t="s">
        <v>753</v>
      </c>
    </row>
    <row r="26">
      <c r="A26" s="39">
        <v>9.0</v>
      </c>
      <c r="B26" s="40" t="s">
        <v>2463</v>
      </c>
      <c r="C26" s="48" t="s">
        <v>753</v>
      </c>
    </row>
    <row r="27">
      <c r="A27" s="39">
        <v>10.0</v>
      </c>
      <c r="B27" s="40" t="s">
        <v>2464</v>
      </c>
      <c r="C27" s="48" t="s">
        <v>753</v>
      </c>
    </row>
    <row r="28">
      <c r="A28" s="39">
        <v>11.0</v>
      </c>
      <c r="B28" s="40" t="s">
        <v>2465</v>
      </c>
      <c r="C28" s="48" t="s">
        <v>753</v>
      </c>
    </row>
    <row r="29">
      <c r="A29" s="39">
        <v>12.0</v>
      </c>
      <c r="B29" s="40" t="s">
        <v>2466</v>
      </c>
      <c r="C29" s="48" t="s">
        <v>753</v>
      </c>
    </row>
    <row r="30">
      <c r="A30" s="39">
        <v>13.0</v>
      </c>
      <c r="B30" s="40" t="s">
        <v>2467</v>
      </c>
      <c r="C30" s="48" t="s">
        <v>753</v>
      </c>
    </row>
    <row r="31">
      <c r="A31" s="43">
        <v>14.0</v>
      </c>
      <c r="B31" s="49" t="s">
        <v>2468</v>
      </c>
      <c r="C31" s="50" t="s">
        <v>753</v>
      </c>
    </row>
    <row r="32">
      <c r="A32" s="35"/>
      <c r="B32" s="35"/>
      <c r="C32" s="35"/>
    </row>
    <row r="33">
      <c r="A33" s="34" t="s">
        <v>756</v>
      </c>
    </row>
    <row r="34">
      <c r="A34" s="35"/>
      <c r="B34" s="35"/>
      <c r="C34" s="35"/>
    </row>
    <row r="35">
      <c r="A35" s="36" t="s">
        <v>749</v>
      </c>
      <c r="B35" s="37" t="s">
        <v>757</v>
      </c>
      <c r="C35" s="38"/>
    </row>
    <row r="36">
      <c r="A36" s="39">
        <v>1.0</v>
      </c>
      <c r="B36" s="40" t="s">
        <v>2469</v>
      </c>
      <c r="C36" s="41"/>
    </row>
    <row r="37">
      <c r="A37" s="39">
        <v>2.0</v>
      </c>
      <c r="B37" s="40" t="s">
        <v>2470</v>
      </c>
      <c r="C37" s="41"/>
    </row>
    <row r="38">
      <c r="A38" s="39">
        <v>3.0</v>
      </c>
      <c r="B38" s="40" t="s">
        <v>2471</v>
      </c>
      <c r="C38" s="41"/>
    </row>
    <row r="39">
      <c r="A39" s="39">
        <v>4.0</v>
      </c>
      <c r="B39" s="40" t="s">
        <v>2472</v>
      </c>
      <c r="C39" s="41"/>
    </row>
    <row r="40">
      <c r="A40" s="43">
        <v>5.0</v>
      </c>
      <c r="B40" s="49" t="s">
        <v>2473</v>
      </c>
      <c r="C40" s="45"/>
    </row>
    <row r="41">
      <c r="A41" s="35"/>
      <c r="B41" s="35"/>
      <c r="C41" s="35"/>
    </row>
    <row r="42">
      <c r="A42" s="34" t="s">
        <v>760</v>
      </c>
    </row>
    <row r="43">
      <c r="A43" s="35"/>
      <c r="B43" s="35"/>
      <c r="C43" s="35"/>
    </row>
    <row r="44">
      <c r="A44" s="36" t="s">
        <v>749</v>
      </c>
      <c r="B44" s="37" t="s">
        <v>757</v>
      </c>
      <c r="C44" s="38"/>
    </row>
    <row r="45">
      <c r="A45" s="39">
        <v>1.0</v>
      </c>
      <c r="B45" s="40" t="s">
        <v>2474</v>
      </c>
      <c r="C45" s="41"/>
    </row>
    <row r="46">
      <c r="A46" s="39">
        <v>2.0</v>
      </c>
      <c r="B46" s="40" t="s">
        <v>2475</v>
      </c>
      <c r="C46" s="41"/>
    </row>
    <row r="47">
      <c r="A47" s="39">
        <v>3.0</v>
      </c>
      <c r="B47" s="40" t="s">
        <v>2476</v>
      </c>
      <c r="C47" s="41"/>
    </row>
    <row r="48">
      <c r="A48" s="39">
        <v>4.0</v>
      </c>
      <c r="B48" s="40" t="s">
        <v>2477</v>
      </c>
      <c r="C48" s="41"/>
    </row>
    <row r="49">
      <c r="A49" s="43">
        <v>5.0</v>
      </c>
      <c r="B49" s="49" t="s">
        <v>2478</v>
      </c>
      <c r="C49" s="45"/>
    </row>
    <row r="50">
      <c r="A50" s="35"/>
      <c r="B50" s="35"/>
      <c r="C50" s="35"/>
    </row>
    <row r="51">
      <c r="A51" s="34" t="s">
        <v>763</v>
      </c>
    </row>
    <row r="52">
      <c r="A52" s="35"/>
      <c r="B52" s="35"/>
      <c r="C52" s="35"/>
    </row>
    <row r="53">
      <c r="A53" s="36" t="s">
        <v>749</v>
      </c>
      <c r="B53" s="37" t="s">
        <v>757</v>
      </c>
      <c r="C53" s="38"/>
    </row>
    <row r="54">
      <c r="A54" s="39">
        <v>1.0</v>
      </c>
      <c r="B54" s="40" t="s">
        <v>2479</v>
      </c>
      <c r="C54" s="41"/>
    </row>
    <row r="55">
      <c r="A55" s="39">
        <v>2.0</v>
      </c>
      <c r="B55" s="40" t="s">
        <v>2480</v>
      </c>
      <c r="C55" s="41"/>
    </row>
    <row r="56">
      <c r="A56" s="39">
        <v>3.0</v>
      </c>
      <c r="B56" s="40" t="s">
        <v>2481</v>
      </c>
      <c r="C56" s="41"/>
    </row>
    <row r="57">
      <c r="A57" s="39">
        <v>4.0</v>
      </c>
      <c r="B57" s="40" t="s">
        <v>2482</v>
      </c>
      <c r="C57" s="41"/>
    </row>
    <row r="58">
      <c r="A58" s="39">
        <v>5.0</v>
      </c>
      <c r="B58" s="40" t="s">
        <v>2483</v>
      </c>
      <c r="C58" s="41"/>
    </row>
    <row r="59">
      <c r="A59" s="39">
        <v>6.0</v>
      </c>
      <c r="B59" s="40" t="s">
        <v>2484</v>
      </c>
      <c r="C59" s="41"/>
    </row>
    <row r="60">
      <c r="A60" s="43">
        <v>7.0</v>
      </c>
      <c r="B60" s="49" t="s">
        <v>2485</v>
      </c>
      <c r="C60" s="45"/>
    </row>
  </sheetData>
  <mergeCells count="7">
    <mergeCell ref="A1:C1"/>
    <mergeCell ref="A11:C11"/>
    <mergeCell ref="A13:C13"/>
    <mergeCell ref="A15:C15"/>
    <mergeCell ref="A33:C33"/>
    <mergeCell ref="A42:C42"/>
    <mergeCell ref="A51:C51"/>
  </mergeCells>
  <hyperlinks>
    <hyperlink r:id="rId1" ref="B9"/>
  </hyperlinks>
  <drawing r:id="rId2"/>
</worksheet>
</file>

<file path=xl/worksheets/sheet6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2" max="2" width="87.63"/>
    <col customWidth="1" min="3" max="3" width="20.13"/>
  </cols>
  <sheetData>
    <row r="1">
      <c r="A1" s="34" t="s">
        <v>742</v>
      </c>
    </row>
    <row r="2">
      <c r="A2" s="35"/>
      <c r="B2" s="35"/>
      <c r="C2" s="35"/>
    </row>
    <row r="3">
      <c r="A3" s="36" t="s">
        <v>743</v>
      </c>
      <c r="B3" s="37" t="s">
        <v>744</v>
      </c>
      <c r="C3" s="38"/>
    </row>
    <row r="4">
      <c r="A4" s="39" t="s">
        <v>6</v>
      </c>
      <c r="B4" s="40" t="s">
        <v>289</v>
      </c>
      <c r="C4" s="41"/>
    </row>
    <row r="5">
      <c r="A5" s="39" t="s">
        <v>745</v>
      </c>
      <c r="B5" s="42">
        <v>46146.0</v>
      </c>
      <c r="C5" s="41"/>
    </row>
    <row r="6">
      <c r="A6" s="39" t="s">
        <v>0</v>
      </c>
      <c r="B6" s="40" t="s">
        <v>249</v>
      </c>
      <c r="C6" s="41"/>
    </row>
    <row r="7">
      <c r="A7" s="39" t="s">
        <v>7</v>
      </c>
      <c r="B7" s="40" t="s">
        <v>80</v>
      </c>
      <c r="C7" s="41"/>
    </row>
    <row r="8">
      <c r="A8" s="39" t="s">
        <v>746</v>
      </c>
      <c r="B8" s="40">
        <v>1.0</v>
      </c>
      <c r="C8" s="41"/>
    </row>
    <row r="9">
      <c r="A9" s="43" t="s">
        <v>8</v>
      </c>
      <c r="B9" s="44" t="s">
        <v>290</v>
      </c>
      <c r="C9" s="45"/>
    </row>
    <row r="10">
      <c r="A10" s="35"/>
      <c r="B10" s="35"/>
      <c r="C10" s="35"/>
    </row>
    <row r="11">
      <c r="A11" s="34" t="s">
        <v>747</v>
      </c>
    </row>
    <row r="12">
      <c r="A12" s="35"/>
      <c r="B12" s="35"/>
      <c r="C12" s="35"/>
    </row>
    <row r="13">
      <c r="A13" s="46" t="s">
        <v>2486</v>
      </c>
    </row>
    <row r="14">
      <c r="A14" s="35"/>
      <c r="B14" s="35"/>
      <c r="C14" s="35"/>
    </row>
    <row r="15">
      <c r="A15" s="34" t="s">
        <v>748</v>
      </c>
    </row>
    <row r="16">
      <c r="A16" s="35"/>
      <c r="B16" s="35"/>
      <c r="C16" s="35"/>
    </row>
    <row r="17">
      <c r="A17" s="36" t="s">
        <v>749</v>
      </c>
      <c r="B17" s="37" t="s">
        <v>750</v>
      </c>
      <c r="C17" s="47" t="s">
        <v>751</v>
      </c>
    </row>
    <row r="18">
      <c r="A18" s="39">
        <v>1.0</v>
      </c>
      <c r="B18" s="40" t="s">
        <v>2487</v>
      </c>
      <c r="C18" s="48" t="s">
        <v>753</v>
      </c>
    </row>
    <row r="19">
      <c r="A19" s="39">
        <v>2.0</v>
      </c>
      <c r="B19" s="40" t="s">
        <v>2488</v>
      </c>
      <c r="C19" s="48" t="s">
        <v>753</v>
      </c>
    </row>
    <row r="20">
      <c r="A20" s="39">
        <v>3.0</v>
      </c>
      <c r="B20" s="40" t="s">
        <v>2489</v>
      </c>
      <c r="C20" s="48" t="s">
        <v>753</v>
      </c>
    </row>
    <row r="21">
      <c r="A21" s="39">
        <v>4.0</v>
      </c>
      <c r="B21" s="40" t="s">
        <v>2490</v>
      </c>
      <c r="C21" s="48" t="s">
        <v>753</v>
      </c>
    </row>
    <row r="22">
      <c r="A22" s="39">
        <v>5.0</v>
      </c>
      <c r="B22" s="40" t="s">
        <v>2491</v>
      </c>
      <c r="C22" s="48" t="s">
        <v>753</v>
      </c>
    </row>
    <row r="23">
      <c r="A23" s="39">
        <v>6.0</v>
      </c>
      <c r="B23" s="40" t="s">
        <v>2492</v>
      </c>
      <c r="C23" s="48" t="s">
        <v>753</v>
      </c>
    </row>
    <row r="24">
      <c r="A24" s="39">
        <v>7.0</v>
      </c>
      <c r="B24" s="40" t="s">
        <v>2493</v>
      </c>
      <c r="C24" s="48" t="s">
        <v>753</v>
      </c>
    </row>
    <row r="25">
      <c r="A25" s="39">
        <v>8.0</v>
      </c>
      <c r="B25" s="40" t="s">
        <v>2494</v>
      </c>
      <c r="C25" s="48" t="s">
        <v>753</v>
      </c>
    </row>
    <row r="26">
      <c r="A26" s="39">
        <v>9.0</v>
      </c>
      <c r="B26" s="40" t="s">
        <v>2495</v>
      </c>
      <c r="C26" s="48" t="s">
        <v>753</v>
      </c>
    </row>
    <row r="27">
      <c r="A27" s="39">
        <v>10.0</v>
      </c>
      <c r="B27" s="40" t="s">
        <v>2496</v>
      </c>
      <c r="C27" s="48" t="s">
        <v>753</v>
      </c>
    </row>
    <row r="28">
      <c r="A28" s="39">
        <v>11.0</v>
      </c>
      <c r="B28" s="40" t="s">
        <v>2497</v>
      </c>
      <c r="C28" s="48" t="s">
        <v>753</v>
      </c>
    </row>
    <row r="29">
      <c r="A29" s="39">
        <v>12.0</v>
      </c>
      <c r="B29" s="40" t="s">
        <v>2498</v>
      </c>
      <c r="C29" s="48" t="s">
        <v>753</v>
      </c>
    </row>
    <row r="30">
      <c r="A30" s="39">
        <v>13.0</v>
      </c>
      <c r="B30" s="40" t="s">
        <v>2499</v>
      </c>
      <c r="C30" s="48" t="s">
        <v>753</v>
      </c>
    </row>
    <row r="31">
      <c r="A31" s="39">
        <v>14.0</v>
      </c>
      <c r="B31" s="40" t="s">
        <v>2500</v>
      </c>
      <c r="C31" s="48" t="s">
        <v>753</v>
      </c>
    </row>
    <row r="32">
      <c r="A32" s="39">
        <v>15.0</v>
      </c>
      <c r="B32" s="40" t="s">
        <v>2501</v>
      </c>
      <c r="C32" s="48" t="s">
        <v>753</v>
      </c>
    </row>
    <row r="33">
      <c r="A33" s="39">
        <v>16.0</v>
      </c>
      <c r="B33" s="40" t="s">
        <v>2502</v>
      </c>
      <c r="C33" s="48" t="s">
        <v>753</v>
      </c>
    </row>
    <row r="34">
      <c r="A34" s="39">
        <v>17.0</v>
      </c>
      <c r="B34" s="40" t="s">
        <v>2503</v>
      </c>
      <c r="C34" s="48" t="s">
        <v>753</v>
      </c>
    </row>
    <row r="35">
      <c r="A35" s="39">
        <v>18.0</v>
      </c>
      <c r="B35" s="40" t="s">
        <v>2504</v>
      </c>
      <c r="C35" s="48" t="s">
        <v>753</v>
      </c>
    </row>
    <row r="36">
      <c r="A36" s="43">
        <v>19.0</v>
      </c>
      <c r="B36" s="49" t="s">
        <v>2505</v>
      </c>
      <c r="C36" s="50" t="s">
        <v>753</v>
      </c>
    </row>
    <row r="37">
      <c r="A37" s="35"/>
      <c r="B37" s="35"/>
      <c r="C37" s="35"/>
    </row>
    <row r="38">
      <c r="A38" s="34" t="s">
        <v>756</v>
      </c>
    </row>
    <row r="39">
      <c r="A39" s="35"/>
      <c r="B39" s="35"/>
      <c r="C39" s="35"/>
    </row>
    <row r="40">
      <c r="A40" s="36" t="s">
        <v>749</v>
      </c>
      <c r="B40" s="37" t="s">
        <v>757</v>
      </c>
      <c r="C40" s="38"/>
    </row>
    <row r="41">
      <c r="A41" s="39">
        <v>1.0</v>
      </c>
      <c r="B41" s="40" t="s">
        <v>2506</v>
      </c>
      <c r="C41" s="41"/>
    </row>
    <row r="42">
      <c r="A42" s="39">
        <v>2.0</v>
      </c>
      <c r="B42" s="40" t="s">
        <v>2507</v>
      </c>
      <c r="C42" s="41"/>
    </row>
    <row r="43">
      <c r="A43" s="43">
        <v>3.0</v>
      </c>
      <c r="B43" s="49" t="s">
        <v>2508</v>
      </c>
      <c r="C43" s="45"/>
    </row>
    <row r="44">
      <c r="A44" s="35"/>
      <c r="B44" s="35"/>
      <c r="C44" s="35"/>
    </row>
    <row r="45">
      <c r="A45" s="34" t="s">
        <v>760</v>
      </c>
    </row>
    <row r="46">
      <c r="A46" s="35"/>
      <c r="B46" s="35"/>
      <c r="C46" s="35"/>
    </row>
    <row r="47">
      <c r="A47" s="36" t="s">
        <v>749</v>
      </c>
      <c r="B47" s="37" t="s">
        <v>757</v>
      </c>
      <c r="C47" s="38"/>
    </row>
    <row r="48">
      <c r="A48" s="39">
        <v>1.0</v>
      </c>
      <c r="B48" s="40" t="s">
        <v>2509</v>
      </c>
      <c r="C48" s="41"/>
    </row>
    <row r="49">
      <c r="A49" s="39">
        <v>2.0</v>
      </c>
      <c r="B49" s="40" t="s">
        <v>2510</v>
      </c>
      <c r="C49" s="41"/>
    </row>
    <row r="50">
      <c r="A50" s="43">
        <v>3.0</v>
      </c>
      <c r="B50" s="49" t="s">
        <v>2511</v>
      </c>
      <c r="C50" s="45"/>
    </row>
    <row r="51">
      <c r="A51" s="35"/>
      <c r="B51" s="35"/>
      <c r="C51" s="35"/>
    </row>
    <row r="52">
      <c r="A52" s="34" t="s">
        <v>763</v>
      </c>
    </row>
    <row r="53">
      <c r="A53" s="35"/>
      <c r="B53" s="35"/>
      <c r="C53" s="35"/>
    </row>
    <row r="54">
      <c r="A54" s="36" t="s">
        <v>749</v>
      </c>
      <c r="B54" s="37" t="s">
        <v>757</v>
      </c>
      <c r="C54" s="38"/>
    </row>
    <row r="55">
      <c r="A55" s="39">
        <v>1.0</v>
      </c>
      <c r="B55" s="40" t="s">
        <v>2512</v>
      </c>
      <c r="C55" s="41"/>
    </row>
    <row r="56">
      <c r="A56" s="39">
        <v>2.0</v>
      </c>
      <c r="B56" s="40" t="s">
        <v>2513</v>
      </c>
      <c r="C56" s="41"/>
    </row>
    <row r="57">
      <c r="A57" s="39">
        <v>3.0</v>
      </c>
      <c r="B57" s="40" t="s">
        <v>2514</v>
      </c>
      <c r="C57" s="41"/>
    </row>
    <row r="58">
      <c r="A58" s="39">
        <v>4.0</v>
      </c>
      <c r="B58" s="40" t="s">
        <v>2515</v>
      </c>
      <c r="C58" s="41"/>
    </row>
    <row r="59">
      <c r="A59" s="39">
        <v>5.0</v>
      </c>
      <c r="B59" s="40" t="s">
        <v>2516</v>
      </c>
      <c r="C59" s="41"/>
    </row>
    <row r="60">
      <c r="A60" s="39">
        <v>6.0</v>
      </c>
      <c r="B60" s="40" t="s">
        <v>2517</v>
      </c>
      <c r="C60" s="41"/>
    </row>
    <row r="61">
      <c r="A61" s="43">
        <v>7.0</v>
      </c>
      <c r="B61" s="49" t="s">
        <v>2518</v>
      </c>
      <c r="C61" s="45"/>
    </row>
  </sheetData>
  <mergeCells count="7">
    <mergeCell ref="A1:C1"/>
    <mergeCell ref="A11:C11"/>
    <mergeCell ref="A13:C13"/>
    <mergeCell ref="A15:C15"/>
    <mergeCell ref="A38:C38"/>
    <mergeCell ref="A45:C45"/>
    <mergeCell ref="A52:C52"/>
  </mergeCells>
  <hyperlinks>
    <hyperlink r:id="rId1" ref="B9"/>
  </hyperlinks>
  <drawing r:id="rId2"/>
</worksheet>
</file>

<file path=xl/worksheets/sheet6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2" max="2" width="87.63"/>
    <col customWidth="1" min="3" max="3" width="20.13"/>
  </cols>
  <sheetData>
    <row r="1">
      <c r="A1" s="34" t="s">
        <v>742</v>
      </c>
    </row>
    <row r="2">
      <c r="A2" s="35"/>
      <c r="B2" s="35"/>
      <c r="C2" s="35"/>
    </row>
    <row r="3">
      <c r="A3" s="36" t="s">
        <v>743</v>
      </c>
      <c r="B3" s="37" t="s">
        <v>744</v>
      </c>
      <c r="C3" s="38"/>
    </row>
    <row r="4">
      <c r="A4" s="39" t="s">
        <v>6</v>
      </c>
      <c r="B4" s="40" t="s">
        <v>293</v>
      </c>
      <c r="C4" s="41"/>
    </row>
    <row r="5">
      <c r="A5" s="39" t="s">
        <v>745</v>
      </c>
      <c r="B5" s="42">
        <v>46150.0</v>
      </c>
      <c r="C5" s="41"/>
    </row>
    <row r="6">
      <c r="A6" s="39" t="s">
        <v>0</v>
      </c>
      <c r="B6" s="40" t="s">
        <v>249</v>
      </c>
      <c r="C6" s="41"/>
    </row>
    <row r="7">
      <c r="A7" s="39" t="s">
        <v>7</v>
      </c>
      <c r="B7" s="40" t="s">
        <v>139</v>
      </c>
      <c r="C7" s="41"/>
    </row>
    <row r="8">
      <c r="A8" s="39" t="s">
        <v>746</v>
      </c>
      <c r="B8" s="40">
        <v>3.0</v>
      </c>
      <c r="C8" s="41"/>
    </row>
    <row r="9">
      <c r="A9" s="43" t="s">
        <v>8</v>
      </c>
      <c r="B9" s="44" t="s">
        <v>294</v>
      </c>
      <c r="C9" s="45"/>
    </row>
    <row r="10">
      <c r="A10" s="35"/>
      <c r="B10" s="35"/>
      <c r="C10" s="35"/>
    </row>
    <row r="11">
      <c r="A11" s="34" t="s">
        <v>747</v>
      </c>
    </row>
    <row r="12">
      <c r="A12" s="35"/>
      <c r="B12" s="35"/>
      <c r="C12" s="35"/>
    </row>
    <row r="13">
      <c r="A13" s="46" t="s">
        <v>295</v>
      </c>
    </row>
    <row r="14">
      <c r="A14" s="35"/>
      <c r="B14" s="35"/>
      <c r="C14" s="35"/>
    </row>
    <row r="15">
      <c r="A15" s="34" t="s">
        <v>748</v>
      </c>
    </row>
    <row r="16">
      <c r="A16" s="35"/>
      <c r="B16" s="35"/>
      <c r="C16" s="35"/>
    </row>
    <row r="17">
      <c r="A17" s="36" t="s">
        <v>749</v>
      </c>
      <c r="B17" s="37" t="s">
        <v>750</v>
      </c>
      <c r="C17" s="47" t="s">
        <v>751</v>
      </c>
    </row>
    <row r="18">
      <c r="A18" s="39">
        <v>1.0</v>
      </c>
      <c r="B18" s="40" t="s">
        <v>2519</v>
      </c>
      <c r="C18" s="48" t="s">
        <v>753</v>
      </c>
    </row>
    <row r="19">
      <c r="A19" s="39">
        <v>2.0</v>
      </c>
      <c r="B19" s="40" t="s">
        <v>2520</v>
      </c>
      <c r="C19" s="48" t="s">
        <v>753</v>
      </c>
    </row>
    <row r="20">
      <c r="A20" s="39">
        <v>3.0</v>
      </c>
      <c r="B20" s="40" t="s">
        <v>2521</v>
      </c>
      <c r="C20" s="48" t="s">
        <v>753</v>
      </c>
    </row>
    <row r="21">
      <c r="A21" s="39">
        <v>4.0</v>
      </c>
      <c r="B21" s="40" t="s">
        <v>2522</v>
      </c>
      <c r="C21" s="48" t="s">
        <v>753</v>
      </c>
    </row>
    <row r="22">
      <c r="A22" s="39">
        <v>5.0</v>
      </c>
      <c r="B22" s="40" t="s">
        <v>2523</v>
      </c>
      <c r="C22" s="48" t="s">
        <v>753</v>
      </c>
    </row>
    <row r="23">
      <c r="A23" s="39">
        <v>6.0</v>
      </c>
      <c r="B23" s="40" t="s">
        <v>2524</v>
      </c>
      <c r="C23" s="48" t="s">
        <v>753</v>
      </c>
    </row>
    <row r="24">
      <c r="A24" s="39">
        <v>7.0</v>
      </c>
      <c r="B24" s="40" t="s">
        <v>2525</v>
      </c>
      <c r="C24" s="48" t="s">
        <v>2526</v>
      </c>
    </row>
    <row r="25">
      <c r="A25" s="39">
        <v>8.0</v>
      </c>
      <c r="B25" s="40" t="s">
        <v>2527</v>
      </c>
      <c r="C25" s="75">
        <v>46150.0</v>
      </c>
    </row>
    <row r="26">
      <c r="A26" s="39">
        <v>9.0</v>
      </c>
      <c r="B26" s="40" t="s">
        <v>2528</v>
      </c>
      <c r="C26" s="48" t="s">
        <v>753</v>
      </c>
    </row>
    <row r="27">
      <c r="A27" s="39">
        <v>10.0</v>
      </c>
      <c r="B27" s="40" t="s">
        <v>2529</v>
      </c>
      <c r="C27" s="48" t="s">
        <v>753</v>
      </c>
    </row>
    <row r="28">
      <c r="A28" s="39">
        <v>11.0</v>
      </c>
      <c r="B28" s="40" t="s">
        <v>2530</v>
      </c>
      <c r="C28" s="75">
        <v>46152.0</v>
      </c>
    </row>
    <row r="29">
      <c r="A29" s="43">
        <v>12.0</v>
      </c>
      <c r="B29" s="49" t="s">
        <v>2531</v>
      </c>
      <c r="C29" s="50" t="s">
        <v>753</v>
      </c>
    </row>
    <row r="30">
      <c r="A30" s="35"/>
      <c r="B30" s="35"/>
      <c r="C30" s="35"/>
    </row>
    <row r="31">
      <c r="A31" s="34" t="s">
        <v>756</v>
      </c>
    </row>
    <row r="32">
      <c r="A32" s="35"/>
      <c r="B32" s="35"/>
      <c r="C32" s="35"/>
    </row>
    <row r="33">
      <c r="A33" s="36" t="s">
        <v>749</v>
      </c>
      <c r="B33" s="37" t="s">
        <v>757</v>
      </c>
      <c r="C33" s="38"/>
    </row>
    <row r="34">
      <c r="A34" s="39">
        <v>1.0</v>
      </c>
      <c r="B34" s="40" t="s">
        <v>2532</v>
      </c>
      <c r="C34" s="41"/>
    </row>
    <row r="35">
      <c r="A35" s="39">
        <v>2.0</v>
      </c>
      <c r="B35" s="40" t="s">
        <v>2533</v>
      </c>
      <c r="C35" s="41"/>
    </row>
    <row r="36">
      <c r="A36" s="39">
        <v>3.0</v>
      </c>
      <c r="B36" s="40" t="s">
        <v>2534</v>
      </c>
      <c r="C36" s="41"/>
    </row>
    <row r="37">
      <c r="A37" s="39">
        <v>4.0</v>
      </c>
      <c r="B37" s="40" t="s">
        <v>2535</v>
      </c>
      <c r="C37" s="41"/>
    </row>
    <row r="38">
      <c r="A38" s="39">
        <v>5.0</v>
      </c>
      <c r="B38" s="40" t="s">
        <v>2536</v>
      </c>
      <c r="C38" s="41"/>
    </row>
    <row r="39">
      <c r="A39" s="39">
        <v>6.0</v>
      </c>
      <c r="B39" s="40" t="s">
        <v>2537</v>
      </c>
      <c r="C39" s="41"/>
    </row>
    <row r="40">
      <c r="A40" s="39">
        <v>7.0</v>
      </c>
      <c r="B40" s="40" t="s">
        <v>2538</v>
      </c>
      <c r="C40" s="41"/>
    </row>
    <row r="41">
      <c r="A41" s="43">
        <v>8.0</v>
      </c>
      <c r="B41" s="49" t="s">
        <v>2531</v>
      </c>
      <c r="C41" s="45"/>
    </row>
    <row r="42">
      <c r="A42" s="35"/>
      <c r="B42" s="35"/>
      <c r="C42" s="35"/>
    </row>
    <row r="43">
      <c r="A43" s="34" t="s">
        <v>760</v>
      </c>
    </row>
    <row r="44">
      <c r="A44" s="35"/>
      <c r="B44" s="35"/>
      <c r="C44" s="35"/>
    </row>
    <row r="45">
      <c r="A45" s="36" t="s">
        <v>749</v>
      </c>
      <c r="B45" s="37" t="s">
        <v>757</v>
      </c>
      <c r="C45" s="38"/>
    </row>
    <row r="46">
      <c r="A46" s="39">
        <v>1.0</v>
      </c>
      <c r="B46" s="40" t="s">
        <v>2539</v>
      </c>
      <c r="C46" s="41"/>
    </row>
    <row r="47">
      <c r="A47" s="39">
        <v>2.0</v>
      </c>
      <c r="B47" s="40" t="s">
        <v>2540</v>
      </c>
      <c r="C47" s="41"/>
    </row>
    <row r="48">
      <c r="A48" s="39">
        <v>3.0</v>
      </c>
      <c r="B48" s="40" t="s">
        <v>2541</v>
      </c>
      <c r="C48" s="41"/>
    </row>
    <row r="49">
      <c r="A49" s="39">
        <v>4.0</v>
      </c>
      <c r="B49" s="40" t="s">
        <v>2542</v>
      </c>
      <c r="C49" s="41"/>
    </row>
    <row r="50">
      <c r="A50" s="39">
        <v>5.0</v>
      </c>
      <c r="B50" s="40" t="s">
        <v>2543</v>
      </c>
      <c r="C50" s="41"/>
    </row>
    <row r="51">
      <c r="A51" s="43">
        <v>6.0</v>
      </c>
      <c r="B51" s="49" t="s">
        <v>2531</v>
      </c>
      <c r="C51" s="45"/>
    </row>
    <row r="52">
      <c r="A52" s="35"/>
      <c r="B52" s="35"/>
      <c r="C52" s="35"/>
    </row>
    <row r="53">
      <c r="A53" s="34" t="s">
        <v>763</v>
      </c>
    </row>
    <row r="54">
      <c r="A54" s="35"/>
      <c r="B54" s="35"/>
      <c r="C54" s="35"/>
    </row>
    <row r="55">
      <c r="A55" s="36" t="s">
        <v>749</v>
      </c>
      <c r="B55" s="37" t="s">
        <v>757</v>
      </c>
      <c r="C55" s="38"/>
    </row>
    <row r="56">
      <c r="A56" s="39">
        <v>1.0</v>
      </c>
      <c r="B56" s="40" t="s">
        <v>2544</v>
      </c>
      <c r="C56" s="41"/>
    </row>
    <row r="57">
      <c r="A57" s="39">
        <v>2.0</v>
      </c>
      <c r="B57" s="40" t="s">
        <v>2545</v>
      </c>
      <c r="C57" s="41"/>
    </row>
    <row r="58">
      <c r="A58" s="39">
        <v>3.0</v>
      </c>
      <c r="B58" s="40" t="s">
        <v>2546</v>
      </c>
      <c r="C58" s="41"/>
    </row>
    <row r="59">
      <c r="A59" s="39">
        <v>4.0</v>
      </c>
      <c r="B59" s="40" t="s">
        <v>2547</v>
      </c>
      <c r="C59" s="41"/>
    </row>
    <row r="60">
      <c r="A60" s="39">
        <v>5.0</v>
      </c>
      <c r="B60" s="40" t="s">
        <v>2548</v>
      </c>
      <c r="C60" s="41"/>
    </row>
    <row r="61">
      <c r="A61" s="39">
        <v>6.0</v>
      </c>
      <c r="B61" s="40" t="s">
        <v>2549</v>
      </c>
      <c r="C61" s="41"/>
    </row>
    <row r="62">
      <c r="A62" s="39">
        <v>7.0</v>
      </c>
      <c r="B62" s="40" t="s">
        <v>2550</v>
      </c>
      <c r="C62" s="41"/>
    </row>
    <row r="63">
      <c r="A63" s="39">
        <v>8.0</v>
      </c>
      <c r="B63" s="40" t="s">
        <v>2551</v>
      </c>
      <c r="C63" s="41"/>
    </row>
    <row r="64">
      <c r="A64" s="43">
        <v>9.0</v>
      </c>
      <c r="B64" s="49" t="s">
        <v>2552</v>
      </c>
      <c r="C64" s="45"/>
    </row>
  </sheetData>
  <mergeCells count="7">
    <mergeCell ref="A1:C1"/>
    <mergeCell ref="A11:C11"/>
    <mergeCell ref="A13:C13"/>
    <mergeCell ref="A15:C15"/>
    <mergeCell ref="A31:C31"/>
    <mergeCell ref="A43:C43"/>
    <mergeCell ref="A53:C53"/>
  </mergeCells>
  <hyperlinks>
    <hyperlink r:id="rId1" ref="B9"/>
  </hyperlinks>
  <drawing r:id="rId2"/>
</worksheet>
</file>

<file path=xl/worksheets/sheet6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2" max="2" width="87.63"/>
    <col customWidth="1" min="3" max="3" width="20.13"/>
  </cols>
  <sheetData>
    <row r="1">
      <c r="A1" s="34" t="s">
        <v>742</v>
      </c>
    </row>
    <row r="2">
      <c r="A2" s="35"/>
      <c r="B2" s="35"/>
      <c r="C2" s="35"/>
    </row>
    <row r="3">
      <c r="A3" s="36" t="s">
        <v>743</v>
      </c>
      <c r="B3" s="37" t="s">
        <v>744</v>
      </c>
      <c r="C3" s="38"/>
    </row>
    <row r="4">
      <c r="A4" s="39" t="s">
        <v>6</v>
      </c>
      <c r="B4" s="40" t="s">
        <v>297</v>
      </c>
      <c r="C4" s="41"/>
    </row>
    <row r="5">
      <c r="A5" s="39" t="s">
        <v>745</v>
      </c>
      <c r="B5" s="42">
        <v>46146.0</v>
      </c>
      <c r="C5" s="41"/>
    </row>
    <row r="6">
      <c r="A6" s="39" t="s">
        <v>0</v>
      </c>
      <c r="B6" s="40" t="s">
        <v>249</v>
      </c>
      <c r="C6" s="41"/>
    </row>
    <row r="7">
      <c r="A7" s="39" t="s">
        <v>7</v>
      </c>
      <c r="B7" s="40" t="s">
        <v>251</v>
      </c>
      <c r="C7" s="41"/>
    </row>
    <row r="8">
      <c r="A8" s="39" t="s">
        <v>746</v>
      </c>
      <c r="B8" s="40">
        <v>5.0</v>
      </c>
      <c r="C8" s="41"/>
    </row>
    <row r="9">
      <c r="A9" s="43" t="s">
        <v>8</v>
      </c>
      <c r="B9" s="44" t="s">
        <v>298</v>
      </c>
      <c r="C9" s="45"/>
    </row>
    <row r="10">
      <c r="A10" s="35"/>
      <c r="B10" s="35"/>
      <c r="C10" s="35"/>
    </row>
    <row r="11">
      <c r="A11" s="34" t="s">
        <v>747</v>
      </c>
    </row>
    <row r="12">
      <c r="A12" s="35"/>
      <c r="B12" s="35"/>
      <c r="C12" s="35"/>
    </row>
    <row r="13">
      <c r="A13" s="46" t="s">
        <v>299</v>
      </c>
    </row>
    <row r="14">
      <c r="A14" s="35"/>
      <c r="B14" s="35"/>
      <c r="C14" s="35"/>
    </row>
    <row r="15">
      <c r="A15" s="34" t="s">
        <v>748</v>
      </c>
    </row>
    <row r="16">
      <c r="A16" s="35"/>
      <c r="B16" s="35"/>
      <c r="C16" s="35"/>
    </row>
    <row r="17">
      <c r="A17" s="36" t="s">
        <v>749</v>
      </c>
      <c r="B17" s="37" t="s">
        <v>750</v>
      </c>
      <c r="C17" s="47" t="s">
        <v>751</v>
      </c>
    </row>
    <row r="18">
      <c r="A18" s="39">
        <v>1.0</v>
      </c>
      <c r="B18" s="40" t="s">
        <v>2553</v>
      </c>
      <c r="C18" s="48" t="s">
        <v>753</v>
      </c>
    </row>
    <row r="19">
      <c r="A19" s="39">
        <v>2.0</v>
      </c>
      <c r="B19" s="40" t="s">
        <v>2554</v>
      </c>
      <c r="C19" s="48" t="s">
        <v>753</v>
      </c>
    </row>
    <row r="20">
      <c r="A20" s="39">
        <v>3.0</v>
      </c>
      <c r="B20" s="40" t="s">
        <v>2555</v>
      </c>
      <c r="C20" s="48" t="s">
        <v>753</v>
      </c>
    </row>
    <row r="21">
      <c r="A21" s="39">
        <v>4.0</v>
      </c>
      <c r="B21" s="40" t="s">
        <v>2556</v>
      </c>
      <c r="C21" s="48" t="s">
        <v>753</v>
      </c>
    </row>
    <row r="22">
      <c r="A22" s="39">
        <v>5.0</v>
      </c>
      <c r="B22" s="40" t="s">
        <v>2557</v>
      </c>
      <c r="C22" s="48" t="s">
        <v>753</v>
      </c>
    </row>
    <row r="23">
      <c r="A23" s="39">
        <v>6.0</v>
      </c>
      <c r="B23" s="40" t="s">
        <v>2558</v>
      </c>
      <c r="C23" s="48" t="s">
        <v>753</v>
      </c>
    </row>
    <row r="24">
      <c r="A24" s="39">
        <v>7.0</v>
      </c>
      <c r="B24" s="40" t="s">
        <v>2559</v>
      </c>
      <c r="C24" s="48" t="s">
        <v>753</v>
      </c>
    </row>
    <row r="25">
      <c r="A25" s="39">
        <v>8.0</v>
      </c>
      <c r="B25" s="40" t="s">
        <v>2560</v>
      </c>
      <c r="C25" s="48" t="s">
        <v>753</v>
      </c>
    </row>
    <row r="26">
      <c r="A26" s="39">
        <v>9.0</v>
      </c>
      <c r="B26" s="40" t="s">
        <v>2561</v>
      </c>
      <c r="C26" s="48" t="s">
        <v>753</v>
      </c>
    </row>
    <row r="27">
      <c r="A27" s="39">
        <v>10.0</v>
      </c>
      <c r="B27" s="40" t="s">
        <v>2562</v>
      </c>
      <c r="C27" s="48" t="s">
        <v>753</v>
      </c>
    </row>
    <row r="28">
      <c r="A28" s="43">
        <v>11.0</v>
      </c>
      <c r="B28" s="49" t="s">
        <v>2563</v>
      </c>
      <c r="C28" s="50" t="s">
        <v>753</v>
      </c>
    </row>
    <row r="29">
      <c r="A29" s="35"/>
      <c r="B29" s="35"/>
      <c r="C29" s="35"/>
    </row>
    <row r="30">
      <c r="A30" s="34" t="s">
        <v>756</v>
      </c>
    </row>
    <row r="31">
      <c r="A31" s="35"/>
      <c r="B31" s="35"/>
      <c r="C31" s="35"/>
    </row>
    <row r="32">
      <c r="A32" s="36" t="s">
        <v>749</v>
      </c>
      <c r="B32" s="37" t="s">
        <v>757</v>
      </c>
      <c r="C32" s="38"/>
    </row>
    <row r="33">
      <c r="A33" s="39">
        <v>1.0</v>
      </c>
      <c r="B33" s="40" t="s">
        <v>2564</v>
      </c>
      <c r="C33" s="41"/>
    </row>
    <row r="34">
      <c r="A34" s="39">
        <v>2.0</v>
      </c>
      <c r="B34" s="40" t="s">
        <v>2565</v>
      </c>
      <c r="C34" s="41"/>
    </row>
    <row r="35">
      <c r="A35" s="39">
        <v>3.0</v>
      </c>
      <c r="B35" s="40" t="s">
        <v>2566</v>
      </c>
      <c r="C35" s="41"/>
    </row>
    <row r="36">
      <c r="A36" s="39">
        <v>4.0</v>
      </c>
      <c r="B36" s="40" t="s">
        <v>2567</v>
      </c>
      <c r="C36" s="41"/>
    </row>
    <row r="37">
      <c r="A37" s="43">
        <v>5.0</v>
      </c>
      <c r="B37" s="49" t="s">
        <v>2568</v>
      </c>
      <c r="C37" s="45"/>
    </row>
    <row r="38">
      <c r="A38" s="35"/>
      <c r="B38" s="35"/>
      <c r="C38" s="35"/>
    </row>
    <row r="39">
      <c r="A39" s="34" t="s">
        <v>760</v>
      </c>
    </row>
    <row r="40">
      <c r="A40" s="35"/>
      <c r="B40" s="35"/>
      <c r="C40" s="35"/>
    </row>
    <row r="41">
      <c r="A41" s="36" t="s">
        <v>749</v>
      </c>
      <c r="B41" s="37" t="s">
        <v>757</v>
      </c>
      <c r="C41" s="38"/>
    </row>
    <row r="42">
      <c r="A42" s="39">
        <v>1.0</v>
      </c>
      <c r="B42" s="40" t="s">
        <v>2569</v>
      </c>
      <c r="C42" s="41"/>
    </row>
    <row r="43">
      <c r="A43" s="39">
        <v>2.0</v>
      </c>
      <c r="B43" s="40" t="s">
        <v>2570</v>
      </c>
      <c r="C43" s="41"/>
    </row>
    <row r="44">
      <c r="A44" s="39">
        <v>3.0</v>
      </c>
      <c r="B44" s="40" t="s">
        <v>2571</v>
      </c>
      <c r="C44" s="41"/>
    </row>
    <row r="45">
      <c r="A45" s="43">
        <v>4.0</v>
      </c>
      <c r="B45" s="49" t="s">
        <v>2572</v>
      </c>
      <c r="C45" s="45"/>
    </row>
    <row r="46">
      <c r="A46" s="35"/>
      <c r="B46" s="35"/>
      <c r="C46" s="35"/>
    </row>
    <row r="47">
      <c r="A47" s="34" t="s">
        <v>763</v>
      </c>
    </row>
    <row r="48">
      <c r="A48" s="35"/>
      <c r="B48" s="35"/>
      <c r="C48" s="35"/>
    </row>
    <row r="49">
      <c r="A49" s="36" t="s">
        <v>749</v>
      </c>
      <c r="B49" s="37" t="s">
        <v>757</v>
      </c>
      <c r="C49" s="38"/>
    </row>
    <row r="50">
      <c r="A50" s="39">
        <v>1.0</v>
      </c>
      <c r="B50" s="40" t="s">
        <v>2573</v>
      </c>
      <c r="C50" s="41"/>
    </row>
    <row r="51">
      <c r="A51" s="39">
        <v>2.0</v>
      </c>
      <c r="B51" s="40" t="s">
        <v>2574</v>
      </c>
      <c r="C51" s="41"/>
    </row>
    <row r="52">
      <c r="A52" s="39">
        <v>3.0</v>
      </c>
      <c r="B52" s="40" t="s">
        <v>2575</v>
      </c>
      <c r="C52" s="41"/>
    </row>
    <row r="53">
      <c r="A53" s="39">
        <v>4.0</v>
      </c>
      <c r="B53" s="40" t="s">
        <v>2576</v>
      </c>
      <c r="C53" s="41"/>
    </row>
    <row r="54">
      <c r="A54" s="39">
        <v>5.0</v>
      </c>
      <c r="B54" s="40" t="s">
        <v>2577</v>
      </c>
      <c r="C54" s="41"/>
    </row>
    <row r="55">
      <c r="A55" s="39">
        <v>6.0</v>
      </c>
      <c r="B55" s="40" t="s">
        <v>2578</v>
      </c>
      <c r="C55" s="41"/>
    </row>
    <row r="56">
      <c r="A56" s="39">
        <v>7.0</v>
      </c>
      <c r="B56" s="40" t="s">
        <v>2579</v>
      </c>
      <c r="C56" s="41"/>
    </row>
    <row r="57">
      <c r="A57" s="39">
        <v>8.0</v>
      </c>
      <c r="B57" s="40" t="s">
        <v>2580</v>
      </c>
      <c r="C57" s="41"/>
    </row>
    <row r="58">
      <c r="A58" s="39">
        <v>9.0</v>
      </c>
      <c r="B58" s="40" t="s">
        <v>2581</v>
      </c>
      <c r="C58" s="41"/>
    </row>
    <row r="59">
      <c r="A59" s="39">
        <v>10.0</v>
      </c>
      <c r="B59" s="40" t="s">
        <v>899</v>
      </c>
      <c r="C59" s="41"/>
    </row>
    <row r="60">
      <c r="A60" s="43">
        <v>11.0</v>
      </c>
      <c r="B60" s="49" t="s">
        <v>2582</v>
      </c>
      <c r="C60" s="45"/>
    </row>
  </sheetData>
  <mergeCells count="7">
    <mergeCell ref="A1:C1"/>
    <mergeCell ref="A11:C11"/>
    <mergeCell ref="A13:C13"/>
    <mergeCell ref="A15:C15"/>
    <mergeCell ref="A30:C30"/>
    <mergeCell ref="A39:C39"/>
    <mergeCell ref="A47:C47"/>
  </mergeCells>
  <hyperlinks>
    <hyperlink r:id="rId1" ref="B9"/>
  </hyperlinks>
  <drawing r:id="rId2"/>
</worksheet>
</file>

<file path=xl/worksheets/sheet6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2" max="2" width="87.63"/>
    <col customWidth="1" min="3" max="3" width="20.13"/>
  </cols>
  <sheetData>
    <row r="1">
      <c r="A1" s="34" t="s">
        <v>742</v>
      </c>
    </row>
    <row r="2">
      <c r="A2" s="35"/>
      <c r="B2" s="35"/>
      <c r="C2" s="35"/>
    </row>
    <row r="3">
      <c r="A3" s="36" t="s">
        <v>743</v>
      </c>
      <c r="B3" s="37" t="s">
        <v>744</v>
      </c>
      <c r="C3" s="38"/>
    </row>
    <row r="4">
      <c r="A4" s="39" t="s">
        <v>6</v>
      </c>
      <c r="B4" s="40" t="s">
        <v>301</v>
      </c>
      <c r="C4" s="41"/>
    </row>
    <row r="5">
      <c r="A5" s="39" t="s">
        <v>745</v>
      </c>
      <c r="B5" s="42">
        <v>46146.0</v>
      </c>
      <c r="C5" s="41"/>
    </row>
    <row r="6">
      <c r="A6" s="39" t="s">
        <v>0</v>
      </c>
      <c r="B6" s="40" t="s">
        <v>249</v>
      </c>
      <c r="C6" s="41"/>
    </row>
    <row r="7">
      <c r="A7" s="39" t="s">
        <v>7</v>
      </c>
      <c r="B7" s="40" t="s">
        <v>35</v>
      </c>
      <c r="C7" s="41"/>
    </row>
    <row r="8">
      <c r="A8" s="39" t="s">
        <v>746</v>
      </c>
      <c r="B8" s="40">
        <v>3.0</v>
      </c>
      <c r="C8" s="41"/>
    </row>
    <row r="9">
      <c r="A9" s="43" t="s">
        <v>8</v>
      </c>
      <c r="B9" s="44" t="s">
        <v>302</v>
      </c>
      <c r="C9" s="45"/>
    </row>
    <row r="10">
      <c r="A10" s="35"/>
      <c r="B10" s="35"/>
      <c r="C10" s="35"/>
    </row>
    <row r="11">
      <c r="A11" s="34" t="s">
        <v>747</v>
      </c>
    </row>
    <row r="12">
      <c r="A12" s="35"/>
      <c r="B12" s="35"/>
      <c r="C12" s="35"/>
    </row>
    <row r="13">
      <c r="A13" s="46" t="s">
        <v>2583</v>
      </c>
    </row>
    <row r="14">
      <c r="A14" s="35"/>
      <c r="B14" s="35"/>
      <c r="C14" s="35"/>
    </row>
    <row r="15">
      <c r="A15" s="34" t="s">
        <v>748</v>
      </c>
    </row>
    <row r="16">
      <c r="A16" s="35"/>
      <c r="B16" s="35"/>
      <c r="C16" s="35"/>
    </row>
    <row r="17">
      <c r="A17" s="36" t="s">
        <v>749</v>
      </c>
      <c r="B17" s="37" t="s">
        <v>750</v>
      </c>
      <c r="C17" s="47" t="s">
        <v>751</v>
      </c>
    </row>
    <row r="18">
      <c r="A18" s="39">
        <v>1.0</v>
      </c>
      <c r="B18" s="40" t="s">
        <v>2584</v>
      </c>
      <c r="C18" s="48" t="s">
        <v>753</v>
      </c>
    </row>
    <row r="19">
      <c r="A19" s="39">
        <v>2.0</v>
      </c>
      <c r="B19" s="40" t="s">
        <v>2585</v>
      </c>
      <c r="C19" s="48" t="s">
        <v>753</v>
      </c>
    </row>
    <row r="20">
      <c r="A20" s="39">
        <v>3.0</v>
      </c>
      <c r="B20" s="40" t="s">
        <v>2586</v>
      </c>
      <c r="C20" s="48" t="s">
        <v>753</v>
      </c>
    </row>
    <row r="21">
      <c r="A21" s="39">
        <v>4.0</v>
      </c>
      <c r="B21" s="40" t="s">
        <v>2587</v>
      </c>
      <c r="C21" s="48" t="s">
        <v>753</v>
      </c>
    </row>
    <row r="22">
      <c r="A22" s="39">
        <v>5.0</v>
      </c>
      <c r="B22" s="40" t="s">
        <v>2588</v>
      </c>
      <c r="C22" s="48" t="s">
        <v>753</v>
      </c>
    </row>
    <row r="23">
      <c r="A23" s="39">
        <v>6.0</v>
      </c>
      <c r="B23" s="40" t="s">
        <v>2589</v>
      </c>
      <c r="C23" s="48" t="s">
        <v>753</v>
      </c>
    </row>
    <row r="24">
      <c r="A24" s="39">
        <v>7.0</v>
      </c>
      <c r="B24" s="40" t="s">
        <v>2590</v>
      </c>
      <c r="C24" s="48" t="s">
        <v>753</v>
      </c>
    </row>
    <row r="25">
      <c r="A25" s="39">
        <v>8.0</v>
      </c>
      <c r="B25" s="40" t="s">
        <v>2591</v>
      </c>
      <c r="C25" s="48" t="s">
        <v>753</v>
      </c>
    </row>
    <row r="26">
      <c r="A26" s="39">
        <v>9.0</v>
      </c>
      <c r="B26" s="40" t="s">
        <v>2592</v>
      </c>
      <c r="C26" s="48" t="s">
        <v>753</v>
      </c>
    </row>
    <row r="27">
      <c r="A27" s="39">
        <v>10.0</v>
      </c>
      <c r="B27" s="40" t="s">
        <v>2593</v>
      </c>
      <c r="C27" s="48" t="s">
        <v>753</v>
      </c>
    </row>
    <row r="28">
      <c r="A28" s="43">
        <v>11.0</v>
      </c>
      <c r="B28" s="49" t="s">
        <v>2594</v>
      </c>
      <c r="C28" s="50" t="s">
        <v>753</v>
      </c>
    </row>
    <row r="29">
      <c r="A29" s="35"/>
      <c r="B29" s="35"/>
      <c r="C29" s="35"/>
    </row>
    <row r="30">
      <c r="A30" s="34" t="s">
        <v>756</v>
      </c>
    </row>
    <row r="31">
      <c r="A31" s="35"/>
      <c r="B31" s="35"/>
      <c r="C31" s="35"/>
    </row>
    <row r="32">
      <c r="A32" s="36" t="s">
        <v>749</v>
      </c>
      <c r="B32" s="37" t="s">
        <v>757</v>
      </c>
      <c r="C32" s="38"/>
    </row>
    <row r="33">
      <c r="A33" s="39">
        <v>1.0</v>
      </c>
      <c r="B33" s="40" t="s">
        <v>2595</v>
      </c>
      <c r="C33" s="41"/>
    </row>
    <row r="34">
      <c r="A34" s="39">
        <v>2.0</v>
      </c>
      <c r="B34" s="40" t="s">
        <v>2596</v>
      </c>
      <c r="C34" s="41"/>
    </row>
    <row r="35">
      <c r="A35" s="39">
        <v>3.0</v>
      </c>
      <c r="B35" s="40" t="s">
        <v>2597</v>
      </c>
      <c r="C35" s="41"/>
    </row>
    <row r="36">
      <c r="A36" s="39">
        <v>4.0</v>
      </c>
      <c r="B36" s="40" t="s">
        <v>2598</v>
      </c>
      <c r="C36" s="41"/>
    </row>
    <row r="37">
      <c r="A37" s="43">
        <v>5.0</v>
      </c>
      <c r="B37" s="49" t="s">
        <v>2599</v>
      </c>
      <c r="C37" s="45"/>
    </row>
    <row r="38">
      <c r="A38" s="35"/>
      <c r="B38" s="35"/>
      <c r="C38" s="35"/>
    </row>
    <row r="39">
      <c r="A39" s="34" t="s">
        <v>760</v>
      </c>
    </row>
    <row r="40">
      <c r="A40" s="35"/>
      <c r="B40" s="35"/>
      <c r="C40" s="35"/>
    </row>
    <row r="41">
      <c r="A41" s="36" t="s">
        <v>749</v>
      </c>
      <c r="B41" s="37" t="s">
        <v>757</v>
      </c>
      <c r="C41" s="38"/>
    </row>
    <row r="42">
      <c r="A42" s="39">
        <v>1.0</v>
      </c>
      <c r="B42" s="40" t="s">
        <v>2600</v>
      </c>
      <c r="C42" s="41"/>
    </row>
    <row r="43">
      <c r="A43" s="39">
        <v>2.0</v>
      </c>
      <c r="B43" s="40" t="s">
        <v>2601</v>
      </c>
      <c r="C43" s="41"/>
    </row>
    <row r="44">
      <c r="A44" s="39">
        <v>3.0</v>
      </c>
      <c r="B44" s="40" t="s">
        <v>2602</v>
      </c>
      <c r="C44" s="41"/>
    </row>
    <row r="45">
      <c r="A45" s="43">
        <v>4.0</v>
      </c>
      <c r="B45" s="49" t="s">
        <v>2603</v>
      </c>
      <c r="C45" s="45"/>
    </row>
    <row r="46">
      <c r="A46" s="35"/>
      <c r="B46" s="35"/>
      <c r="C46" s="35"/>
    </row>
    <row r="47">
      <c r="A47" s="34" t="s">
        <v>763</v>
      </c>
    </row>
    <row r="48">
      <c r="A48" s="35"/>
      <c r="B48" s="35"/>
      <c r="C48" s="35"/>
    </row>
    <row r="49">
      <c r="A49" s="36" t="s">
        <v>749</v>
      </c>
      <c r="B49" s="37" t="s">
        <v>757</v>
      </c>
      <c r="C49" s="38"/>
    </row>
    <row r="50">
      <c r="A50" s="39">
        <v>1.0</v>
      </c>
      <c r="B50" s="40" t="s">
        <v>2604</v>
      </c>
      <c r="C50" s="41"/>
    </row>
    <row r="51">
      <c r="A51" s="39">
        <v>2.0</v>
      </c>
      <c r="B51" s="40" t="s">
        <v>2605</v>
      </c>
      <c r="C51" s="41"/>
    </row>
    <row r="52">
      <c r="A52" s="39">
        <v>3.0</v>
      </c>
      <c r="B52" s="40" t="s">
        <v>2606</v>
      </c>
      <c r="C52" s="41"/>
    </row>
    <row r="53">
      <c r="A53" s="39">
        <v>4.0</v>
      </c>
      <c r="B53" s="40" t="s">
        <v>2607</v>
      </c>
      <c r="C53" s="41"/>
    </row>
    <row r="54">
      <c r="A54" s="39">
        <v>5.0</v>
      </c>
      <c r="B54" s="40" t="s">
        <v>2608</v>
      </c>
      <c r="C54" s="41"/>
    </row>
    <row r="55">
      <c r="A55" s="39">
        <v>6.0</v>
      </c>
      <c r="B55" s="40" t="s">
        <v>2609</v>
      </c>
      <c r="C55" s="41"/>
    </row>
    <row r="56">
      <c r="A56" s="39">
        <v>7.0</v>
      </c>
      <c r="B56" s="40" t="s">
        <v>2610</v>
      </c>
      <c r="C56" s="41"/>
    </row>
    <row r="57">
      <c r="A57" s="39">
        <v>8.0</v>
      </c>
      <c r="B57" s="40" t="s">
        <v>2611</v>
      </c>
      <c r="C57" s="41"/>
    </row>
    <row r="58">
      <c r="A58" s="43">
        <v>9.0</v>
      </c>
      <c r="B58" s="49" t="s">
        <v>899</v>
      </c>
      <c r="C58" s="45"/>
    </row>
  </sheetData>
  <mergeCells count="7">
    <mergeCell ref="A1:C1"/>
    <mergeCell ref="A11:C11"/>
    <mergeCell ref="A13:C13"/>
    <mergeCell ref="A15:C15"/>
    <mergeCell ref="A30:C30"/>
    <mergeCell ref="A39:C39"/>
    <mergeCell ref="A47:C47"/>
  </mergeCells>
  <hyperlinks>
    <hyperlink r:id="rId1" ref="B9"/>
  </hyperlinks>
  <drawing r:id="rId2"/>
</worksheet>
</file>

<file path=xl/worksheets/sheet6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2" max="2" width="87.63"/>
    <col customWidth="1" min="3" max="3" width="20.13"/>
  </cols>
  <sheetData>
    <row r="1">
      <c r="A1" s="34" t="s">
        <v>742</v>
      </c>
    </row>
    <row r="2">
      <c r="A2" s="35"/>
      <c r="B2" s="35"/>
      <c r="C2" s="35"/>
    </row>
    <row r="3">
      <c r="A3" s="36" t="s">
        <v>743</v>
      </c>
      <c r="B3" s="37" t="s">
        <v>744</v>
      </c>
      <c r="C3" s="38"/>
    </row>
    <row r="4">
      <c r="A4" s="39" t="s">
        <v>6</v>
      </c>
      <c r="B4" s="40" t="s">
        <v>306</v>
      </c>
      <c r="C4" s="41"/>
    </row>
    <row r="5">
      <c r="A5" s="39" t="s">
        <v>745</v>
      </c>
      <c r="B5" s="42">
        <v>46153.0</v>
      </c>
      <c r="C5" s="41"/>
    </row>
    <row r="6">
      <c r="A6" s="39" t="s">
        <v>0</v>
      </c>
      <c r="B6" s="40" t="s">
        <v>305</v>
      </c>
      <c r="C6" s="41"/>
    </row>
    <row r="7">
      <c r="A7" s="39" t="s">
        <v>7</v>
      </c>
      <c r="B7" s="40" t="s">
        <v>307</v>
      </c>
      <c r="C7" s="41"/>
    </row>
    <row r="8">
      <c r="A8" s="39" t="s">
        <v>746</v>
      </c>
      <c r="B8" s="40">
        <v>4.0</v>
      </c>
      <c r="C8" s="41"/>
    </row>
    <row r="9">
      <c r="A9" s="43" t="s">
        <v>8</v>
      </c>
      <c r="B9" s="44" t="s">
        <v>308</v>
      </c>
      <c r="C9" s="45"/>
    </row>
    <row r="10">
      <c r="A10" s="35"/>
      <c r="B10" s="35"/>
      <c r="C10" s="35"/>
    </row>
    <row r="11">
      <c r="A11" s="34" t="s">
        <v>747</v>
      </c>
    </row>
    <row r="12">
      <c r="A12" s="35"/>
      <c r="B12" s="35"/>
      <c r="C12" s="35"/>
    </row>
    <row r="13">
      <c r="A13" s="46" t="s">
        <v>309</v>
      </c>
    </row>
    <row r="14">
      <c r="A14" s="35"/>
      <c r="B14" s="35"/>
      <c r="C14" s="35"/>
    </row>
    <row r="15">
      <c r="A15" s="34" t="s">
        <v>748</v>
      </c>
    </row>
    <row r="16">
      <c r="A16" s="35"/>
      <c r="B16" s="35"/>
      <c r="C16" s="35"/>
    </row>
    <row r="17">
      <c r="A17" s="36" t="s">
        <v>749</v>
      </c>
      <c r="B17" s="37" t="s">
        <v>750</v>
      </c>
      <c r="C17" s="47" t="s">
        <v>751</v>
      </c>
    </row>
    <row r="18">
      <c r="A18" s="39">
        <v>1.0</v>
      </c>
      <c r="B18" s="40" t="s">
        <v>2612</v>
      </c>
      <c r="C18" s="48" t="s">
        <v>753</v>
      </c>
    </row>
    <row r="19">
      <c r="A19" s="39">
        <v>2.0</v>
      </c>
      <c r="B19" s="40" t="s">
        <v>2613</v>
      </c>
      <c r="C19" s="48" t="s">
        <v>753</v>
      </c>
    </row>
    <row r="20">
      <c r="A20" s="39">
        <v>3.0</v>
      </c>
      <c r="B20" s="40" t="s">
        <v>2614</v>
      </c>
      <c r="C20" s="48" t="s">
        <v>753</v>
      </c>
    </row>
    <row r="21">
      <c r="A21" s="39">
        <v>4.0</v>
      </c>
      <c r="B21" s="40" t="s">
        <v>2615</v>
      </c>
      <c r="C21" s="48" t="s">
        <v>2616</v>
      </c>
    </row>
    <row r="22">
      <c r="A22" s="39">
        <v>5.0</v>
      </c>
      <c r="B22" s="40" t="s">
        <v>2617</v>
      </c>
      <c r="C22" s="48" t="s">
        <v>753</v>
      </c>
    </row>
    <row r="23">
      <c r="A23" s="39">
        <v>6.0</v>
      </c>
      <c r="B23" s="40" t="s">
        <v>2618</v>
      </c>
      <c r="C23" s="48" t="s">
        <v>753</v>
      </c>
    </row>
    <row r="24">
      <c r="A24" s="39">
        <v>7.0</v>
      </c>
      <c r="B24" s="40" t="s">
        <v>2619</v>
      </c>
      <c r="C24" s="48" t="s">
        <v>753</v>
      </c>
    </row>
    <row r="25">
      <c r="A25" s="43">
        <v>8.0</v>
      </c>
      <c r="B25" s="49" t="s">
        <v>2620</v>
      </c>
      <c r="C25" s="50" t="s">
        <v>753</v>
      </c>
    </row>
    <row r="26">
      <c r="A26" s="35"/>
      <c r="B26" s="35"/>
      <c r="C26" s="35"/>
    </row>
    <row r="27">
      <c r="A27" s="34" t="s">
        <v>756</v>
      </c>
    </row>
    <row r="28">
      <c r="A28" s="35"/>
      <c r="B28" s="35"/>
      <c r="C28" s="35"/>
    </row>
    <row r="29">
      <c r="A29" s="36" t="s">
        <v>749</v>
      </c>
      <c r="B29" s="37" t="s">
        <v>757</v>
      </c>
      <c r="C29" s="38"/>
    </row>
    <row r="30">
      <c r="A30" s="39">
        <v>1.0</v>
      </c>
      <c r="B30" s="40" t="s">
        <v>2621</v>
      </c>
      <c r="C30" s="41"/>
    </row>
    <row r="31">
      <c r="A31" s="39">
        <v>2.0</v>
      </c>
      <c r="B31" s="40" t="s">
        <v>2622</v>
      </c>
      <c r="C31" s="41"/>
    </row>
    <row r="32">
      <c r="A32" s="43">
        <v>3.0</v>
      </c>
      <c r="B32" s="49" t="s">
        <v>2623</v>
      </c>
      <c r="C32" s="45"/>
    </row>
    <row r="33">
      <c r="A33" s="35"/>
      <c r="B33" s="35"/>
      <c r="C33" s="35"/>
    </row>
    <row r="34">
      <c r="A34" s="34" t="s">
        <v>760</v>
      </c>
    </row>
    <row r="35">
      <c r="A35" s="35"/>
      <c r="B35" s="35"/>
      <c r="C35" s="35"/>
    </row>
    <row r="36">
      <c r="A36" s="36" t="s">
        <v>749</v>
      </c>
      <c r="B36" s="37" t="s">
        <v>757</v>
      </c>
      <c r="C36" s="38"/>
    </row>
    <row r="37">
      <c r="A37" s="39">
        <v>1.0</v>
      </c>
      <c r="B37" s="40" t="s">
        <v>2624</v>
      </c>
      <c r="C37" s="41"/>
    </row>
    <row r="38">
      <c r="A38" s="39">
        <v>2.0</v>
      </c>
      <c r="B38" s="40" t="s">
        <v>2625</v>
      </c>
      <c r="C38" s="41"/>
    </row>
    <row r="39">
      <c r="A39" s="39">
        <v>3.0</v>
      </c>
      <c r="B39" s="40" t="s">
        <v>2626</v>
      </c>
      <c r="C39" s="41"/>
    </row>
    <row r="40">
      <c r="A40" s="43">
        <v>4.0</v>
      </c>
      <c r="B40" s="49" t="s">
        <v>2627</v>
      </c>
      <c r="C40" s="45"/>
    </row>
    <row r="41">
      <c r="A41" s="35"/>
      <c r="B41" s="35"/>
      <c r="C41" s="35"/>
    </row>
    <row r="42">
      <c r="A42" s="34" t="s">
        <v>763</v>
      </c>
    </row>
    <row r="43">
      <c r="A43" s="35"/>
      <c r="B43" s="35"/>
      <c r="C43" s="35"/>
    </row>
    <row r="44">
      <c r="A44" s="36" t="s">
        <v>749</v>
      </c>
      <c r="B44" s="37" t="s">
        <v>757</v>
      </c>
      <c r="C44" s="38"/>
    </row>
    <row r="45">
      <c r="A45" s="39">
        <v>1.0</v>
      </c>
      <c r="B45" s="40" t="s">
        <v>2628</v>
      </c>
      <c r="C45" s="41"/>
    </row>
    <row r="46">
      <c r="A46" s="39">
        <v>2.0</v>
      </c>
      <c r="B46" s="40" t="s">
        <v>2629</v>
      </c>
      <c r="C46" s="41"/>
    </row>
    <row r="47">
      <c r="A47" s="39">
        <v>3.0</v>
      </c>
      <c r="B47" s="40" t="s">
        <v>2630</v>
      </c>
      <c r="C47" s="41"/>
    </row>
    <row r="48">
      <c r="A48" s="39">
        <v>4.0</v>
      </c>
      <c r="B48" s="40" t="s">
        <v>2631</v>
      </c>
      <c r="C48" s="41"/>
    </row>
    <row r="49">
      <c r="A49" s="39">
        <v>5.0</v>
      </c>
      <c r="B49" s="40" t="s">
        <v>2632</v>
      </c>
      <c r="C49" s="41"/>
    </row>
    <row r="50">
      <c r="A50" s="43">
        <v>6.0</v>
      </c>
      <c r="B50" s="49" t="s">
        <v>2633</v>
      </c>
      <c r="C50" s="45"/>
    </row>
  </sheetData>
  <mergeCells count="7">
    <mergeCell ref="A1:C1"/>
    <mergeCell ref="A11:C11"/>
    <mergeCell ref="A13:C13"/>
    <mergeCell ref="A15:C15"/>
    <mergeCell ref="A27:C27"/>
    <mergeCell ref="A34:C34"/>
    <mergeCell ref="A42:C42"/>
  </mergeCells>
  <hyperlinks>
    <hyperlink r:id="rId1" ref="B9"/>
  </hyperlinks>
  <drawing r:id="rId2"/>
</worksheet>
</file>

<file path=xl/worksheets/sheet6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2" max="2" width="87.63"/>
    <col customWidth="1" min="3" max="3" width="20.13"/>
  </cols>
  <sheetData>
    <row r="1">
      <c r="A1" s="34" t="s">
        <v>742</v>
      </c>
    </row>
    <row r="2">
      <c r="A2" s="35"/>
      <c r="B2" s="35"/>
      <c r="C2" s="35"/>
    </row>
    <row r="3">
      <c r="A3" s="36" t="s">
        <v>743</v>
      </c>
      <c r="B3" s="37" t="s">
        <v>744</v>
      </c>
      <c r="C3" s="38"/>
    </row>
    <row r="4">
      <c r="A4" s="39" t="s">
        <v>6</v>
      </c>
      <c r="B4" s="40" t="s">
        <v>311</v>
      </c>
      <c r="C4" s="41"/>
    </row>
    <row r="5">
      <c r="A5" s="39" t="s">
        <v>745</v>
      </c>
      <c r="B5" s="42">
        <v>46153.0</v>
      </c>
      <c r="C5" s="41"/>
    </row>
    <row r="6">
      <c r="A6" s="39" t="s">
        <v>0</v>
      </c>
      <c r="B6" s="40" t="s">
        <v>305</v>
      </c>
      <c r="C6" s="41"/>
    </row>
    <row r="7">
      <c r="A7" s="39" t="s">
        <v>7</v>
      </c>
      <c r="B7" s="40" t="s">
        <v>251</v>
      </c>
      <c r="C7" s="41"/>
    </row>
    <row r="8">
      <c r="A8" s="39" t="s">
        <v>746</v>
      </c>
      <c r="B8" s="40">
        <v>2.0</v>
      </c>
      <c r="C8" s="41"/>
    </row>
    <row r="9">
      <c r="A9" s="43" t="s">
        <v>8</v>
      </c>
      <c r="B9" s="44" t="s">
        <v>312</v>
      </c>
      <c r="C9" s="45"/>
    </row>
    <row r="10">
      <c r="A10" s="35"/>
      <c r="B10" s="35"/>
      <c r="C10" s="35"/>
    </row>
    <row r="11">
      <c r="A11" s="34" t="s">
        <v>747</v>
      </c>
    </row>
    <row r="12">
      <c r="A12" s="35"/>
      <c r="B12" s="35"/>
      <c r="C12" s="35"/>
    </row>
    <row r="13">
      <c r="A13" s="46" t="s">
        <v>2634</v>
      </c>
    </row>
    <row r="14">
      <c r="A14" s="35"/>
      <c r="B14" s="35"/>
      <c r="C14" s="35"/>
    </row>
    <row r="15">
      <c r="A15" s="34" t="s">
        <v>748</v>
      </c>
    </row>
    <row r="16">
      <c r="A16" s="35"/>
      <c r="B16" s="35"/>
      <c r="C16" s="35"/>
    </row>
    <row r="17">
      <c r="A17" s="36" t="s">
        <v>749</v>
      </c>
      <c r="B17" s="37" t="s">
        <v>750</v>
      </c>
      <c r="C17" s="47" t="s">
        <v>751</v>
      </c>
    </row>
    <row r="18">
      <c r="A18" s="39">
        <v>1.0</v>
      </c>
      <c r="B18" s="40" t="s">
        <v>2635</v>
      </c>
      <c r="C18" s="48" t="s">
        <v>753</v>
      </c>
    </row>
    <row r="19">
      <c r="A19" s="39">
        <v>2.0</v>
      </c>
      <c r="B19" s="40" t="s">
        <v>2636</v>
      </c>
      <c r="C19" s="48" t="s">
        <v>753</v>
      </c>
    </row>
    <row r="20">
      <c r="A20" s="39">
        <v>3.0</v>
      </c>
      <c r="B20" s="40" t="s">
        <v>2637</v>
      </c>
      <c r="C20" s="48" t="s">
        <v>753</v>
      </c>
    </row>
    <row r="21">
      <c r="A21" s="39">
        <v>4.0</v>
      </c>
      <c r="B21" s="40" t="s">
        <v>2638</v>
      </c>
      <c r="C21" s="48" t="s">
        <v>753</v>
      </c>
    </row>
    <row r="22">
      <c r="A22" s="39">
        <v>5.0</v>
      </c>
      <c r="B22" s="40" t="s">
        <v>2639</v>
      </c>
      <c r="C22" s="48" t="s">
        <v>753</v>
      </c>
    </row>
    <row r="23">
      <c r="A23" s="39">
        <v>6.0</v>
      </c>
      <c r="B23" s="40" t="s">
        <v>2640</v>
      </c>
      <c r="C23" s="48" t="s">
        <v>753</v>
      </c>
    </row>
    <row r="24">
      <c r="A24" s="39">
        <v>7.0</v>
      </c>
      <c r="B24" s="40" t="s">
        <v>2641</v>
      </c>
      <c r="C24" s="48" t="s">
        <v>753</v>
      </c>
    </row>
    <row r="25">
      <c r="A25" s="39">
        <v>8.0</v>
      </c>
      <c r="B25" s="40" t="s">
        <v>2642</v>
      </c>
      <c r="C25" s="48" t="s">
        <v>753</v>
      </c>
    </row>
    <row r="26">
      <c r="A26" s="39">
        <v>9.0</v>
      </c>
      <c r="B26" s="40" t="s">
        <v>2643</v>
      </c>
      <c r="C26" s="48" t="s">
        <v>753</v>
      </c>
    </row>
    <row r="27">
      <c r="A27" s="39">
        <v>10.0</v>
      </c>
      <c r="B27" s="40" t="s">
        <v>2644</v>
      </c>
      <c r="C27" s="48" t="s">
        <v>753</v>
      </c>
    </row>
    <row r="28">
      <c r="A28" s="39">
        <v>11.0</v>
      </c>
      <c r="B28" s="40" t="s">
        <v>2645</v>
      </c>
      <c r="C28" s="48" t="s">
        <v>753</v>
      </c>
    </row>
    <row r="29">
      <c r="A29" s="43">
        <v>12.0</v>
      </c>
      <c r="B29" s="49" t="s">
        <v>2646</v>
      </c>
      <c r="C29" s="50" t="s">
        <v>2647</v>
      </c>
    </row>
    <row r="30">
      <c r="A30" s="35"/>
      <c r="B30" s="35"/>
      <c r="C30" s="35"/>
    </row>
    <row r="31">
      <c r="A31" s="34" t="s">
        <v>756</v>
      </c>
    </row>
    <row r="32">
      <c r="A32" s="35"/>
      <c r="B32" s="35"/>
      <c r="C32" s="35"/>
    </row>
    <row r="33">
      <c r="A33" s="36" t="s">
        <v>749</v>
      </c>
      <c r="B33" s="37" t="s">
        <v>757</v>
      </c>
      <c r="C33" s="38"/>
    </row>
    <row r="34">
      <c r="A34" s="39">
        <v>1.0</v>
      </c>
      <c r="B34" s="40" t="s">
        <v>2648</v>
      </c>
      <c r="C34" s="41"/>
    </row>
    <row r="35">
      <c r="A35" s="39">
        <v>2.0</v>
      </c>
      <c r="B35" s="40" t="s">
        <v>2649</v>
      </c>
      <c r="C35" s="41"/>
    </row>
    <row r="36">
      <c r="A36" s="39">
        <v>3.0</v>
      </c>
      <c r="B36" s="40" t="s">
        <v>2650</v>
      </c>
      <c r="C36" s="41"/>
    </row>
    <row r="37">
      <c r="A37" s="43">
        <v>4.0</v>
      </c>
      <c r="B37" s="49" t="s">
        <v>2651</v>
      </c>
      <c r="C37" s="45"/>
    </row>
    <row r="38">
      <c r="A38" s="35"/>
      <c r="B38" s="35"/>
      <c r="C38" s="35"/>
    </row>
    <row r="39">
      <c r="A39" s="34" t="s">
        <v>760</v>
      </c>
    </row>
    <row r="40">
      <c r="A40" s="35"/>
      <c r="B40" s="35"/>
      <c r="C40" s="35"/>
    </row>
    <row r="41">
      <c r="A41" s="36" t="s">
        <v>749</v>
      </c>
      <c r="B41" s="37" t="s">
        <v>757</v>
      </c>
      <c r="C41" s="38"/>
    </row>
    <row r="42">
      <c r="A42" s="39">
        <v>1.0</v>
      </c>
      <c r="B42" s="40" t="s">
        <v>2652</v>
      </c>
      <c r="C42" s="41"/>
    </row>
    <row r="43">
      <c r="A43" s="39">
        <v>2.0</v>
      </c>
      <c r="B43" s="40" t="s">
        <v>2653</v>
      </c>
      <c r="C43" s="41"/>
    </row>
    <row r="44">
      <c r="A44" s="39">
        <v>3.0</v>
      </c>
      <c r="B44" s="40" t="s">
        <v>2654</v>
      </c>
      <c r="C44" s="41"/>
    </row>
    <row r="45">
      <c r="A45" s="39">
        <v>4.0</v>
      </c>
      <c r="B45" s="40" t="s">
        <v>2655</v>
      </c>
      <c r="C45" s="41"/>
    </row>
    <row r="46">
      <c r="A46" s="43">
        <v>5.0</v>
      </c>
      <c r="B46" s="49" t="s">
        <v>2656</v>
      </c>
      <c r="C46" s="45"/>
    </row>
    <row r="47">
      <c r="A47" s="35"/>
      <c r="B47" s="35"/>
      <c r="C47" s="35"/>
    </row>
    <row r="48">
      <c r="A48" s="34" t="s">
        <v>763</v>
      </c>
    </row>
    <row r="49">
      <c r="A49" s="35"/>
      <c r="B49" s="35"/>
      <c r="C49" s="35"/>
    </row>
    <row r="50">
      <c r="A50" s="36" t="s">
        <v>749</v>
      </c>
      <c r="B50" s="37" t="s">
        <v>757</v>
      </c>
      <c r="C50" s="38"/>
    </row>
    <row r="51">
      <c r="A51" s="39">
        <v>1.0</v>
      </c>
      <c r="B51" s="40" t="s">
        <v>2657</v>
      </c>
      <c r="C51" s="41"/>
    </row>
    <row r="52">
      <c r="A52" s="39">
        <v>2.0</v>
      </c>
      <c r="B52" s="40" t="s">
        <v>2658</v>
      </c>
      <c r="C52" s="41"/>
    </row>
    <row r="53">
      <c r="A53" s="39">
        <v>3.0</v>
      </c>
      <c r="B53" s="40" t="s">
        <v>2659</v>
      </c>
      <c r="C53" s="41"/>
    </row>
    <row r="54">
      <c r="A54" s="39">
        <v>4.0</v>
      </c>
      <c r="B54" s="40" t="s">
        <v>2660</v>
      </c>
      <c r="C54" s="41"/>
    </row>
    <row r="55">
      <c r="A55" s="39">
        <v>5.0</v>
      </c>
      <c r="B55" s="40" t="s">
        <v>2661</v>
      </c>
      <c r="C55" s="41"/>
    </row>
    <row r="56">
      <c r="A56" s="39">
        <v>6.0</v>
      </c>
      <c r="B56" s="40" t="s">
        <v>2662</v>
      </c>
      <c r="C56" s="41"/>
    </row>
    <row r="57">
      <c r="A57" s="39">
        <v>7.0</v>
      </c>
      <c r="B57" s="40" t="s">
        <v>2663</v>
      </c>
      <c r="C57" s="41"/>
    </row>
    <row r="58">
      <c r="A58" s="39">
        <v>8.0</v>
      </c>
      <c r="B58" s="40" t="s">
        <v>2664</v>
      </c>
      <c r="C58" s="41"/>
    </row>
    <row r="59">
      <c r="A59" s="43">
        <v>9.0</v>
      </c>
      <c r="B59" s="49" t="s">
        <v>899</v>
      </c>
      <c r="C59" s="45"/>
    </row>
  </sheetData>
  <mergeCells count="7">
    <mergeCell ref="A1:C1"/>
    <mergeCell ref="A11:C11"/>
    <mergeCell ref="A13:C13"/>
    <mergeCell ref="A15:C15"/>
    <mergeCell ref="A31:C31"/>
    <mergeCell ref="A39:C39"/>
    <mergeCell ref="A48:C48"/>
  </mergeCells>
  <hyperlinks>
    <hyperlink r:id="rId1" ref="B9"/>
  </hyperlinks>
  <drawing r:id="rId2"/>
</worksheet>
</file>

<file path=xl/worksheets/sheet6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2" max="2" width="87.63"/>
    <col customWidth="1" min="3" max="3" width="20.13"/>
  </cols>
  <sheetData>
    <row r="1">
      <c r="A1" s="34" t="s">
        <v>742</v>
      </c>
    </row>
    <row r="2">
      <c r="A2" s="35"/>
      <c r="B2" s="35"/>
      <c r="C2" s="35"/>
    </row>
    <row r="3">
      <c r="A3" s="36" t="s">
        <v>743</v>
      </c>
      <c r="B3" s="37" t="s">
        <v>744</v>
      </c>
      <c r="C3" s="38"/>
    </row>
    <row r="4">
      <c r="A4" s="39" t="s">
        <v>6</v>
      </c>
      <c r="B4" s="40" t="s">
        <v>315</v>
      </c>
      <c r="C4" s="41"/>
    </row>
    <row r="5">
      <c r="A5" s="39" t="s">
        <v>745</v>
      </c>
      <c r="B5" s="42">
        <v>46153.0</v>
      </c>
      <c r="C5" s="41"/>
    </row>
    <row r="6">
      <c r="A6" s="39" t="s">
        <v>0</v>
      </c>
      <c r="B6" s="40" t="s">
        <v>305</v>
      </c>
      <c r="C6" s="41"/>
    </row>
    <row r="7">
      <c r="A7" s="39" t="s">
        <v>7</v>
      </c>
      <c r="B7" s="40" t="s">
        <v>316</v>
      </c>
      <c r="C7" s="41"/>
    </row>
    <row r="8">
      <c r="A8" s="39" t="s">
        <v>746</v>
      </c>
      <c r="B8" s="40">
        <v>7.0</v>
      </c>
      <c r="C8" s="41"/>
    </row>
    <row r="9">
      <c r="A9" s="43" t="s">
        <v>8</v>
      </c>
      <c r="B9" s="44" t="s">
        <v>317</v>
      </c>
      <c r="C9" s="45"/>
    </row>
    <row r="10">
      <c r="A10" s="35"/>
      <c r="B10" s="35"/>
      <c r="C10" s="35"/>
    </row>
    <row r="11">
      <c r="A11" s="34" t="s">
        <v>747</v>
      </c>
    </row>
    <row r="12">
      <c r="A12" s="35"/>
      <c r="B12" s="35"/>
      <c r="C12" s="35"/>
    </row>
    <row r="13">
      <c r="A13" s="46" t="s">
        <v>2665</v>
      </c>
    </row>
    <row r="14">
      <c r="A14" s="35"/>
      <c r="B14" s="35"/>
      <c r="C14" s="35"/>
    </row>
    <row r="15">
      <c r="A15" s="34" t="s">
        <v>748</v>
      </c>
    </row>
    <row r="16">
      <c r="A16" s="35"/>
      <c r="B16" s="35"/>
      <c r="C16" s="35"/>
    </row>
    <row r="17">
      <c r="A17" s="36" t="s">
        <v>749</v>
      </c>
      <c r="B17" s="37" t="s">
        <v>750</v>
      </c>
      <c r="C17" s="47" t="s">
        <v>751</v>
      </c>
    </row>
    <row r="18">
      <c r="A18" s="39">
        <v>1.0</v>
      </c>
      <c r="B18" s="40" t="s">
        <v>2666</v>
      </c>
      <c r="C18" s="48" t="s">
        <v>1418</v>
      </c>
    </row>
    <row r="19">
      <c r="A19" s="39">
        <v>2.0</v>
      </c>
      <c r="B19" s="40" t="s">
        <v>2667</v>
      </c>
      <c r="C19" s="48" t="s">
        <v>1418</v>
      </c>
    </row>
    <row r="20">
      <c r="A20" s="39">
        <v>3.0</v>
      </c>
      <c r="B20" s="40" t="s">
        <v>2668</v>
      </c>
      <c r="C20" s="48" t="s">
        <v>1418</v>
      </c>
    </row>
    <row r="21">
      <c r="A21" s="39">
        <v>4.0</v>
      </c>
      <c r="B21" s="40" t="s">
        <v>2669</v>
      </c>
      <c r="C21" s="48" t="s">
        <v>1418</v>
      </c>
    </row>
    <row r="22">
      <c r="A22" s="39">
        <v>5.0</v>
      </c>
      <c r="B22" s="40" t="s">
        <v>2670</v>
      </c>
      <c r="C22" s="48" t="s">
        <v>2671</v>
      </c>
    </row>
    <row r="23">
      <c r="A23" s="39">
        <v>6.0</v>
      </c>
      <c r="B23" s="40" t="s">
        <v>2672</v>
      </c>
      <c r="C23" s="48" t="s">
        <v>1418</v>
      </c>
    </row>
    <row r="24">
      <c r="A24" s="39">
        <v>7.0</v>
      </c>
      <c r="B24" s="40" t="s">
        <v>2673</v>
      </c>
      <c r="C24" s="48" t="s">
        <v>1418</v>
      </c>
    </row>
    <row r="25">
      <c r="A25" s="39">
        <v>8.0</v>
      </c>
      <c r="B25" s="40" t="s">
        <v>2674</v>
      </c>
      <c r="C25" s="48" t="s">
        <v>1418</v>
      </c>
    </row>
    <row r="26">
      <c r="A26" s="39">
        <v>9.0</v>
      </c>
      <c r="B26" s="40" t="s">
        <v>2675</v>
      </c>
      <c r="C26" s="48" t="s">
        <v>753</v>
      </c>
    </row>
    <row r="27">
      <c r="A27" s="39">
        <v>10.0</v>
      </c>
      <c r="B27" s="40" t="s">
        <v>2676</v>
      </c>
      <c r="C27" s="48" t="s">
        <v>753</v>
      </c>
    </row>
    <row r="28">
      <c r="A28" s="39">
        <v>11.0</v>
      </c>
      <c r="B28" s="40" t="s">
        <v>2677</v>
      </c>
      <c r="C28" s="48" t="s">
        <v>753</v>
      </c>
    </row>
    <row r="29">
      <c r="A29" s="39">
        <v>12.0</v>
      </c>
      <c r="B29" s="40" t="s">
        <v>2678</v>
      </c>
      <c r="C29" s="48" t="s">
        <v>753</v>
      </c>
    </row>
    <row r="30">
      <c r="A30" s="39">
        <v>13.0</v>
      </c>
      <c r="B30" s="40" t="s">
        <v>2679</v>
      </c>
      <c r="C30" s="48" t="s">
        <v>753</v>
      </c>
    </row>
    <row r="31">
      <c r="A31" s="39">
        <v>14.0</v>
      </c>
      <c r="B31" s="40" t="s">
        <v>2680</v>
      </c>
      <c r="C31" s="48" t="s">
        <v>1418</v>
      </c>
    </row>
    <row r="32">
      <c r="A32" s="39">
        <v>15.0</v>
      </c>
      <c r="B32" s="40" t="s">
        <v>2681</v>
      </c>
      <c r="C32" s="48" t="s">
        <v>1418</v>
      </c>
    </row>
    <row r="33">
      <c r="A33" s="39">
        <v>16.0</v>
      </c>
      <c r="B33" s="40" t="s">
        <v>2682</v>
      </c>
      <c r="C33" s="48" t="s">
        <v>1418</v>
      </c>
    </row>
    <row r="34">
      <c r="A34" s="39">
        <v>17.0</v>
      </c>
      <c r="B34" s="40" t="s">
        <v>2683</v>
      </c>
      <c r="C34" s="48" t="s">
        <v>1418</v>
      </c>
    </row>
    <row r="35">
      <c r="A35" s="39">
        <v>18.0</v>
      </c>
      <c r="B35" s="40" t="s">
        <v>2684</v>
      </c>
      <c r="C35" s="48" t="s">
        <v>1418</v>
      </c>
    </row>
    <row r="36">
      <c r="A36" s="43">
        <v>19.0</v>
      </c>
      <c r="B36" s="49" t="s">
        <v>2685</v>
      </c>
      <c r="C36" s="50" t="s">
        <v>1418</v>
      </c>
    </row>
    <row r="37">
      <c r="A37" s="35"/>
      <c r="B37" s="35"/>
      <c r="C37" s="35"/>
    </row>
    <row r="38">
      <c r="A38" s="34" t="s">
        <v>756</v>
      </c>
    </row>
    <row r="39">
      <c r="A39" s="35"/>
      <c r="B39" s="35"/>
      <c r="C39" s="35"/>
    </row>
    <row r="40">
      <c r="A40" s="36" t="s">
        <v>749</v>
      </c>
      <c r="B40" s="37" t="s">
        <v>757</v>
      </c>
      <c r="C40" s="38"/>
    </row>
    <row r="41">
      <c r="A41" s="39">
        <v>1.0</v>
      </c>
      <c r="B41" s="40" t="s">
        <v>2686</v>
      </c>
      <c r="C41" s="41"/>
    </row>
    <row r="42">
      <c r="A42" s="39">
        <v>2.0</v>
      </c>
      <c r="B42" s="40" t="s">
        <v>2687</v>
      </c>
      <c r="C42" s="41"/>
    </row>
    <row r="43">
      <c r="A43" s="39">
        <v>3.0</v>
      </c>
      <c r="B43" s="40" t="s">
        <v>2688</v>
      </c>
      <c r="C43" s="41"/>
    </row>
    <row r="44">
      <c r="A44" s="43">
        <v>4.0</v>
      </c>
      <c r="B44" s="49" t="s">
        <v>2689</v>
      </c>
      <c r="C44" s="45"/>
    </row>
    <row r="45">
      <c r="A45" s="35"/>
      <c r="B45" s="35"/>
      <c r="C45" s="35"/>
    </row>
    <row r="46">
      <c r="A46" s="34" t="s">
        <v>760</v>
      </c>
    </row>
    <row r="47">
      <c r="A47" s="35"/>
      <c r="B47" s="35"/>
      <c r="C47" s="35"/>
    </row>
    <row r="48">
      <c r="A48" s="36" t="s">
        <v>749</v>
      </c>
      <c r="B48" s="37" t="s">
        <v>757</v>
      </c>
      <c r="C48" s="38"/>
    </row>
    <row r="49">
      <c r="A49" s="39">
        <v>1.0</v>
      </c>
      <c r="B49" s="40" t="s">
        <v>2690</v>
      </c>
      <c r="C49" s="41"/>
    </row>
    <row r="50">
      <c r="A50" s="39">
        <v>2.0</v>
      </c>
      <c r="B50" s="40" t="s">
        <v>2691</v>
      </c>
      <c r="C50" s="41"/>
    </row>
    <row r="51">
      <c r="A51" s="39">
        <v>3.0</v>
      </c>
      <c r="B51" s="40" t="s">
        <v>2692</v>
      </c>
      <c r="C51" s="41"/>
    </row>
    <row r="52">
      <c r="A52" s="39">
        <v>4.0</v>
      </c>
      <c r="B52" s="40" t="s">
        <v>2693</v>
      </c>
      <c r="C52" s="41"/>
    </row>
    <row r="53">
      <c r="A53" s="43">
        <v>5.0</v>
      </c>
      <c r="B53" s="49" t="s">
        <v>2694</v>
      </c>
      <c r="C53" s="45"/>
    </row>
    <row r="54">
      <c r="A54" s="35"/>
      <c r="B54" s="35"/>
      <c r="C54" s="35"/>
    </row>
    <row r="55">
      <c r="A55" s="34" t="s">
        <v>763</v>
      </c>
    </row>
    <row r="56">
      <c r="A56" s="35"/>
      <c r="B56" s="35"/>
      <c r="C56" s="35"/>
    </row>
    <row r="57">
      <c r="A57" s="36" t="s">
        <v>749</v>
      </c>
      <c r="B57" s="37" t="s">
        <v>757</v>
      </c>
      <c r="C57" s="38"/>
    </row>
    <row r="58">
      <c r="A58" s="39">
        <v>1.0</v>
      </c>
      <c r="B58" s="40" t="s">
        <v>2695</v>
      </c>
      <c r="C58" s="41"/>
    </row>
    <row r="59">
      <c r="A59" s="39">
        <v>2.0</v>
      </c>
      <c r="B59" s="40" t="s">
        <v>2696</v>
      </c>
      <c r="C59" s="41"/>
    </row>
    <row r="60">
      <c r="A60" s="39">
        <v>3.0</v>
      </c>
      <c r="B60" s="40" t="s">
        <v>2697</v>
      </c>
      <c r="C60" s="41"/>
    </row>
    <row r="61">
      <c r="A61" s="39">
        <v>4.0</v>
      </c>
      <c r="B61" s="40" t="s">
        <v>2698</v>
      </c>
      <c r="C61" s="41"/>
    </row>
    <row r="62">
      <c r="A62" s="39">
        <v>5.0</v>
      </c>
      <c r="B62" s="40" t="s">
        <v>2699</v>
      </c>
      <c r="C62" s="41"/>
    </row>
    <row r="63">
      <c r="A63" s="39">
        <v>6.0</v>
      </c>
      <c r="B63" s="40" t="s">
        <v>2700</v>
      </c>
      <c r="C63" s="41"/>
    </row>
    <row r="64">
      <c r="A64" s="39">
        <v>7.0</v>
      </c>
      <c r="B64" s="40" t="s">
        <v>2701</v>
      </c>
      <c r="C64" s="41"/>
    </row>
    <row r="65">
      <c r="A65" s="39">
        <v>8.0</v>
      </c>
      <c r="B65" s="40" t="s">
        <v>2702</v>
      </c>
      <c r="C65" s="41"/>
    </row>
    <row r="66">
      <c r="A66" s="39">
        <v>9.0</v>
      </c>
      <c r="B66" s="40" t="s">
        <v>2703</v>
      </c>
      <c r="C66" s="41"/>
    </row>
    <row r="67">
      <c r="A67" s="43">
        <v>10.0</v>
      </c>
      <c r="B67" s="49" t="s">
        <v>2704</v>
      </c>
      <c r="C67" s="45"/>
    </row>
  </sheetData>
  <mergeCells count="7">
    <mergeCell ref="A1:C1"/>
    <mergeCell ref="A11:C11"/>
    <mergeCell ref="A13:C13"/>
    <mergeCell ref="A15:C15"/>
    <mergeCell ref="A38:C38"/>
    <mergeCell ref="A46:C46"/>
    <mergeCell ref="A55:C55"/>
  </mergeCells>
  <hyperlinks>
    <hyperlink r:id="rId1" ref="B9"/>
  </hyperlinks>
  <drawing r:id="rId2"/>
</worksheet>
</file>

<file path=xl/worksheets/sheet6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2" max="2" width="87.63"/>
    <col customWidth="1" min="3" max="3" width="20.13"/>
  </cols>
  <sheetData>
    <row r="1">
      <c r="A1" s="34" t="s">
        <v>742</v>
      </c>
    </row>
    <row r="2">
      <c r="A2" s="35"/>
      <c r="B2" s="35"/>
      <c r="C2" s="35"/>
    </row>
    <row r="3">
      <c r="A3" s="36" t="s">
        <v>743</v>
      </c>
      <c r="B3" s="37" t="s">
        <v>744</v>
      </c>
      <c r="C3" s="38"/>
    </row>
    <row r="4">
      <c r="A4" s="39" t="s">
        <v>6</v>
      </c>
      <c r="B4" s="40" t="s">
        <v>320</v>
      </c>
      <c r="C4" s="41"/>
    </row>
    <row r="5">
      <c r="A5" s="39" t="s">
        <v>745</v>
      </c>
      <c r="B5" s="42">
        <v>46154.0</v>
      </c>
      <c r="C5" s="41"/>
    </row>
    <row r="6">
      <c r="A6" s="39" t="s">
        <v>0</v>
      </c>
      <c r="B6" s="40" t="s">
        <v>305</v>
      </c>
      <c r="C6" s="41"/>
    </row>
    <row r="7">
      <c r="A7" s="39" t="s">
        <v>7</v>
      </c>
      <c r="B7" s="40" t="s">
        <v>21</v>
      </c>
      <c r="C7" s="41"/>
    </row>
    <row r="8">
      <c r="A8" s="39" t="s">
        <v>746</v>
      </c>
      <c r="B8" s="40">
        <v>2.0</v>
      </c>
      <c r="C8" s="41"/>
    </row>
    <row r="9">
      <c r="A9" s="43" t="s">
        <v>8</v>
      </c>
      <c r="B9" s="44" t="s">
        <v>321</v>
      </c>
      <c r="C9" s="45"/>
    </row>
    <row r="10">
      <c r="A10" s="35"/>
      <c r="B10" s="35"/>
      <c r="C10" s="35"/>
    </row>
    <row r="11">
      <c r="A11" s="34" t="s">
        <v>747</v>
      </c>
    </row>
    <row r="12">
      <c r="A12" s="35"/>
      <c r="B12" s="35"/>
      <c r="C12" s="35"/>
    </row>
    <row r="13">
      <c r="A13" s="46" t="s">
        <v>322</v>
      </c>
    </row>
    <row r="14">
      <c r="A14" s="35"/>
      <c r="B14" s="35"/>
      <c r="C14" s="35"/>
    </row>
    <row r="15">
      <c r="A15" s="34" t="s">
        <v>748</v>
      </c>
    </row>
    <row r="16">
      <c r="A16" s="35"/>
      <c r="B16" s="35"/>
      <c r="C16" s="35"/>
    </row>
    <row r="17">
      <c r="A17" s="36" t="s">
        <v>749</v>
      </c>
      <c r="B17" s="37" t="s">
        <v>750</v>
      </c>
      <c r="C17" s="47" t="s">
        <v>751</v>
      </c>
    </row>
    <row r="18">
      <c r="A18" s="39">
        <v>1.0</v>
      </c>
      <c r="B18" s="40" t="s">
        <v>2705</v>
      </c>
      <c r="C18" s="48" t="s">
        <v>753</v>
      </c>
    </row>
    <row r="19">
      <c r="A19" s="39">
        <v>2.0</v>
      </c>
      <c r="B19" s="40" t="s">
        <v>2706</v>
      </c>
      <c r="C19" s="48" t="s">
        <v>753</v>
      </c>
    </row>
    <row r="20">
      <c r="A20" s="39">
        <v>3.0</v>
      </c>
      <c r="B20" s="40" t="s">
        <v>2707</v>
      </c>
      <c r="C20" s="48" t="s">
        <v>753</v>
      </c>
    </row>
    <row r="21">
      <c r="A21" s="39">
        <v>4.0</v>
      </c>
      <c r="B21" s="40" t="s">
        <v>2708</v>
      </c>
      <c r="C21" s="48" t="s">
        <v>753</v>
      </c>
    </row>
    <row r="22">
      <c r="A22" s="39">
        <v>5.0</v>
      </c>
      <c r="B22" s="40" t="s">
        <v>2709</v>
      </c>
      <c r="C22" s="48" t="s">
        <v>753</v>
      </c>
    </row>
    <row r="23">
      <c r="A23" s="39">
        <v>6.0</v>
      </c>
      <c r="B23" s="40" t="s">
        <v>2710</v>
      </c>
      <c r="C23" s="48" t="s">
        <v>753</v>
      </c>
    </row>
    <row r="24">
      <c r="A24" s="39">
        <v>7.0</v>
      </c>
      <c r="B24" s="40" t="s">
        <v>2711</v>
      </c>
      <c r="C24" s="48" t="s">
        <v>753</v>
      </c>
    </row>
    <row r="25">
      <c r="A25" s="39">
        <v>8.0</v>
      </c>
      <c r="B25" s="40" t="s">
        <v>2712</v>
      </c>
      <c r="C25" s="48" t="s">
        <v>753</v>
      </c>
    </row>
    <row r="26">
      <c r="A26" s="39">
        <v>9.0</v>
      </c>
      <c r="B26" s="40" t="s">
        <v>2713</v>
      </c>
      <c r="C26" s="48" t="s">
        <v>753</v>
      </c>
    </row>
    <row r="27">
      <c r="A27" s="43">
        <v>10.0</v>
      </c>
      <c r="B27" s="49" t="s">
        <v>2714</v>
      </c>
      <c r="C27" s="50" t="s">
        <v>753</v>
      </c>
    </row>
    <row r="28">
      <c r="A28" s="35"/>
      <c r="B28" s="35"/>
      <c r="C28" s="35"/>
    </row>
    <row r="29">
      <c r="A29" s="34" t="s">
        <v>756</v>
      </c>
    </row>
    <row r="30">
      <c r="A30" s="35"/>
      <c r="B30" s="35"/>
      <c r="C30" s="35"/>
    </row>
    <row r="31">
      <c r="A31" s="36" t="s">
        <v>749</v>
      </c>
      <c r="B31" s="37" t="s">
        <v>757</v>
      </c>
      <c r="C31" s="38"/>
    </row>
    <row r="32">
      <c r="A32" s="39">
        <v>1.0</v>
      </c>
      <c r="B32" s="40" t="s">
        <v>2715</v>
      </c>
      <c r="C32" s="41"/>
    </row>
    <row r="33">
      <c r="A33" s="39">
        <v>2.0</v>
      </c>
      <c r="B33" s="40" t="s">
        <v>2716</v>
      </c>
      <c r="C33" s="41"/>
    </row>
    <row r="34">
      <c r="A34" s="39">
        <v>3.0</v>
      </c>
      <c r="B34" s="40" t="s">
        <v>2717</v>
      </c>
      <c r="C34" s="41"/>
    </row>
    <row r="35">
      <c r="A35" s="39">
        <v>4.0</v>
      </c>
      <c r="B35" s="40" t="s">
        <v>2718</v>
      </c>
      <c r="C35" s="41"/>
    </row>
    <row r="36">
      <c r="A36" s="39">
        <v>5.0</v>
      </c>
      <c r="B36" s="40" t="s">
        <v>2719</v>
      </c>
      <c r="C36" s="41"/>
    </row>
    <row r="37">
      <c r="A37" s="39">
        <v>6.0</v>
      </c>
      <c r="B37" s="40" t="s">
        <v>2720</v>
      </c>
      <c r="C37" s="41"/>
    </row>
    <row r="38">
      <c r="A38" s="43">
        <v>7.0</v>
      </c>
      <c r="B38" s="49" t="s">
        <v>2721</v>
      </c>
      <c r="C38" s="45"/>
    </row>
    <row r="39">
      <c r="A39" s="35"/>
      <c r="B39" s="35"/>
      <c r="C39" s="35"/>
    </row>
    <row r="40">
      <c r="A40" s="34" t="s">
        <v>760</v>
      </c>
    </row>
    <row r="41">
      <c r="A41" s="35"/>
      <c r="B41" s="35"/>
      <c r="C41" s="35"/>
    </row>
    <row r="42">
      <c r="A42" s="36" t="s">
        <v>749</v>
      </c>
      <c r="B42" s="37" t="s">
        <v>757</v>
      </c>
      <c r="C42" s="38"/>
    </row>
    <row r="43">
      <c r="A43" s="39">
        <v>1.0</v>
      </c>
      <c r="B43" s="40" t="s">
        <v>2722</v>
      </c>
      <c r="C43" s="41"/>
    </row>
    <row r="44">
      <c r="A44" s="39">
        <v>2.0</v>
      </c>
      <c r="B44" s="40" t="s">
        <v>2723</v>
      </c>
      <c r="C44" s="41"/>
    </row>
    <row r="45">
      <c r="A45" s="43">
        <v>3.0</v>
      </c>
      <c r="B45" s="49" t="s">
        <v>2724</v>
      </c>
      <c r="C45" s="45"/>
    </row>
    <row r="46">
      <c r="A46" s="35"/>
      <c r="B46" s="35"/>
      <c r="C46" s="35"/>
    </row>
    <row r="47">
      <c r="A47" s="34" t="s">
        <v>763</v>
      </c>
    </row>
    <row r="48">
      <c r="A48" s="35"/>
      <c r="B48" s="35"/>
      <c r="C48" s="35"/>
    </row>
    <row r="49">
      <c r="A49" s="36" t="s">
        <v>749</v>
      </c>
      <c r="B49" s="37" t="s">
        <v>757</v>
      </c>
      <c r="C49" s="38"/>
    </row>
    <row r="50">
      <c r="A50" s="39">
        <v>1.0</v>
      </c>
      <c r="B50" s="40" t="s">
        <v>2725</v>
      </c>
      <c r="C50" s="41"/>
    </row>
    <row r="51">
      <c r="A51" s="39">
        <v>2.0</v>
      </c>
      <c r="B51" s="40" t="s">
        <v>2726</v>
      </c>
      <c r="C51" s="41"/>
    </row>
    <row r="52">
      <c r="A52" s="39">
        <v>3.0</v>
      </c>
      <c r="B52" s="40" t="s">
        <v>2727</v>
      </c>
      <c r="C52" s="41"/>
    </row>
    <row r="53">
      <c r="A53" s="39">
        <v>4.0</v>
      </c>
      <c r="B53" s="40" t="s">
        <v>2728</v>
      </c>
      <c r="C53" s="41"/>
    </row>
    <row r="54">
      <c r="A54" s="39">
        <v>5.0</v>
      </c>
      <c r="B54" s="40" t="s">
        <v>2729</v>
      </c>
      <c r="C54" s="41"/>
    </row>
    <row r="55">
      <c r="A55" s="39">
        <v>6.0</v>
      </c>
      <c r="B55" s="40" t="s">
        <v>899</v>
      </c>
      <c r="C55" s="41"/>
    </row>
    <row r="56">
      <c r="A56" s="43">
        <v>7.0</v>
      </c>
      <c r="B56" s="49" t="s">
        <v>2730</v>
      </c>
      <c r="C56" s="45"/>
    </row>
  </sheetData>
  <mergeCells count="7">
    <mergeCell ref="A1:C1"/>
    <mergeCell ref="A11:C11"/>
    <mergeCell ref="A13:C13"/>
    <mergeCell ref="A15:C15"/>
    <mergeCell ref="A29:C29"/>
    <mergeCell ref="A40:C40"/>
    <mergeCell ref="A47:C47"/>
  </mergeCells>
  <hyperlinks>
    <hyperlink r:id="rId1" ref="B9"/>
  </hyperlinks>
  <drawing r:id="rId2"/>
</worksheet>
</file>

<file path=xl/worksheets/sheet6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2" max="2" width="87.63"/>
    <col customWidth="1" min="3" max="3" width="20.13"/>
  </cols>
  <sheetData>
    <row r="1">
      <c r="A1" s="34" t="s">
        <v>742</v>
      </c>
    </row>
    <row r="2">
      <c r="A2" s="35"/>
      <c r="B2" s="35"/>
      <c r="C2" s="35"/>
    </row>
    <row r="3">
      <c r="A3" s="36" t="s">
        <v>743</v>
      </c>
      <c r="B3" s="37" t="s">
        <v>744</v>
      </c>
      <c r="C3" s="38"/>
    </row>
    <row r="4">
      <c r="A4" s="39" t="s">
        <v>6</v>
      </c>
      <c r="B4" s="40" t="s">
        <v>324</v>
      </c>
      <c r="C4" s="41"/>
    </row>
    <row r="5">
      <c r="A5" s="39" t="s">
        <v>745</v>
      </c>
      <c r="B5" s="42">
        <v>46154.0</v>
      </c>
      <c r="C5" s="41"/>
    </row>
    <row r="6">
      <c r="A6" s="39" t="s">
        <v>0</v>
      </c>
      <c r="B6" s="40" t="s">
        <v>305</v>
      </c>
      <c r="C6" s="41"/>
    </row>
    <row r="7">
      <c r="A7" s="39" t="s">
        <v>7</v>
      </c>
      <c r="B7" s="40" t="s">
        <v>325</v>
      </c>
      <c r="C7" s="41"/>
    </row>
    <row r="8">
      <c r="A8" s="39" t="s">
        <v>746</v>
      </c>
      <c r="B8" s="40">
        <v>3.0</v>
      </c>
      <c r="C8" s="41"/>
    </row>
    <row r="9">
      <c r="A9" s="43" t="s">
        <v>8</v>
      </c>
      <c r="B9" s="44" t="s">
        <v>326</v>
      </c>
      <c r="C9" s="45"/>
    </row>
    <row r="10">
      <c r="A10" s="35"/>
      <c r="B10" s="35"/>
      <c r="C10" s="35"/>
    </row>
    <row r="11">
      <c r="A11" s="34" t="s">
        <v>747</v>
      </c>
    </row>
    <row r="12">
      <c r="A12" s="35"/>
      <c r="B12" s="35"/>
      <c r="C12" s="35"/>
    </row>
    <row r="13">
      <c r="A13" s="46" t="s">
        <v>327</v>
      </c>
    </row>
    <row r="14">
      <c r="A14" s="35"/>
      <c r="B14" s="35"/>
      <c r="C14" s="35"/>
    </row>
    <row r="15">
      <c r="A15" s="34" t="s">
        <v>748</v>
      </c>
    </row>
    <row r="16">
      <c r="A16" s="35"/>
      <c r="B16" s="35"/>
      <c r="C16" s="35"/>
    </row>
    <row r="17">
      <c r="A17" s="36" t="s">
        <v>749</v>
      </c>
      <c r="B17" s="37" t="s">
        <v>750</v>
      </c>
      <c r="C17" s="47" t="s">
        <v>751</v>
      </c>
    </row>
    <row r="18">
      <c r="A18" s="39">
        <v>1.0</v>
      </c>
      <c r="B18" s="40" t="s">
        <v>2731</v>
      </c>
      <c r="C18" s="48" t="s">
        <v>753</v>
      </c>
    </row>
    <row r="19">
      <c r="A19" s="39">
        <v>2.0</v>
      </c>
      <c r="B19" s="40" t="s">
        <v>2732</v>
      </c>
      <c r="C19" s="48" t="s">
        <v>753</v>
      </c>
    </row>
    <row r="20">
      <c r="A20" s="39">
        <v>3.0</v>
      </c>
      <c r="B20" s="40" t="s">
        <v>2733</v>
      </c>
      <c r="C20" s="48" t="s">
        <v>753</v>
      </c>
    </row>
    <row r="21">
      <c r="A21" s="39">
        <v>4.0</v>
      </c>
      <c r="B21" s="40" t="s">
        <v>2734</v>
      </c>
      <c r="C21" s="48" t="s">
        <v>753</v>
      </c>
    </row>
    <row r="22">
      <c r="A22" s="39">
        <v>5.0</v>
      </c>
      <c r="B22" s="40" t="s">
        <v>2735</v>
      </c>
      <c r="C22" s="48" t="s">
        <v>753</v>
      </c>
    </row>
    <row r="23">
      <c r="A23" s="39">
        <v>6.0</v>
      </c>
      <c r="B23" s="40" t="s">
        <v>2736</v>
      </c>
      <c r="C23" s="48" t="s">
        <v>753</v>
      </c>
    </row>
    <row r="24">
      <c r="A24" s="39">
        <v>7.0</v>
      </c>
      <c r="B24" s="40" t="s">
        <v>2737</v>
      </c>
      <c r="C24" s="48" t="s">
        <v>753</v>
      </c>
    </row>
    <row r="25">
      <c r="A25" s="39">
        <v>8.0</v>
      </c>
      <c r="B25" s="40" t="s">
        <v>2738</v>
      </c>
      <c r="C25" s="48" t="s">
        <v>753</v>
      </c>
    </row>
    <row r="26">
      <c r="A26" s="39">
        <v>9.0</v>
      </c>
      <c r="B26" s="40" t="s">
        <v>2739</v>
      </c>
      <c r="C26" s="48" t="s">
        <v>753</v>
      </c>
    </row>
    <row r="27">
      <c r="A27" s="43">
        <v>10.0</v>
      </c>
      <c r="B27" s="49" t="s">
        <v>2740</v>
      </c>
      <c r="C27" s="50" t="s">
        <v>753</v>
      </c>
    </row>
    <row r="28">
      <c r="A28" s="35"/>
      <c r="B28" s="35"/>
      <c r="C28" s="35"/>
    </row>
    <row r="29">
      <c r="A29" s="34" t="s">
        <v>756</v>
      </c>
    </row>
    <row r="30">
      <c r="A30" s="35"/>
      <c r="B30" s="35"/>
      <c r="C30" s="35"/>
    </row>
    <row r="31">
      <c r="A31" s="36" t="s">
        <v>749</v>
      </c>
      <c r="B31" s="37" t="s">
        <v>757</v>
      </c>
      <c r="C31" s="38"/>
    </row>
    <row r="32">
      <c r="A32" s="39">
        <v>1.0</v>
      </c>
      <c r="B32" s="40" t="s">
        <v>2741</v>
      </c>
      <c r="C32" s="41"/>
    </row>
    <row r="33">
      <c r="A33" s="39">
        <v>2.0</v>
      </c>
      <c r="B33" s="40" t="s">
        <v>2742</v>
      </c>
      <c r="C33" s="41"/>
    </row>
    <row r="34">
      <c r="A34" s="39">
        <v>3.0</v>
      </c>
      <c r="B34" s="40" t="s">
        <v>2743</v>
      </c>
      <c r="C34" s="41"/>
    </row>
    <row r="35">
      <c r="A35" s="43">
        <v>4.0</v>
      </c>
      <c r="B35" s="49" t="s">
        <v>2744</v>
      </c>
      <c r="C35" s="45"/>
    </row>
    <row r="36">
      <c r="A36" s="35"/>
      <c r="B36" s="35"/>
      <c r="C36" s="35"/>
    </row>
    <row r="37">
      <c r="A37" s="34" t="s">
        <v>760</v>
      </c>
    </row>
    <row r="38">
      <c r="A38" s="35"/>
      <c r="B38" s="35"/>
      <c r="C38" s="35"/>
    </row>
    <row r="39">
      <c r="A39" s="36" t="s">
        <v>749</v>
      </c>
      <c r="B39" s="37" t="s">
        <v>757</v>
      </c>
      <c r="C39" s="38"/>
    </row>
    <row r="40">
      <c r="A40" s="39">
        <v>1.0</v>
      </c>
      <c r="B40" s="40" t="s">
        <v>2745</v>
      </c>
      <c r="C40" s="41"/>
    </row>
    <row r="41">
      <c r="A41" s="39">
        <v>2.0</v>
      </c>
      <c r="B41" s="40" t="s">
        <v>2746</v>
      </c>
      <c r="C41" s="41"/>
    </row>
    <row r="42">
      <c r="A42" s="39">
        <v>3.0</v>
      </c>
      <c r="B42" s="40" t="s">
        <v>2747</v>
      </c>
      <c r="C42" s="41"/>
    </row>
    <row r="43">
      <c r="A43" s="39">
        <v>4.0</v>
      </c>
      <c r="B43" s="40" t="s">
        <v>2748</v>
      </c>
      <c r="C43" s="41"/>
    </row>
    <row r="44">
      <c r="A44" s="43">
        <v>5.0</v>
      </c>
      <c r="B44" s="49" t="s">
        <v>2749</v>
      </c>
      <c r="C44" s="45"/>
    </row>
    <row r="45">
      <c r="A45" s="35"/>
      <c r="B45" s="35"/>
      <c r="C45" s="35"/>
    </row>
    <row r="46">
      <c r="A46" s="34" t="s">
        <v>763</v>
      </c>
    </row>
    <row r="47">
      <c r="A47" s="35"/>
      <c r="B47" s="35"/>
      <c r="C47" s="35"/>
    </row>
    <row r="48">
      <c r="A48" s="36" t="s">
        <v>749</v>
      </c>
      <c r="B48" s="37" t="s">
        <v>757</v>
      </c>
      <c r="C48" s="38"/>
    </row>
    <row r="49">
      <c r="A49" s="39">
        <v>1.0</v>
      </c>
      <c r="B49" s="40" t="s">
        <v>2750</v>
      </c>
      <c r="C49" s="41"/>
    </row>
    <row r="50">
      <c r="A50" s="39">
        <v>2.0</v>
      </c>
      <c r="B50" s="40" t="s">
        <v>2751</v>
      </c>
      <c r="C50" s="41"/>
    </row>
    <row r="51">
      <c r="A51" s="39">
        <v>3.0</v>
      </c>
      <c r="B51" s="40" t="s">
        <v>2752</v>
      </c>
      <c r="C51" s="41"/>
    </row>
    <row r="52">
      <c r="A52" s="39">
        <v>4.0</v>
      </c>
      <c r="B52" s="40" t="s">
        <v>2753</v>
      </c>
      <c r="C52" s="41"/>
    </row>
    <row r="53">
      <c r="A53" s="43">
        <v>5.0</v>
      </c>
      <c r="B53" s="49" t="s">
        <v>2754</v>
      </c>
      <c r="C53" s="45"/>
    </row>
  </sheetData>
  <mergeCells count="7">
    <mergeCell ref="A1:C1"/>
    <mergeCell ref="A11:C11"/>
    <mergeCell ref="A13:C13"/>
    <mergeCell ref="A15:C15"/>
    <mergeCell ref="A29:C29"/>
    <mergeCell ref="A37:C37"/>
    <mergeCell ref="A46:C46"/>
  </mergeCells>
  <hyperlinks>
    <hyperlink r:id="rId1" ref="B9"/>
  </hyperlinks>
  <drawing r:id="rId2"/>
</worksheet>
</file>

<file path=xl/worksheets/sheet7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2" max="2" width="87.63"/>
    <col customWidth="1" min="3" max="3" width="20.13"/>
  </cols>
  <sheetData>
    <row r="1">
      <c r="A1" s="34" t="s">
        <v>742</v>
      </c>
    </row>
    <row r="2">
      <c r="A2" s="35"/>
      <c r="B2" s="35"/>
      <c r="C2" s="35"/>
    </row>
    <row r="3">
      <c r="A3" s="36" t="s">
        <v>743</v>
      </c>
      <c r="B3" s="37" t="s">
        <v>744</v>
      </c>
      <c r="C3" s="38"/>
    </row>
    <row r="4">
      <c r="A4" s="39" t="s">
        <v>6</v>
      </c>
      <c r="B4" s="40" t="s">
        <v>329</v>
      </c>
      <c r="C4" s="41"/>
    </row>
    <row r="5">
      <c r="A5" s="39" t="s">
        <v>745</v>
      </c>
      <c r="B5" s="42">
        <v>46155.0</v>
      </c>
      <c r="C5" s="41"/>
    </row>
    <row r="6">
      <c r="A6" s="39" t="s">
        <v>0</v>
      </c>
      <c r="B6" s="40" t="s">
        <v>305</v>
      </c>
      <c r="C6" s="41"/>
    </row>
    <row r="7">
      <c r="A7" s="39" t="s">
        <v>7</v>
      </c>
      <c r="B7" s="40" t="s">
        <v>63</v>
      </c>
      <c r="C7" s="41"/>
    </row>
    <row r="8">
      <c r="A8" s="39" t="s">
        <v>746</v>
      </c>
      <c r="B8" s="40">
        <v>3.0</v>
      </c>
      <c r="C8" s="41"/>
    </row>
    <row r="9">
      <c r="A9" s="43" t="s">
        <v>8</v>
      </c>
      <c r="B9" s="44" t="s">
        <v>330</v>
      </c>
      <c r="C9" s="45"/>
    </row>
    <row r="10">
      <c r="A10" s="35"/>
      <c r="B10" s="35"/>
      <c r="C10" s="35"/>
    </row>
    <row r="11">
      <c r="A11" s="34" t="s">
        <v>747</v>
      </c>
    </row>
    <row r="12">
      <c r="A12" s="35"/>
      <c r="B12" s="35"/>
      <c r="C12" s="35"/>
    </row>
    <row r="13">
      <c r="A13" s="46" t="s">
        <v>331</v>
      </c>
    </row>
    <row r="14">
      <c r="A14" s="35"/>
      <c r="B14" s="35"/>
      <c r="C14" s="35"/>
    </row>
    <row r="15">
      <c r="A15" s="34" t="s">
        <v>748</v>
      </c>
    </row>
    <row r="16">
      <c r="A16" s="35"/>
      <c r="B16" s="35"/>
      <c r="C16" s="35"/>
    </row>
    <row r="17">
      <c r="A17" s="36" t="s">
        <v>749</v>
      </c>
      <c r="B17" s="37" t="s">
        <v>750</v>
      </c>
      <c r="C17" s="47" t="s">
        <v>751</v>
      </c>
    </row>
    <row r="18">
      <c r="A18" s="39">
        <v>1.0</v>
      </c>
      <c r="B18" s="40" t="s">
        <v>2755</v>
      </c>
      <c r="C18" s="48" t="s">
        <v>1418</v>
      </c>
    </row>
    <row r="19">
      <c r="A19" s="39">
        <v>2.0</v>
      </c>
      <c r="B19" s="40" t="s">
        <v>2756</v>
      </c>
      <c r="C19" s="48" t="s">
        <v>753</v>
      </c>
    </row>
    <row r="20">
      <c r="A20" s="39">
        <v>3.0</v>
      </c>
      <c r="B20" s="40" t="s">
        <v>2757</v>
      </c>
      <c r="C20" s="48" t="s">
        <v>1418</v>
      </c>
    </row>
    <row r="21">
      <c r="A21" s="39">
        <v>4.0</v>
      </c>
      <c r="B21" s="40" t="s">
        <v>2758</v>
      </c>
      <c r="C21" s="48" t="s">
        <v>753</v>
      </c>
    </row>
    <row r="22">
      <c r="A22" s="39">
        <v>5.0</v>
      </c>
      <c r="B22" s="40" t="s">
        <v>2759</v>
      </c>
      <c r="C22" s="48" t="s">
        <v>753</v>
      </c>
    </row>
    <row r="23">
      <c r="A23" s="39">
        <v>6.0</v>
      </c>
      <c r="B23" s="40" t="s">
        <v>2760</v>
      </c>
      <c r="C23" s="48" t="s">
        <v>753</v>
      </c>
    </row>
    <row r="24">
      <c r="A24" s="39">
        <v>7.0</v>
      </c>
      <c r="B24" s="40" t="s">
        <v>2761</v>
      </c>
      <c r="C24" s="48" t="s">
        <v>1418</v>
      </c>
    </row>
    <row r="25">
      <c r="A25" s="43">
        <v>8.0</v>
      </c>
      <c r="B25" s="49" t="s">
        <v>2762</v>
      </c>
      <c r="C25" s="50" t="s">
        <v>1418</v>
      </c>
    </row>
    <row r="26">
      <c r="A26" s="35"/>
      <c r="B26" s="35"/>
      <c r="C26" s="35"/>
    </row>
    <row r="27">
      <c r="A27" s="34" t="s">
        <v>756</v>
      </c>
    </row>
    <row r="28">
      <c r="A28" s="35"/>
      <c r="B28" s="35"/>
      <c r="C28" s="35"/>
    </row>
    <row r="29">
      <c r="A29" s="36" t="s">
        <v>749</v>
      </c>
      <c r="B29" s="37" t="s">
        <v>757</v>
      </c>
      <c r="C29" s="38"/>
    </row>
    <row r="30">
      <c r="A30" s="39">
        <v>1.0</v>
      </c>
      <c r="B30" s="40" t="s">
        <v>2763</v>
      </c>
      <c r="C30" s="41"/>
    </row>
    <row r="31">
      <c r="A31" s="39">
        <v>2.0</v>
      </c>
      <c r="B31" s="40" t="s">
        <v>2764</v>
      </c>
      <c r="C31" s="41"/>
    </row>
    <row r="32">
      <c r="A32" s="39">
        <v>3.0</v>
      </c>
      <c r="B32" s="40" t="s">
        <v>2765</v>
      </c>
      <c r="C32" s="41"/>
    </row>
    <row r="33">
      <c r="A33" s="43">
        <v>4.0</v>
      </c>
      <c r="B33" s="49" t="s">
        <v>2766</v>
      </c>
      <c r="C33" s="45"/>
    </row>
    <row r="34">
      <c r="A34" s="35"/>
      <c r="B34" s="35"/>
      <c r="C34" s="35"/>
    </row>
    <row r="35">
      <c r="A35" s="34" t="s">
        <v>760</v>
      </c>
    </row>
    <row r="36">
      <c r="A36" s="35"/>
      <c r="B36" s="35"/>
      <c r="C36" s="35"/>
    </row>
    <row r="37">
      <c r="A37" s="36" t="s">
        <v>749</v>
      </c>
      <c r="B37" s="37" t="s">
        <v>757</v>
      </c>
      <c r="C37" s="38"/>
    </row>
    <row r="38">
      <c r="A38" s="39">
        <v>1.0</v>
      </c>
      <c r="B38" s="40" t="s">
        <v>2767</v>
      </c>
      <c r="C38" s="41"/>
    </row>
    <row r="39">
      <c r="A39" s="39">
        <v>2.0</v>
      </c>
      <c r="B39" s="40" t="s">
        <v>2768</v>
      </c>
      <c r="C39" s="41"/>
    </row>
    <row r="40">
      <c r="A40" s="43">
        <v>3.0</v>
      </c>
      <c r="B40" s="49" t="s">
        <v>2769</v>
      </c>
      <c r="C40" s="45"/>
    </row>
    <row r="41">
      <c r="A41" s="35"/>
      <c r="B41" s="35"/>
      <c r="C41" s="35"/>
    </row>
    <row r="42">
      <c r="A42" s="34" t="s">
        <v>763</v>
      </c>
    </row>
    <row r="43">
      <c r="A43" s="35"/>
      <c r="B43" s="35"/>
      <c r="C43" s="35"/>
    </row>
    <row r="44">
      <c r="A44" s="36" t="s">
        <v>749</v>
      </c>
      <c r="B44" s="37" t="s">
        <v>757</v>
      </c>
      <c r="C44" s="38"/>
    </row>
    <row r="45">
      <c r="A45" s="39">
        <v>1.0</v>
      </c>
      <c r="B45" s="40" t="s">
        <v>2770</v>
      </c>
      <c r="C45" s="41"/>
    </row>
    <row r="46">
      <c r="A46" s="39">
        <v>2.0</v>
      </c>
      <c r="B46" s="40" t="s">
        <v>2771</v>
      </c>
      <c r="C46" s="41"/>
    </row>
    <row r="47">
      <c r="A47" s="39">
        <v>3.0</v>
      </c>
      <c r="B47" s="40" t="s">
        <v>2772</v>
      </c>
      <c r="C47" s="41"/>
    </row>
    <row r="48">
      <c r="A48" s="39">
        <v>4.0</v>
      </c>
      <c r="B48" s="40" t="s">
        <v>2773</v>
      </c>
      <c r="C48" s="41"/>
    </row>
    <row r="49">
      <c r="A49" s="39">
        <v>5.0</v>
      </c>
      <c r="B49" s="40" t="s">
        <v>2774</v>
      </c>
      <c r="C49" s="41"/>
    </row>
    <row r="50">
      <c r="A50" s="39">
        <v>6.0</v>
      </c>
      <c r="B50" s="40" t="s">
        <v>2775</v>
      </c>
      <c r="C50" s="41"/>
    </row>
    <row r="51">
      <c r="A51" s="39">
        <v>7.0</v>
      </c>
      <c r="B51" s="40" t="s">
        <v>2776</v>
      </c>
      <c r="C51" s="41"/>
    </row>
    <row r="52">
      <c r="A52" s="39">
        <v>8.0</v>
      </c>
      <c r="B52" s="40" t="s">
        <v>899</v>
      </c>
      <c r="C52" s="41"/>
    </row>
    <row r="53">
      <c r="A53" s="39">
        <v>9.0</v>
      </c>
      <c r="B53" s="40" t="s">
        <v>2777</v>
      </c>
      <c r="C53" s="41"/>
    </row>
    <row r="54">
      <c r="A54" s="39">
        <v>10.0</v>
      </c>
      <c r="B54" s="40" t="s">
        <v>2778</v>
      </c>
      <c r="C54" s="41"/>
    </row>
    <row r="55">
      <c r="A55" s="39">
        <v>11.0</v>
      </c>
      <c r="B55" s="40" t="s">
        <v>2779</v>
      </c>
      <c r="C55" s="41"/>
    </row>
    <row r="56">
      <c r="A56" s="39">
        <v>12.0</v>
      </c>
      <c r="B56" s="40" t="s">
        <v>2780</v>
      </c>
      <c r="C56" s="41"/>
    </row>
    <row r="57">
      <c r="A57" s="39">
        <v>13.0</v>
      </c>
      <c r="B57" s="40" t="s">
        <v>2781</v>
      </c>
      <c r="C57" s="41"/>
    </row>
    <row r="58">
      <c r="A58" s="39">
        <v>14.0</v>
      </c>
      <c r="B58" s="40" t="s">
        <v>2782</v>
      </c>
      <c r="C58" s="41"/>
    </row>
    <row r="59">
      <c r="A59" s="39">
        <v>15.0</v>
      </c>
      <c r="B59" s="40" t="s">
        <v>2783</v>
      </c>
      <c r="C59" s="41"/>
    </row>
    <row r="60">
      <c r="A60" s="39">
        <v>16.0</v>
      </c>
      <c r="B60" s="40" t="s">
        <v>2784</v>
      </c>
      <c r="C60" s="41"/>
    </row>
    <row r="61">
      <c r="A61" s="39">
        <v>17.0</v>
      </c>
      <c r="B61" s="40" t="s">
        <v>2785</v>
      </c>
      <c r="C61" s="41"/>
    </row>
    <row r="62">
      <c r="A62" s="39">
        <v>18.0</v>
      </c>
      <c r="B62" s="40" t="s">
        <v>899</v>
      </c>
      <c r="C62" s="41"/>
    </row>
    <row r="63">
      <c r="A63" s="39">
        <v>19.0</v>
      </c>
      <c r="B63" s="40" t="s">
        <v>2786</v>
      </c>
      <c r="C63" s="41"/>
    </row>
    <row r="64">
      <c r="A64" s="39">
        <v>20.0</v>
      </c>
      <c r="B64" s="40" t="s">
        <v>2787</v>
      </c>
      <c r="C64" s="41"/>
    </row>
    <row r="65">
      <c r="A65" s="39">
        <v>21.0</v>
      </c>
      <c r="B65" s="40" t="s">
        <v>2788</v>
      </c>
      <c r="C65" s="41"/>
    </row>
    <row r="66">
      <c r="A66" s="39">
        <v>22.0</v>
      </c>
      <c r="B66" s="40" t="s">
        <v>2789</v>
      </c>
      <c r="C66" s="41"/>
    </row>
    <row r="67">
      <c r="A67" s="39">
        <v>23.0</v>
      </c>
      <c r="B67" s="40" t="s">
        <v>2790</v>
      </c>
      <c r="C67" s="41"/>
    </row>
    <row r="68">
      <c r="A68" s="39">
        <v>24.0</v>
      </c>
      <c r="B68" s="40" t="s">
        <v>899</v>
      </c>
      <c r="C68" s="41"/>
    </row>
    <row r="69">
      <c r="A69" s="39">
        <v>25.0</v>
      </c>
      <c r="B69" s="40" t="s">
        <v>2791</v>
      </c>
      <c r="C69" s="41"/>
    </row>
    <row r="70">
      <c r="A70" s="39">
        <v>26.0</v>
      </c>
      <c r="B70" s="40" t="s">
        <v>2792</v>
      </c>
      <c r="C70" s="41"/>
    </row>
    <row r="71">
      <c r="A71" s="39">
        <v>27.0</v>
      </c>
      <c r="B71" s="40" t="s">
        <v>2793</v>
      </c>
      <c r="C71" s="41"/>
    </row>
    <row r="72">
      <c r="A72" s="39">
        <v>28.0</v>
      </c>
      <c r="B72" s="40" t="s">
        <v>2794</v>
      </c>
      <c r="C72" s="41"/>
    </row>
    <row r="73">
      <c r="A73" s="39">
        <v>29.0</v>
      </c>
      <c r="B73" s="40" t="s">
        <v>899</v>
      </c>
      <c r="C73" s="41"/>
    </row>
    <row r="74">
      <c r="A74" s="39">
        <v>30.0</v>
      </c>
      <c r="B74" s="40" t="s">
        <v>2795</v>
      </c>
      <c r="C74" s="41"/>
    </row>
    <row r="75">
      <c r="A75" s="39">
        <v>31.0</v>
      </c>
      <c r="B75" s="40" t="s">
        <v>2796</v>
      </c>
      <c r="C75" s="41"/>
    </row>
    <row r="76">
      <c r="A76" s="39">
        <v>32.0</v>
      </c>
      <c r="B76" s="40" t="s">
        <v>2797</v>
      </c>
      <c r="C76" s="41"/>
    </row>
    <row r="77">
      <c r="A77" s="39">
        <v>33.0</v>
      </c>
      <c r="B77" s="40" t="s">
        <v>2798</v>
      </c>
      <c r="C77" s="41"/>
    </row>
    <row r="78">
      <c r="A78" s="39">
        <v>34.0</v>
      </c>
      <c r="B78" s="40" t="s">
        <v>2799</v>
      </c>
      <c r="C78" s="41"/>
    </row>
    <row r="79">
      <c r="A79" s="39">
        <v>35.0</v>
      </c>
      <c r="B79" s="40" t="s">
        <v>2800</v>
      </c>
      <c r="C79" s="41"/>
    </row>
    <row r="80">
      <c r="A80" s="43">
        <v>36.0</v>
      </c>
      <c r="B80" s="49" t="s">
        <v>2801</v>
      </c>
      <c r="C80" s="45"/>
    </row>
  </sheetData>
  <mergeCells count="7">
    <mergeCell ref="A1:C1"/>
    <mergeCell ref="A11:C11"/>
    <mergeCell ref="A13:C13"/>
    <mergeCell ref="A15:C15"/>
    <mergeCell ref="A27:C27"/>
    <mergeCell ref="A35:C35"/>
    <mergeCell ref="A42:C42"/>
  </mergeCells>
  <hyperlinks>
    <hyperlink r:id="rId1" ref="B9"/>
  </hyperlinks>
  <drawing r:id="rId2"/>
</worksheet>
</file>

<file path=xl/worksheets/sheet7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2" max="2" width="87.63"/>
    <col customWidth="1" min="3" max="3" width="20.13"/>
  </cols>
  <sheetData>
    <row r="1">
      <c r="A1" s="34" t="s">
        <v>742</v>
      </c>
    </row>
    <row r="2">
      <c r="A2" s="35"/>
      <c r="B2" s="35"/>
      <c r="C2" s="35"/>
    </row>
    <row r="3">
      <c r="A3" s="36" t="s">
        <v>743</v>
      </c>
      <c r="B3" s="37" t="s">
        <v>744</v>
      </c>
      <c r="C3" s="38"/>
    </row>
    <row r="4">
      <c r="A4" s="39" t="s">
        <v>6</v>
      </c>
      <c r="B4" s="40" t="s">
        <v>333</v>
      </c>
      <c r="C4" s="41"/>
    </row>
    <row r="5">
      <c r="A5" s="39" t="s">
        <v>745</v>
      </c>
      <c r="B5" s="42">
        <v>46155.0</v>
      </c>
      <c r="C5" s="41"/>
    </row>
    <row r="6">
      <c r="A6" s="39" t="s">
        <v>0</v>
      </c>
      <c r="B6" s="40" t="s">
        <v>305</v>
      </c>
      <c r="C6" s="41"/>
    </row>
    <row r="7">
      <c r="A7" s="39" t="s">
        <v>7</v>
      </c>
      <c r="B7" s="40" t="s">
        <v>26</v>
      </c>
      <c r="C7" s="41"/>
    </row>
    <row r="8">
      <c r="A8" s="39" t="s">
        <v>746</v>
      </c>
      <c r="B8" s="40">
        <v>4.0</v>
      </c>
      <c r="C8" s="41"/>
    </row>
    <row r="9">
      <c r="A9" s="43" t="s">
        <v>8</v>
      </c>
      <c r="B9" s="44" t="s">
        <v>334</v>
      </c>
      <c r="C9" s="45"/>
    </row>
    <row r="10">
      <c r="A10" s="35"/>
      <c r="B10" s="35"/>
      <c r="C10" s="35"/>
    </row>
    <row r="11">
      <c r="A11" s="34" t="s">
        <v>747</v>
      </c>
    </row>
    <row r="12">
      <c r="A12" s="35"/>
      <c r="B12" s="35"/>
      <c r="C12" s="35"/>
    </row>
    <row r="13">
      <c r="A13" s="46" t="s">
        <v>335</v>
      </c>
    </row>
    <row r="14">
      <c r="A14" s="35"/>
      <c r="B14" s="35"/>
      <c r="C14" s="35"/>
    </row>
    <row r="15">
      <c r="A15" s="34" t="s">
        <v>748</v>
      </c>
    </row>
    <row r="16">
      <c r="A16" s="35"/>
      <c r="B16" s="35"/>
      <c r="C16" s="35"/>
    </row>
    <row r="17">
      <c r="A17" s="36" t="s">
        <v>749</v>
      </c>
      <c r="B17" s="37" t="s">
        <v>750</v>
      </c>
      <c r="C17" s="47" t="s">
        <v>751</v>
      </c>
    </row>
    <row r="18">
      <c r="A18" s="39">
        <v>1.0</v>
      </c>
      <c r="B18" s="40" t="s">
        <v>2802</v>
      </c>
      <c r="C18" s="48" t="s">
        <v>753</v>
      </c>
    </row>
    <row r="19">
      <c r="A19" s="39">
        <v>2.0</v>
      </c>
      <c r="B19" s="40" t="s">
        <v>2803</v>
      </c>
      <c r="C19" s="48" t="s">
        <v>753</v>
      </c>
    </row>
    <row r="20">
      <c r="A20" s="39">
        <v>3.0</v>
      </c>
      <c r="B20" s="40" t="s">
        <v>2804</v>
      </c>
      <c r="C20" s="48" t="s">
        <v>2805</v>
      </c>
    </row>
    <row r="21">
      <c r="A21" s="39">
        <v>4.0</v>
      </c>
      <c r="B21" s="40" t="s">
        <v>2806</v>
      </c>
      <c r="C21" s="48" t="s">
        <v>2805</v>
      </c>
    </row>
    <row r="22">
      <c r="A22" s="39">
        <v>5.0</v>
      </c>
      <c r="B22" s="40" t="s">
        <v>2807</v>
      </c>
      <c r="C22" s="48" t="s">
        <v>753</v>
      </c>
    </row>
    <row r="23">
      <c r="A23" s="39">
        <v>6.0</v>
      </c>
      <c r="B23" s="40" t="s">
        <v>2808</v>
      </c>
      <c r="C23" s="48" t="s">
        <v>753</v>
      </c>
    </row>
    <row r="24">
      <c r="A24" s="39">
        <v>7.0</v>
      </c>
      <c r="B24" s="40" t="s">
        <v>2809</v>
      </c>
      <c r="C24" s="48" t="s">
        <v>753</v>
      </c>
    </row>
    <row r="25">
      <c r="A25" s="39">
        <v>8.0</v>
      </c>
      <c r="B25" s="40" t="s">
        <v>2810</v>
      </c>
      <c r="C25" s="48" t="s">
        <v>2811</v>
      </c>
    </row>
    <row r="26">
      <c r="A26" s="39">
        <v>9.0</v>
      </c>
      <c r="B26" s="40" t="s">
        <v>2812</v>
      </c>
      <c r="C26" s="48" t="s">
        <v>753</v>
      </c>
    </row>
    <row r="27">
      <c r="A27" s="39">
        <v>10.0</v>
      </c>
      <c r="B27" s="40" t="s">
        <v>2813</v>
      </c>
      <c r="C27" s="48" t="s">
        <v>2814</v>
      </c>
    </row>
    <row r="28">
      <c r="A28" s="39">
        <v>11.0</v>
      </c>
      <c r="B28" s="40" t="s">
        <v>2815</v>
      </c>
      <c r="C28" s="48" t="s">
        <v>2816</v>
      </c>
    </row>
    <row r="29">
      <c r="A29" s="43">
        <v>12.0</v>
      </c>
      <c r="B29" s="49" t="s">
        <v>2817</v>
      </c>
      <c r="C29" s="50" t="s">
        <v>753</v>
      </c>
    </row>
    <row r="30">
      <c r="A30" s="35"/>
      <c r="B30" s="35"/>
      <c r="C30" s="35"/>
    </row>
    <row r="31">
      <c r="A31" s="34" t="s">
        <v>756</v>
      </c>
    </row>
    <row r="32">
      <c r="A32" s="35"/>
      <c r="B32" s="35"/>
      <c r="C32" s="35"/>
    </row>
    <row r="33">
      <c r="A33" s="36" t="s">
        <v>749</v>
      </c>
      <c r="B33" s="37" t="s">
        <v>757</v>
      </c>
      <c r="C33" s="38"/>
    </row>
    <row r="34">
      <c r="A34" s="39">
        <v>1.0</v>
      </c>
      <c r="B34" s="40" t="s">
        <v>2818</v>
      </c>
      <c r="C34" s="41"/>
    </row>
    <row r="35">
      <c r="A35" s="39">
        <v>2.0</v>
      </c>
      <c r="B35" s="40" t="s">
        <v>2819</v>
      </c>
      <c r="C35" s="41"/>
    </row>
    <row r="36">
      <c r="A36" s="39">
        <v>3.0</v>
      </c>
      <c r="B36" s="40" t="s">
        <v>2820</v>
      </c>
      <c r="C36" s="41"/>
    </row>
    <row r="37">
      <c r="A37" s="39">
        <v>4.0</v>
      </c>
      <c r="B37" s="40" t="s">
        <v>2821</v>
      </c>
      <c r="C37" s="41"/>
    </row>
    <row r="38">
      <c r="A38" s="39">
        <v>5.0</v>
      </c>
      <c r="B38" s="40" t="s">
        <v>2822</v>
      </c>
      <c r="C38" s="41"/>
    </row>
    <row r="39">
      <c r="A39" s="39">
        <v>6.0</v>
      </c>
      <c r="B39" s="40" t="s">
        <v>2823</v>
      </c>
      <c r="C39" s="41"/>
    </row>
    <row r="40">
      <c r="A40" s="39">
        <v>7.0</v>
      </c>
      <c r="B40" s="40" t="s">
        <v>2824</v>
      </c>
      <c r="C40" s="41"/>
    </row>
    <row r="41">
      <c r="A41" s="43">
        <v>8.0</v>
      </c>
      <c r="B41" s="49" t="s">
        <v>2825</v>
      </c>
      <c r="C41" s="45"/>
    </row>
    <row r="42">
      <c r="A42" s="35"/>
      <c r="B42" s="35"/>
      <c r="C42" s="35"/>
    </row>
    <row r="43">
      <c r="A43" s="34" t="s">
        <v>760</v>
      </c>
    </row>
    <row r="44">
      <c r="A44" s="35"/>
      <c r="B44" s="35"/>
      <c r="C44" s="35"/>
    </row>
    <row r="45">
      <c r="A45" s="36" t="s">
        <v>749</v>
      </c>
      <c r="B45" s="37" t="s">
        <v>757</v>
      </c>
      <c r="C45" s="38"/>
    </row>
    <row r="46">
      <c r="A46" s="39">
        <v>1.0</v>
      </c>
      <c r="B46" s="40" t="s">
        <v>2826</v>
      </c>
      <c r="C46" s="41"/>
    </row>
    <row r="47">
      <c r="A47" s="39">
        <v>2.0</v>
      </c>
      <c r="B47" s="40" t="s">
        <v>2827</v>
      </c>
      <c r="C47" s="41"/>
    </row>
    <row r="48">
      <c r="A48" s="39">
        <v>3.0</v>
      </c>
      <c r="B48" s="40" t="s">
        <v>2828</v>
      </c>
      <c r="C48" s="41"/>
    </row>
    <row r="49">
      <c r="A49" s="39">
        <v>4.0</v>
      </c>
      <c r="B49" s="40" t="s">
        <v>2829</v>
      </c>
      <c r="C49" s="41"/>
    </row>
    <row r="50">
      <c r="A50" s="39">
        <v>5.0</v>
      </c>
      <c r="B50" s="40" t="s">
        <v>2830</v>
      </c>
      <c r="C50" s="41"/>
    </row>
    <row r="51">
      <c r="A51" s="39">
        <v>6.0</v>
      </c>
      <c r="B51" s="40" t="s">
        <v>2831</v>
      </c>
      <c r="C51" s="41"/>
    </row>
    <row r="52">
      <c r="A52" s="39">
        <v>7.0</v>
      </c>
      <c r="B52" s="40" t="s">
        <v>2832</v>
      </c>
      <c r="C52" s="41"/>
    </row>
    <row r="53">
      <c r="A53" s="43">
        <v>8.0</v>
      </c>
      <c r="B53" s="49" t="s">
        <v>2833</v>
      </c>
      <c r="C53" s="45"/>
    </row>
    <row r="54">
      <c r="A54" s="35"/>
      <c r="B54" s="35"/>
      <c r="C54" s="35"/>
    </row>
    <row r="55">
      <c r="A55" s="34" t="s">
        <v>763</v>
      </c>
    </row>
    <row r="56">
      <c r="A56" s="35"/>
      <c r="B56" s="35"/>
      <c r="C56" s="35"/>
    </row>
    <row r="57">
      <c r="A57" s="36" t="s">
        <v>749</v>
      </c>
      <c r="B57" s="37" t="s">
        <v>757</v>
      </c>
      <c r="C57" s="38"/>
    </row>
    <row r="58">
      <c r="A58" s="39">
        <v>1.0</v>
      </c>
      <c r="B58" s="40" t="s">
        <v>2834</v>
      </c>
      <c r="C58" s="41"/>
    </row>
    <row r="59">
      <c r="A59" s="39">
        <v>2.0</v>
      </c>
      <c r="B59" s="40" t="s">
        <v>2835</v>
      </c>
      <c r="C59" s="41"/>
    </row>
    <row r="60">
      <c r="A60" s="39">
        <v>3.0</v>
      </c>
      <c r="B60" s="40" t="s">
        <v>2836</v>
      </c>
      <c r="C60" s="41"/>
    </row>
    <row r="61">
      <c r="A61" s="39">
        <v>4.0</v>
      </c>
      <c r="B61" s="40" t="s">
        <v>2837</v>
      </c>
      <c r="C61" s="41"/>
    </row>
    <row r="62">
      <c r="A62" s="39">
        <v>5.0</v>
      </c>
      <c r="B62" s="40" t="s">
        <v>2838</v>
      </c>
      <c r="C62" s="41"/>
    </row>
    <row r="63">
      <c r="A63" s="43">
        <v>6.0</v>
      </c>
      <c r="B63" s="49" t="s">
        <v>2839</v>
      </c>
      <c r="C63" s="45"/>
    </row>
  </sheetData>
  <mergeCells count="7">
    <mergeCell ref="A1:C1"/>
    <mergeCell ref="A11:C11"/>
    <mergeCell ref="A13:C13"/>
    <mergeCell ref="A15:C15"/>
    <mergeCell ref="A31:C31"/>
    <mergeCell ref="A43:C43"/>
    <mergeCell ref="A55:C55"/>
  </mergeCells>
  <hyperlinks>
    <hyperlink r:id="rId1" ref="B9"/>
  </hyperlinks>
  <drawing r:id="rId2"/>
</worksheet>
</file>

<file path=xl/worksheets/sheet7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2" max="2" width="87.63"/>
    <col customWidth="1" min="3" max="3" width="20.13"/>
  </cols>
  <sheetData>
    <row r="1">
      <c r="A1" s="34" t="s">
        <v>742</v>
      </c>
    </row>
    <row r="2">
      <c r="A2" s="35"/>
      <c r="B2" s="35"/>
      <c r="C2" s="35"/>
    </row>
    <row r="3">
      <c r="A3" s="36" t="s">
        <v>743</v>
      </c>
      <c r="B3" s="37" t="s">
        <v>744</v>
      </c>
      <c r="C3" s="38"/>
    </row>
    <row r="4">
      <c r="A4" s="39" t="s">
        <v>6</v>
      </c>
      <c r="B4" s="40" t="s">
        <v>337</v>
      </c>
      <c r="C4" s="41"/>
    </row>
    <row r="5">
      <c r="A5" s="39" t="s">
        <v>745</v>
      </c>
      <c r="B5" s="42">
        <v>46155.0</v>
      </c>
      <c r="C5" s="41"/>
    </row>
    <row r="6">
      <c r="A6" s="39" t="s">
        <v>0</v>
      </c>
      <c r="B6" s="40" t="s">
        <v>305</v>
      </c>
      <c r="C6" s="41"/>
    </row>
    <row r="7">
      <c r="A7" s="39" t="s">
        <v>7</v>
      </c>
      <c r="B7" s="40" t="s">
        <v>338</v>
      </c>
      <c r="C7" s="41"/>
    </row>
    <row r="8">
      <c r="A8" s="39" t="s">
        <v>746</v>
      </c>
      <c r="B8" s="40">
        <v>3.0</v>
      </c>
      <c r="C8" s="41"/>
    </row>
    <row r="9">
      <c r="A9" s="43" t="s">
        <v>8</v>
      </c>
      <c r="B9" s="44" t="s">
        <v>339</v>
      </c>
      <c r="C9" s="45"/>
    </row>
    <row r="10">
      <c r="A10" s="35"/>
      <c r="B10" s="35"/>
      <c r="C10" s="35"/>
    </row>
    <row r="11">
      <c r="A11" s="34" t="s">
        <v>747</v>
      </c>
    </row>
    <row r="12">
      <c r="A12" s="35"/>
      <c r="B12" s="35"/>
      <c r="C12" s="35"/>
    </row>
    <row r="13">
      <c r="A13" s="46" t="s">
        <v>2840</v>
      </c>
    </row>
    <row r="14">
      <c r="A14" s="35"/>
      <c r="B14" s="35"/>
      <c r="C14" s="35"/>
    </row>
    <row r="15">
      <c r="A15" s="34" t="s">
        <v>748</v>
      </c>
    </row>
    <row r="16">
      <c r="A16" s="35"/>
      <c r="B16" s="35"/>
      <c r="C16" s="35"/>
    </row>
    <row r="17">
      <c r="A17" s="36" t="s">
        <v>749</v>
      </c>
      <c r="B17" s="37" t="s">
        <v>750</v>
      </c>
      <c r="C17" s="47" t="s">
        <v>751</v>
      </c>
    </row>
    <row r="18">
      <c r="A18" s="39">
        <v>1.0</v>
      </c>
      <c r="B18" s="40" t="s">
        <v>2841</v>
      </c>
      <c r="C18" s="48" t="s">
        <v>1418</v>
      </c>
    </row>
    <row r="19">
      <c r="A19" s="39">
        <v>2.0</v>
      </c>
      <c r="B19" s="40" t="s">
        <v>2842</v>
      </c>
      <c r="C19" s="48" t="s">
        <v>1418</v>
      </c>
    </row>
    <row r="20">
      <c r="A20" s="39">
        <v>3.0</v>
      </c>
      <c r="B20" s="40" t="s">
        <v>2843</v>
      </c>
      <c r="C20" s="48" t="s">
        <v>1418</v>
      </c>
    </row>
    <row r="21">
      <c r="A21" s="39">
        <v>4.0</v>
      </c>
      <c r="B21" s="40" t="s">
        <v>2844</v>
      </c>
      <c r="C21" s="48" t="s">
        <v>1418</v>
      </c>
    </row>
    <row r="22">
      <c r="A22" s="39">
        <v>5.0</v>
      </c>
      <c r="B22" s="40" t="s">
        <v>2845</v>
      </c>
      <c r="C22" s="48" t="s">
        <v>1418</v>
      </c>
    </row>
    <row r="23">
      <c r="A23" s="39">
        <v>6.0</v>
      </c>
      <c r="B23" s="40" t="s">
        <v>2846</v>
      </c>
      <c r="C23" s="48" t="s">
        <v>1418</v>
      </c>
    </row>
    <row r="24">
      <c r="A24" s="39">
        <v>7.0</v>
      </c>
      <c r="B24" s="40" t="s">
        <v>2847</v>
      </c>
      <c r="C24" s="48" t="s">
        <v>1418</v>
      </c>
    </row>
    <row r="25">
      <c r="A25" s="39">
        <v>8.0</v>
      </c>
      <c r="B25" s="40" t="s">
        <v>2848</v>
      </c>
      <c r="C25" s="48" t="s">
        <v>1418</v>
      </c>
    </row>
    <row r="26">
      <c r="A26" s="39">
        <v>9.0</v>
      </c>
      <c r="B26" s="40" t="s">
        <v>2849</v>
      </c>
      <c r="C26" s="48" t="s">
        <v>1418</v>
      </c>
    </row>
    <row r="27">
      <c r="A27" s="39">
        <v>10.0</v>
      </c>
      <c r="B27" s="40" t="s">
        <v>2850</v>
      </c>
      <c r="C27" s="48" t="s">
        <v>1418</v>
      </c>
    </row>
    <row r="28">
      <c r="A28" s="39">
        <v>11.0</v>
      </c>
      <c r="B28" s="40" t="s">
        <v>2851</v>
      </c>
      <c r="C28" s="48" t="s">
        <v>1418</v>
      </c>
    </row>
    <row r="29">
      <c r="A29" s="39">
        <v>12.0</v>
      </c>
      <c r="B29" s="40" t="s">
        <v>2852</v>
      </c>
      <c r="C29" s="48" t="s">
        <v>1418</v>
      </c>
    </row>
    <row r="30">
      <c r="A30" s="43">
        <v>13.0</v>
      </c>
      <c r="B30" s="49" t="s">
        <v>2853</v>
      </c>
      <c r="C30" s="50" t="s">
        <v>1418</v>
      </c>
    </row>
    <row r="31">
      <c r="A31" s="35"/>
      <c r="B31" s="35"/>
      <c r="C31" s="35"/>
    </row>
    <row r="32">
      <c r="A32" s="34" t="s">
        <v>756</v>
      </c>
    </row>
    <row r="33">
      <c r="A33" s="35"/>
      <c r="B33" s="35"/>
      <c r="C33" s="35"/>
    </row>
    <row r="34">
      <c r="A34" s="36" t="s">
        <v>749</v>
      </c>
      <c r="B34" s="37" t="s">
        <v>757</v>
      </c>
      <c r="C34" s="38"/>
    </row>
    <row r="35">
      <c r="A35" s="39">
        <v>1.0</v>
      </c>
      <c r="B35" s="40" t="s">
        <v>2854</v>
      </c>
      <c r="C35" s="41"/>
    </row>
    <row r="36">
      <c r="A36" s="39">
        <v>2.0</v>
      </c>
      <c r="B36" s="40" t="s">
        <v>2855</v>
      </c>
      <c r="C36" s="41"/>
    </row>
    <row r="37">
      <c r="A37" s="39">
        <v>3.0</v>
      </c>
      <c r="B37" s="40" t="s">
        <v>2856</v>
      </c>
      <c r="C37" s="41"/>
    </row>
    <row r="38">
      <c r="A38" s="43">
        <v>4.0</v>
      </c>
      <c r="B38" s="49" t="s">
        <v>2857</v>
      </c>
      <c r="C38" s="45"/>
    </row>
    <row r="39">
      <c r="A39" s="35"/>
      <c r="B39" s="35"/>
      <c r="C39" s="35"/>
    </row>
    <row r="40">
      <c r="A40" s="34" t="s">
        <v>760</v>
      </c>
    </row>
    <row r="41">
      <c r="A41" s="35"/>
      <c r="B41" s="35"/>
      <c r="C41" s="35"/>
    </row>
    <row r="42">
      <c r="A42" s="36" t="s">
        <v>749</v>
      </c>
      <c r="B42" s="37" t="s">
        <v>757</v>
      </c>
      <c r="C42" s="38"/>
    </row>
    <row r="43">
      <c r="A43" s="39">
        <v>1.0</v>
      </c>
      <c r="B43" s="40" t="s">
        <v>2858</v>
      </c>
      <c r="C43" s="41"/>
    </row>
    <row r="44">
      <c r="A44" s="39">
        <v>2.0</v>
      </c>
      <c r="B44" s="40" t="s">
        <v>2859</v>
      </c>
      <c r="C44" s="41"/>
    </row>
    <row r="45">
      <c r="A45" s="43">
        <v>3.0</v>
      </c>
      <c r="B45" s="49" t="s">
        <v>2860</v>
      </c>
      <c r="C45" s="45"/>
    </row>
    <row r="46">
      <c r="A46" s="35"/>
      <c r="B46" s="35"/>
      <c r="C46" s="35"/>
    </row>
    <row r="47">
      <c r="A47" s="34" t="s">
        <v>763</v>
      </c>
    </row>
    <row r="48">
      <c r="A48" s="35"/>
      <c r="B48" s="35"/>
      <c r="C48" s="35"/>
    </row>
    <row r="49">
      <c r="A49" s="36" t="s">
        <v>749</v>
      </c>
      <c r="B49" s="37" t="s">
        <v>757</v>
      </c>
      <c r="C49" s="38"/>
    </row>
    <row r="50">
      <c r="A50" s="39">
        <v>1.0</v>
      </c>
      <c r="B50" s="40" t="s">
        <v>2861</v>
      </c>
      <c r="C50" s="41"/>
    </row>
    <row r="51">
      <c r="A51" s="39">
        <v>2.0</v>
      </c>
      <c r="B51" s="40" t="s">
        <v>2862</v>
      </c>
      <c r="C51" s="41"/>
    </row>
    <row r="52">
      <c r="A52" s="39">
        <v>3.0</v>
      </c>
      <c r="B52" s="40" t="s">
        <v>2863</v>
      </c>
      <c r="C52" s="41"/>
    </row>
    <row r="53">
      <c r="A53" s="39">
        <v>4.0</v>
      </c>
      <c r="B53" s="40" t="s">
        <v>2864</v>
      </c>
      <c r="C53" s="41"/>
    </row>
    <row r="54">
      <c r="A54" s="39">
        <v>5.0</v>
      </c>
      <c r="B54" s="40" t="s">
        <v>2865</v>
      </c>
      <c r="C54" s="41"/>
    </row>
    <row r="55">
      <c r="A55" s="39">
        <v>6.0</v>
      </c>
      <c r="B55" s="40" t="s">
        <v>2866</v>
      </c>
      <c r="C55" s="41"/>
    </row>
    <row r="56">
      <c r="A56" s="39">
        <v>7.0</v>
      </c>
      <c r="B56" s="40" t="s">
        <v>2867</v>
      </c>
      <c r="C56" s="41"/>
    </row>
    <row r="57">
      <c r="A57" s="43">
        <v>8.0</v>
      </c>
      <c r="B57" s="49" t="s">
        <v>2868</v>
      </c>
      <c r="C57" s="45"/>
    </row>
  </sheetData>
  <mergeCells count="7">
    <mergeCell ref="A1:C1"/>
    <mergeCell ref="A11:C11"/>
    <mergeCell ref="A13:C13"/>
    <mergeCell ref="A15:C15"/>
    <mergeCell ref="A32:C32"/>
    <mergeCell ref="A40:C40"/>
    <mergeCell ref="A47:C47"/>
  </mergeCells>
  <hyperlinks>
    <hyperlink r:id="rId1" ref="B9"/>
  </hyperlinks>
  <drawing r:id="rId2"/>
</worksheet>
</file>

<file path=xl/worksheets/sheet7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2" max="2" width="87.63"/>
    <col customWidth="1" min="3" max="3" width="20.13"/>
  </cols>
  <sheetData>
    <row r="1">
      <c r="A1" s="34" t="s">
        <v>742</v>
      </c>
    </row>
    <row r="2">
      <c r="A2" s="35"/>
      <c r="B2" s="35"/>
      <c r="C2" s="35"/>
    </row>
    <row r="3">
      <c r="A3" s="36" t="s">
        <v>743</v>
      </c>
      <c r="B3" s="37" t="s">
        <v>744</v>
      </c>
      <c r="C3" s="38"/>
    </row>
    <row r="4">
      <c r="A4" s="39" t="s">
        <v>6</v>
      </c>
      <c r="B4" s="40" t="s">
        <v>342</v>
      </c>
      <c r="C4" s="41"/>
    </row>
    <row r="5">
      <c r="A5" s="39" t="s">
        <v>745</v>
      </c>
      <c r="B5" s="42">
        <v>46155.0</v>
      </c>
      <c r="C5" s="41"/>
    </row>
    <row r="6">
      <c r="A6" s="39" t="s">
        <v>0</v>
      </c>
      <c r="B6" s="40" t="s">
        <v>305</v>
      </c>
      <c r="C6" s="41"/>
    </row>
    <row r="7">
      <c r="A7" s="39" t="s">
        <v>7</v>
      </c>
      <c r="B7" s="40" t="s">
        <v>35</v>
      </c>
      <c r="C7" s="41"/>
    </row>
    <row r="8">
      <c r="A8" s="39" t="s">
        <v>746</v>
      </c>
      <c r="B8" s="40">
        <v>10.0</v>
      </c>
      <c r="C8" s="41"/>
    </row>
    <row r="9">
      <c r="A9" s="43" t="s">
        <v>8</v>
      </c>
      <c r="B9" s="44" t="s">
        <v>343</v>
      </c>
      <c r="C9" s="45"/>
    </row>
    <row r="10">
      <c r="A10" s="35"/>
      <c r="B10" s="35"/>
      <c r="C10" s="35"/>
    </row>
    <row r="11">
      <c r="A11" s="34" t="s">
        <v>747</v>
      </c>
    </row>
    <row r="12">
      <c r="A12" s="35"/>
      <c r="B12" s="35"/>
      <c r="C12" s="35"/>
    </row>
    <row r="13">
      <c r="A13" s="46" t="s">
        <v>344</v>
      </c>
    </row>
    <row r="14">
      <c r="A14" s="35"/>
      <c r="B14" s="35"/>
      <c r="C14" s="35"/>
    </row>
    <row r="15">
      <c r="A15" s="34" t="s">
        <v>748</v>
      </c>
    </row>
    <row r="16">
      <c r="A16" s="35"/>
      <c r="B16" s="35"/>
      <c r="C16" s="35"/>
    </row>
    <row r="17">
      <c r="A17" s="36" t="s">
        <v>749</v>
      </c>
      <c r="B17" s="37" t="s">
        <v>750</v>
      </c>
      <c r="C17" s="47" t="s">
        <v>751</v>
      </c>
    </row>
    <row r="18">
      <c r="A18" s="39">
        <v>1.0</v>
      </c>
      <c r="B18" s="40" t="s">
        <v>2869</v>
      </c>
      <c r="C18" s="48" t="s">
        <v>1418</v>
      </c>
    </row>
    <row r="19">
      <c r="A19" s="39">
        <v>2.0</v>
      </c>
      <c r="B19" s="40" t="s">
        <v>2870</v>
      </c>
      <c r="C19" s="76">
        <v>46167.0</v>
      </c>
    </row>
    <row r="20">
      <c r="A20" s="39">
        <v>3.0</v>
      </c>
      <c r="B20" s="40" t="s">
        <v>2871</v>
      </c>
      <c r="C20" s="48" t="s">
        <v>753</v>
      </c>
    </row>
    <row r="21">
      <c r="A21" s="43">
        <v>4.0</v>
      </c>
      <c r="B21" s="49" t="s">
        <v>2872</v>
      </c>
      <c r="C21" s="50" t="s">
        <v>753</v>
      </c>
    </row>
    <row r="22">
      <c r="A22" s="35"/>
      <c r="B22" s="35"/>
      <c r="C22" s="35"/>
    </row>
    <row r="23">
      <c r="A23" s="34" t="s">
        <v>756</v>
      </c>
    </row>
    <row r="24">
      <c r="A24" s="35"/>
      <c r="B24" s="35"/>
      <c r="C24" s="35"/>
    </row>
    <row r="25">
      <c r="A25" s="36" t="s">
        <v>749</v>
      </c>
      <c r="B25" s="37" t="s">
        <v>757</v>
      </c>
      <c r="C25" s="38"/>
    </row>
    <row r="26">
      <c r="A26" s="39">
        <v>1.0</v>
      </c>
      <c r="B26" s="40" t="s">
        <v>2873</v>
      </c>
      <c r="C26" s="41"/>
    </row>
    <row r="27">
      <c r="A27" s="39">
        <v>2.0</v>
      </c>
      <c r="B27" s="40" t="s">
        <v>2874</v>
      </c>
      <c r="C27" s="41"/>
    </row>
    <row r="28">
      <c r="A28" s="43">
        <v>3.0</v>
      </c>
      <c r="B28" s="49" t="s">
        <v>2875</v>
      </c>
      <c r="C28" s="45"/>
    </row>
    <row r="29">
      <c r="A29" s="35"/>
      <c r="B29" s="35"/>
      <c r="C29" s="35"/>
    </row>
    <row r="30">
      <c r="A30" s="34" t="s">
        <v>760</v>
      </c>
    </row>
    <row r="31">
      <c r="A31" s="35"/>
      <c r="B31" s="35"/>
      <c r="C31" s="35"/>
    </row>
    <row r="32">
      <c r="A32" s="36" t="s">
        <v>749</v>
      </c>
      <c r="B32" s="37" t="s">
        <v>757</v>
      </c>
      <c r="C32" s="38"/>
    </row>
    <row r="33">
      <c r="A33" s="39">
        <v>1.0</v>
      </c>
      <c r="B33" s="40" t="s">
        <v>2876</v>
      </c>
      <c r="C33" s="41"/>
    </row>
    <row r="34">
      <c r="A34" s="39">
        <v>2.0</v>
      </c>
      <c r="B34" s="40" t="s">
        <v>2877</v>
      </c>
      <c r="C34" s="41"/>
    </row>
    <row r="35">
      <c r="A35" s="43">
        <v>3.0</v>
      </c>
      <c r="B35" s="49" t="s">
        <v>2878</v>
      </c>
      <c r="C35" s="45"/>
    </row>
    <row r="36">
      <c r="A36" s="35"/>
      <c r="B36" s="35"/>
      <c r="C36" s="35"/>
    </row>
    <row r="37">
      <c r="A37" s="34" t="s">
        <v>763</v>
      </c>
    </row>
    <row r="38">
      <c r="A38" s="35"/>
      <c r="B38" s="35"/>
      <c r="C38" s="35"/>
    </row>
    <row r="39">
      <c r="A39" s="36" t="s">
        <v>749</v>
      </c>
      <c r="B39" s="37" t="s">
        <v>757</v>
      </c>
      <c r="C39" s="38"/>
    </row>
    <row r="40">
      <c r="A40" s="39">
        <v>1.0</v>
      </c>
      <c r="B40" s="40" t="s">
        <v>2879</v>
      </c>
      <c r="C40" s="41"/>
    </row>
    <row r="41">
      <c r="A41" s="39">
        <v>2.0</v>
      </c>
      <c r="B41" s="40" t="s">
        <v>2880</v>
      </c>
      <c r="C41" s="41"/>
    </row>
    <row r="42">
      <c r="A42" s="39">
        <v>3.0</v>
      </c>
      <c r="B42" s="40" t="s">
        <v>2881</v>
      </c>
      <c r="C42" s="41"/>
    </row>
    <row r="43">
      <c r="A43" s="39">
        <v>4.0</v>
      </c>
      <c r="B43" s="40" t="s">
        <v>2882</v>
      </c>
      <c r="C43" s="41"/>
    </row>
    <row r="44">
      <c r="A44" s="43">
        <v>5.0</v>
      </c>
      <c r="B44" s="49" t="s">
        <v>2883</v>
      </c>
      <c r="C44" s="45"/>
    </row>
  </sheetData>
  <mergeCells count="7">
    <mergeCell ref="A1:C1"/>
    <mergeCell ref="A11:C11"/>
    <mergeCell ref="A13:C13"/>
    <mergeCell ref="A15:C15"/>
    <mergeCell ref="A23:C23"/>
    <mergeCell ref="A30:C30"/>
    <mergeCell ref="A37:C37"/>
  </mergeCells>
  <hyperlinks>
    <hyperlink r:id="rId1" ref="B9"/>
  </hyperlinks>
  <drawing r:id="rId2"/>
</worksheet>
</file>

<file path=xl/worksheets/sheet7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2" max="2" width="87.63"/>
    <col customWidth="1" min="3" max="3" width="20.13"/>
  </cols>
  <sheetData>
    <row r="1">
      <c r="A1" s="34" t="s">
        <v>742</v>
      </c>
    </row>
    <row r="2">
      <c r="A2" s="35"/>
      <c r="B2" s="35"/>
      <c r="C2" s="35"/>
    </row>
    <row r="3">
      <c r="A3" s="36" t="s">
        <v>743</v>
      </c>
      <c r="B3" s="37" t="s">
        <v>744</v>
      </c>
      <c r="C3" s="38"/>
    </row>
    <row r="4">
      <c r="A4" s="39" t="s">
        <v>6</v>
      </c>
      <c r="B4" s="40" t="s">
        <v>346</v>
      </c>
      <c r="C4" s="41"/>
    </row>
    <row r="5">
      <c r="A5" s="39" t="s">
        <v>745</v>
      </c>
      <c r="B5" s="42">
        <v>46155.0</v>
      </c>
      <c r="C5" s="41"/>
    </row>
    <row r="6">
      <c r="A6" s="39" t="s">
        <v>0</v>
      </c>
      <c r="B6" s="40" t="s">
        <v>305</v>
      </c>
      <c r="C6" s="41"/>
    </row>
    <row r="7">
      <c r="A7" s="39" t="s">
        <v>7</v>
      </c>
      <c r="B7" s="40" t="s">
        <v>92</v>
      </c>
      <c r="C7" s="41"/>
    </row>
    <row r="8">
      <c r="A8" s="39" t="s">
        <v>746</v>
      </c>
      <c r="B8" s="40">
        <v>2.0</v>
      </c>
      <c r="C8" s="41"/>
    </row>
    <row r="9">
      <c r="A9" s="43" t="s">
        <v>8</v>
      </c>
      <c r="B9" s="44" t="s">
        <v>347</v>
      </c>
      <c r="C9" s="45"/>
    </row>
    <row r="10">
      <c r="A10" s="35"/>
      <c r="B10" s="35"/>
      <c r="C10" s="35"/>
    </row>
    <row r="11">
      <c r="A11" s="34" t="s">
        <v>747</v>
      </c>
    </row>
    <row r="12">
      <c r="A12" s="35"/>
      <c r="B12" s="35"/>
      <c r="C12" s="35"/>
    </row>
    <row r="13">
      <c r="A13" s="46" t="s">
        <v>348</v>
      </c>
    </row>
    <row r="14">
      <c r="A14" s="35"/>
      <c r="B14" s="35"/>
      <c r="C14" s="35"/>
    </row>
    <row r="15">
      <c r="A15" s="34" t="s">
        <v>748</v>
      </c>
    </row>
    <row r="16">
      <c r="A16" s="35"/>
      <c r="B16" s="35"/>
      <c r="C16" s="35"/>
    </row>
    <row r="17">
      <c r="A17" s="36" t="s">
        <v>749</v>
      </c>
      <c r="B17" s="37" t="s">
        <v>750</v>
      </c>
      <c r="C17" s="47" t="s">
        <v>751</v>
      </c>
    </row>
    <row r="18">
      <c r="A18" s="39">
        <v>1.0</v>
      </c>
      <c r="B18" s="40" t="s">
        <v>2884</v>
      </c>
      <c r="C18" s="48" t="s">
        <v>1418</v>
      </c>
    </row>
    <row r="19">
      <c r="A19" s="39">
        <v>2.0</v>
      </c>
      <c r="B19" s="40" t="s">
        <v>2885</v>
      </c>
      <c r="C19" s="48" t="s">
        <v>1418</v>
      </c>
    </row>
    <row r="20">
      <c r="A20" s="39">
        <v>3.0</v>
      </c>
      <c r="B20" s="40" t="s">
        <v>2886</v>
      </c>
      <c r="C20" s="48" t="s">
        <v>1418</v>
      </c>
    </row>
    <row r="21">
      <c r="A21" s="39">
        <v>4.0</v>
      </c>
      <c r="B21" s="40" t="s">
        <v>2887</v>
      </c>
      <c r="C21" s="48" t="s">
        <v>1418</v>
      </c>
    </row>
    <row r="22">
      <c r="A22" s="39">
        <v>5.0</v>
      </c>
      <c r="B22" s="40" t="s">
        <v>2888</v>
      </c>
      <c r="C22" s="48" t="s">
        <v>1418</v>
      </c>
    </row>
    <row r="23">
      <c r="A23" s="39">
        <v>6.0</v>
      </c>
      <c r="B23" s="40" t="s">
        <v>2889</v>
      </c>
      <c r="C23" s="48" t="s">
        <v>1418</v>
      </c>
    </row>
    <row r="24">
      <c r="A24" s="39">
        <v>7.0</v>
      </c>
      <c r="B24" s="40" t="s">
        <v>2890</v>
      </c>
      <c r="C24" s="48" t="s">
        <v>1418</v>
      </c>
    </row>
    <row r="25">
      <c r="A25" s="39">
        <v>8.0</v>
      </c>
      <c r="B25" s="40" t="s">
        <v>2891</v>
      </c>
      <c r="C25" s="48" t="s">
        <v>1418</v>
      </c>
    </row>
    <row r="26">
      <c r="A26" s="39">
        <v>9.0</v>
      </c>
      <c r="B26" s="40" t="s">
        <v>2892</v>
      </c>
      <c r="C26" s="48" t="s">
        <v>1418</v>
      </c>
    </row>
    <row r="27">
      <c r="A27" s="39">
        <v>10.0</v>
      </c>
      <c r="B27" s="40" t="s">
        <v>2893</v>
      </c>
      <c r="C27" s="77">
        <v>46157.0</v>
      </c>
    </row>
    <row r="28">
      <c r="A28" s="43">
        <v>11.0</v>
      </c>
      <c r="B28" s="49" t="s">
        <v>2894</v>
      </c>
      <c r="C28" s="50" t="s">
        <v>1418</v>
      </c>
    </row>
    <row r="29">
      <c r="A29" s="35"/>
      <c r="B29" s="35"/>
      <c r="C29" s="35"/>
    </row>
    <row r="30">
      <c r="A30" s="34" t="s">
        <v>756</v>
      </c>
    </row>
    <row r="31">
      <c r="A31" s="35"/>
      <c r="B31" s="35"/>
      <c r="C31" s="35"/>
    </row>
    <row r="32">
      <c r="A32" s="36" t="s">
        <v>749</v>
      </c>
      <c r="B32" s="37" t="s">
        <v>757</v>
      </c>
      <c r="C32" s="38"/>
    </row>
    <row r="33">
      <c r="A33" s="39">
        <v>1.0</v>
      </c>
      <c r="B33" s="40" t="s">
        <v>2895</v>
      </c>
      <c r="C33" s="41"/>
    </row>
    <row r="34">
      <c r="A34" s="39">
        <v>2.0</v>
      </c>
      <c r="B34" s="40" t="s">
        <v>2896</v>
      </c>
      <c r="C34" s="41"/>
    </row>
    <row r="35">
      <c r="A35" s="43">
        <v>3.0</v>
      </c>
      <c r="B35" s="49" t="s">
        <v>2897</v>
      </c>
      <c r="C35" s="45"/>
    </row>
    <row r="36">
      <c r="A36" s="35"/>
      <c r="B36" s="35"/>
      <c r="C36" s="35"/>
    </row>
    <row r="37">
      <c r="A37" s="34" t="s">
        <v>760</v>
      </c>
    </row>
    <row r="38">
      <c r="A38" s="35"/>
      <c r="B38" s="35"/>
      <c r="C38" s="35"/>
    </row>
    <row r="39">
      <c r="A39" s="36" t="s">
        <v>749</v>
      </c>
      <c r="B39" s="37" t="s">
        <v>757</v>
      </c>
      <c r="C39" s="38"/>
    </row>
    <row r="40">
      <c r="A40" s="39">
        <v>1.0</v>
      </c>
      <c r="B40" s="40" t="s">
        <v>2898</v>
      </c>
      <c r="C40" s="41"/>
    </row>
    <row r="41">
      <c r="A41" s="39">
        <v>2.0</v>
      </c>
      <c r="B41" s="40" t="s">
        <v>2899</v>
      </c>
      <c r="C41" s="41"/>
    </row>
    <row r="42">
      <c r="A42" s="39">
        <v>3.0</v>
      </c>
      <c r="B42" s="40" t="s">
        <v>2900</v>
      </c>
      <c r="C42" s="41"/>
    </row>
    <row r="43">
      <c r="A43" s="39">
        <v>4.0</v>
      </c>
      <c r="B43" s="40" t="s">
        <v>2901</v>
      </c>
      <c r="C43" s="41"/>
    </row>
    <row r="44">
      <c r="A44" s="39">
        <v>5.0</v>
      </c>
      <c r="B44" s="40" t="s">
        <v>2902</v>
      </c>
      <c r="C44" s="41"/>
    </row>
    <row r="45">
      <c r="A45" s="43">
        <v>6.0</v>
      </c>
      <c r="B45" s="49" t="s">
        <v>2903</v>
      </c>
      <c r="C45" s="45"/>
    </row>
    <row r="46">
      <c r="A46" s="35"/>
      <c r="B46" s="35"/>
      <c r="C46" s="35"/>
    </row>
    <row r="47">
      <c r="A47" s="34" t="s">
        <v>763</v>
      </c>
    </row>
    <row r="48">
      <c r="A48" s="35"/>
      <c r="B48" s="35"/>
      <c r="C48" s="35"/>
    </row>
    <row r="49">
      <c r="A49" s="36" t="s">
        <v>749</v>
      </c>
      <c r="B49" s="37" t="s">
        <v>757</v>
      </c>
      <c r="C49" s="38"/>
    </row>
    <row r="50">
      <c r="A50" s="39">
        <v>1.0</v>
      </c>
      <c r="B50" s="40" t="s">
        <v>2904</v>
      </c>
      <c r="C50" s="41"/>
    </row>
    <row r="51">
      <c r="A51" s="39">
        <v>2.0</v>
      </c>
      <c r="B51" s="40" t="s">
        <v>2905</v>
      </c>
      <c r="C51" s="41"/>
    </row>
    <row r="52">
      <c r="A52" s="39">
        <v>3.0</v>
      </c>
      <c r="B52" s="40" t="s">
        <v>2906</v>
      </c>
      <c r="C52" s="41"/>
    </row>
    <row r="53">
      <c r="A53" s="43">
        <v>4.0</v>
      </c>
      <c r="B53" s="49" t="s">
        <v>2907</v>
      </c>
      <c r="C53" s="45"/>
    </row>
  </sheetData>
  <mergeCells count="7">
    <mergeCell ref="A1:C1"/>
    <mergeCell ref="A11:C11"/>
    <mergeCell ref="A13:C13"/>
    <mergeCell ref="A15:C15"/>
    <mergeCell ref="A30:C30"/>
    <mergeCell ref="A37:C37"/>
    <mergeCell ref="A47:C47"/>
  </mergeCells>
  <hyperlinks>
    <hyperlink r:id="rId1" ref="B9"/>
  </hyperlinks>
  <drawing r:id="rId2"/>
</worksheet>
</file>

<file path=xl/worksheets/sheet7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2" max="2" width="87.63"/>
    <col customWidth="1" min="3" max="3" width="20.13"/>
  </cols>
  <sheetData>
    <row r="1">
      <c r="A1" s="34" t="s">
        <v>742</v>
      </c>
    </row>
    <row r="2">
      <c r="A2" s="35"/>
      <c r="B2" s="35"/>
      <c r="C2" s="35"/>
    </row>
    <row r="3">
      <c r="A3" s="36" t="s">
        <v>743</v>
      </c>
      <c r="B3" s="37" t="s">
        <v>744</v>
      </c>
      <c r="C3" s="38"/>
    </row>
    <row r="4">
      <c r="A4" s="39" t="s">
        <v>6</v>
      </c>
      <c r="B4" s="40" t="s">
        <v>350</v>
      </c>
      <c r="C4" s="41"/>
    </row>
    <row r="5">
      <c r="A5" s="39" t="s">
        <v>745</v>
      </c>
      <c r="B5" s="42">
        <v>46155.0</v>
      </c>
      <c r="C5" s="41"/>
    </row>
    <row r="6">
      <c r="A6" s="39" t="s">
        <v>0</v>
      </c>
      <c r="B6" s="40" t="s">
        <v>305</v>
      </c>
      <c r="C6" s="41"/>
    </row>
    <row r="7">
      <c r="A7" s="39" t="s">
        <v>7</v>
      </c>
      <c r="B7" s="40" t="s">
        <v>351</v>
      </c>
      <c r="C7" s="41"/>
    </row>
    <row r="8">
      <c r="A8" s="39" t="s">
        <v>746</v>
      </c>
      <c r="B8" s="40">
        <v>2.0</v>
      </c>
      <c r="C8" s="41"/>
    </row>
    <row r="9">
      <c r="A9" s="43" t="s">
        <v>8</v>
      </c>
      <c r="B9" s="44" t="s">
        <v>352</v>
      </c>
      <c r="C9" s="45"/>
    </row>
    <row r="10">
      <c r="A10" s="35"/>
      <c r="B10" s="35"/>
      <c r="C10" s="35"/>
    </row>
    <row r="11">
      <c r="A11" s="34" t="s">
        <v>747</v>
      </c>
    </row>
    <row r="12">
      <c r="A12" s="35"/>
      <c r="B12" s="35"/>
      <c r="C12" s="35"/>
    </row>
    <row r="13">
      <c r="A13" s="46" t="s">
        <v>2908</v>
      </c>
    </row>
    <row r="14">
      <c r="A14" s="35"/>
      <c r="B14" s="35"/>
      <c r="C14" s="35"/>
    </row>
    <row r="15">
      <c r="A15" s="34" t="s">
        <v>748</v>
      </c>
    </row>
    <row r="16">
      <c r="A16" s="35"/>
      <c r="B16" s="35"/>
      <c r="C16" s="35"/>
    </row>
    <row r="17">
      <c r="A17" s="36" t="s">
        <v>749</v>
      </c>
      <c r="B17" s="37" t="s">
        <v>750</v>
      </c>
      <c r="C17" s="47" t="s">
        <v>751</v>
      </c>
    </row>
    <row r="18">
      <c r="A18" s="39">
        <v>1.0</v>
      </c>
      <c r="B18" s="40" t="s">
        <v>2909</v>
      </c>
      <c r="C18" s="48" t="s">
        <v>753</v>
      </c>
    </row>
    <row r="19">
      <c r="A19" s="39">
        <v>2.0</v>
      </c>
      <c r="B19" s="40" t="s">
        <v>2910</v>
      </c>
      <c r="C19" s="48" t="s">
        <v>753</v>
      </c>
    </row>
    <row r="20">
      <c r="A20" s="39">
        <v>3.0</v>
      </c>
      <c r="B20" s="40" t="s">
        <v>2911</v>
      </c>
      <c r="C20" s="48" t="s">
        <v>753</v>
      </c>
    </row>
    <row r="21">
      <c r="A21" s="39">
        <v>4.0</v>
      </c>
      <c r="B21" s="40" t="s">
        <v>2912</v>
      </c>
      <c r="C21" s="48" t="s">
        <v>753</v>
      </c>
    </row>
    <row r="22">
      <c r="A22" s="39">
        <v>5.0</v>
      </c>
      <c r="B22" s="40" t="s">
        <v>2913</v>
      </c>
      <c r="C22" s="48" t="s">
        <v>753</v>
      </c>
    </row>
    <row r="23">
      <c r="A23" s="39">
        <v>6.0</v>
      </c>
      <c r="B23" s="40" t="s">
        <v>2914</v>
      </c>
      <c r="C23" s="48" t="s">
        <v>753</v>
      </c>
    </row>
    <row r="24">
      <c r="A24" s="39">
        <v>7.0</v>
      </c>
      <c r="B24" s="40" t="s">
        <v>2915</v>
      </c>
      <c r="C24" s="48" t="s">
        <v>753</v>
      </c>
    </row>
    <row r="25">
      <c r="A25" s="39">
        <v>8.0</v>
      </c>
      <c r="B25" s="40" t="s">
        <v>2916</v>
      </c>
      <c r="C25" s="48" t="s">
        <v>753</v>
      </c>
    </row>
    <row r="26">
      <c r="A26" s="39">
        <v>9.0</v>
      </c>
      <c r="B26" s="40" t="s">
        <v>2917</v>
      </c>
      <c r="C26" s="48" t="s">
        <v>2918</v>
      </c>
    </row>
    <row r="27">
      <c r="A27" s="39">
        <v>10.0</v>
      </c>
      <c r="B27" s="40" t="s">
        <v>2919</v>
      </c>
      <c r="C27" s="48" t="s">
        <v>753</v>
      </c>
    </row>
    <row r="28">
      <c r="A28" s="39">
        <v>11.0</v>
      </c>
      <c r="B28" s="40" t="s">
        <v>2920</v>
      </c>
      <c r="C28" s="48" t="s">
        <v>753</v>
      </c>
    </row>
    <row r="29">
      <c r="A29" s="39">
        <v>12.0</v>
      </c>
      <c r="B29" s="40" t="s">
        <v>2921</v>
      </c>
      <c r="C29" s="48" t="s">
        <v>753</v>
      </c>
    </row>
    <row r="30">
      <c r="A30" s="39">
        <v>13.0</v>
      </c>
      <c r="B30" s="40" t="s">
        <v>2922</v>
      </c>
      <c r="C30" s="48" t="s">
        <v>753</v>
      </c>
    </row>
    <row r="31">
      <c r="A31" s="39">
        <v>14.0</v>
      </c>
      <c r="B31" s="40" t="s">
        <v>2923</v>
      </c>
      <c r="C31" s="48" t="s">
        <v>753</v>
      </c>
    </row>
    <row r="32">
      <c r="A32" s="39">
        <v>15.0</v>
      </c>
      <c r="B32" s="40" t="s">
        <v>2924</v>
      </c>
      <c r="C32" s="48" t="s">
        <v>753</v>
      </c>
    </row>
    <row r="33">
      <c r="A33" s="39">
        <v>16.0</v>
      </c>
      <c r="B33" s="40" t="s">
        <v>2925</v>
      </c>
      <c r="C33" s="48" t="s">
        <v>753</v>
      </c>
    </row>
    <row r="34">
      <c r="A34" s="43">
        <v>17.0</v>
      </c>
      <c r="B34" s="49" t="s">
        <v>2926</v>
      </c>
      <c r="C34" s="50" t="s">
        <v>2927</v>
      </c>
    </row>
    <row r="35">
      <c r="A35" s="35"/>
      <c r="B35" s="35"/>
      <c r="C35" s="35"/>
    </row>
    <row r="36">
      <c r="A36" s="34" t="s">
        <v>756</v>
      </c>
    </row>
    <row r="37">
      <c r="A37" s="35"/>
      <c r="B37" s="35"/>
      <c r="C37" s="35"/>
    </row>
    <row r="38">
      <c r="A38" s="36" t="s">
        <v>749</v>
      </c>
      <c r="B38" s="37" t="s">
        <v>757</v>
      </c>
      <c r="C38" s="38"/>
    </row>
    <row r="39">
      <c r="A39" s="39">
        <v>1.0</v>
      </c>
      <c r="B39" s="40" t="s">
        <v>2928</v>
      </c>
      <c r="C39" s="41"/>
    </row>
    <row r="40">
      <c r="A40" s="39">
        <v>2.0</v>
      </c>
      <c r="B40" s="40" t="s">
        <v>2929</v>
      </c>
      <c r="C40" s="41"/>
    </row>
    <row r="41">
      <c r="A41" s="39">
        <v>3.0</v>
      </c>
      <c r="B41" s="40" t="s">
        <v>2930</v>
      </c>
      <c r="C41" s="41"/>
    </row>
    <row r="42">
      <c r="A42" s="39">
        <v>4.0</v>
      </c>
      <c r="B42" s="40" t="s">
        <v>2931</v>
      </c>
      <c r="C42" s="41"/>
    </row>
    <row r="43">
      <c r="A43" s="39">
        <v>5.0</v>
      </c>
      <c r="B43" s="40" t="s">
        <v>2932</v>
      </c>
      <c r="C43" s="41"/>
    </row>
    <row r="44">
      <c r="A44" s="39">
        <v>6.0</v>
      </c>
      <c r="B44" s="40" t="s">
        <v>2933</v>
      </c>
      <c r="C44" s="41"/>
    </row>
    <row r="45">
      <c r="A45" s="39">
        <v>7.0</v>
      </c>
      <c r="B45" s="40" t="s">
        <v>2934</v>
      </c>
      <c r="C45" s="41"/>
    </row>
    <row r="46">
      <c r="A46" s="39">
        <v>8.0</v>
      </c>
      <c r="B46" s="40" t="s">
        <v>2935</v>
      </c>
      <c r="C46" s="41"/>
    </row>
    <row r="47">
      <c r="A47" s="39">
        <v>9.0</v>
      </c>
      <c r="B47" s="40" t="s">
        <v>2936</v>
      </c>
      <c r="C47" s="41"/>
    </row>
    <row r="48">
      <c r="A48" s="43">
        <v>10.0</v>
      </c>
      <c r="B48" s="49" t="s">
        <v>2937</v>
      </c>
      <c r="C48" s="45"/>
    </row>
    <row r="49">
      <c r="A49" s="35"/>
      <c r="B49" s="35"/>
      <c r="C49" s="35"/>
    </row>
    <row r="50">
      <c r="A50" s="34" t="s">
        <v>760</v>
      </c>
    </row>
    <row r="51">
      <c r="A51" s="35"/>
      <c r="B51" s="35"/>
      <c r="C51" s="35"/>
    </row>
    <row r="52">
      <c r="A52" s="36" t="s">
        <v>749</v>
      </c>
      <c r="B52" s="37" t="s">
        <v>757</v>
      </c>
      <c r="C52" s="38"/>
    </row>
    <row r="53">
      <c r="A53" s="39">
        <v>1.0</v>
      </c>
      <c r="B53" s="40" t="s">
        <v>2938</v>
      </c>
      <c r="C53" s="41"/>
    </row>
    <row r="54">
      <c r="A54" s="39">
        <v>2.0</v>
      </c>
      <c r="B54" s="40" t="s">
        <v>2939</v>
      </c>
      <c r="C54" s="41"/>
    </row>
    <row r="55">
      <c r="A55" s="39">
        <v>3.0</v>
      </c>
      <c r="B55" s="40" t="s">
        <v>2940</v>
      </c>
      <c r="C55" s="41"/>
    </row>
    <row r="56">
      <c r="A56" s="39">
        <v>4.0</v>
      </c>
      <c r="B56" s="40" t="s">
        <v>2941</v>
      </c>
      <c r="C56" s="41"/>
    </row>
    <row r="57">
      <c r="A57" s="39">
        <v>5.0</v>
      </c>
      <c r="B57" s="40" t="s">
        <v>2942</v>
      </c>
      <c r="C57" s="41"/>
    </row>
    <row r="58">
      <c r="A58" s="39">
        <v>6.0</v>
      </c>
      <c r="B58" s="40" t="s">
        <v>2943</v>
      </c>
      <c r="C58" s="41"/>
    </row>
    <row r="59">
      <c r="A59" s="39">
        <v>7.0</v>
      </c>
      <c r="B59" s="40" t="s">
        <v>2944</v>
      </c>
      <c r="C59" s="41"/>
    </row>
    <row r="60">
      <c r="A60" s="39">
        <v>8.0</v>
      </c>
      <c r="B60" s="40" t="s">
        <v>2945</v>
      </c>
      <c r="C60" s="41"/>
    </row>
    <row r="61">
      <c r="A61" s="39">
        <v>9.0</v>
      </c>
      <c r="B61" s="40" t="s">
        <v>2946</v>
      </c>
      <c r="C61" s="41"/>
    </row>
    <row r="62">
      <c r="A62" s="43">
        <v>10.0</v>
      </c>
      <c r="B62" s="49" t="s">
        <v>2947</v>
      </c>
      <c r="C62" s="45"/>
    </row>
    <row r="63">
      <c r="A63" s="35"/>
      <c r="B63" s="35"/>
      <c r="C63" s="35"/>
    </row>
    <row r="64">
      <c r="A64" s="34" t="s">
        <v>763</v>
      </c>
    </row>
    <row r="65">
      <c r="A65" s="35"/>
      <c r="B65" s="35"/>
      <c r="C65" s="35"/>
    </row>
    <row r="66">
      <c r="A66" s="36" t="s">
        <v>749</v>
      </c>
      <c r="B66" s="37" t="s">
        <v>757</v>
      </c>
      <c r="C66" s="38"/>
    </row>
    <row r="67">
      <c r="A67" s="39">
        <v>1.0</v>
      </c>
      <c r="B67" s="40" t="s">
        <v>2948</v>
      </c>
      <c r="C67" s="41"/>
    </row>
    <row r="68">
      <c r="A68" s="39">
        <v>2.0</v>
      </c>
      <c r="B68" s="40" t="s">
        <v>2949</v>
      </c>
      <c r="C68" s="41"/>
    </row>
    <row r="69">
      <c r="A69" s="39">
        <v>3.0</v>
      </c>
      <c r="B69" s="40" t="s">
        <v>2950</v>
      </c>
      <c r="C69" s="41"/>
    </row>
    <row r="70">
      <c r="A70" s="39">
        <v>4.0</v>
      </c>
      <c r="B70" s="40" t="s">
        <v>2951</v>
      </c>
      <c r="C70" s="41"/>
    </row>
    <row r="71">
      <c r="A71" s="39">
        <v>5.0</v>
      </c>
      <c r="B71" s="40" t="s">
        <v>2952</v>
      </c>
      <c r="C71" s="41"/>
    </row>
    <row r="72">
      <c r="A72" s="39">
        <v>6.0</v>
      </c>
      <c r="B72" s="40" t="s">
        <v>2953</v>
      </c>
      <c r="C72" s="41"/>
    </row>
    <row r="73">
      <c r="A73" s="39">
        <v>7.0</v>
      </c>
      <c r="B73" s="40" t="s">
        <v>2954</v>
      </c>
      <c r="C73" s="41"/>
    </row>
    <row r="74">
      <c r="A74" s="43">
        <v>8.0</v>
      </c>
      <c r="B74" s="49" t="s">
        <v>2955</v>
      </c>
      <c r="C74" s="45"/>
    </row>
  </sheetData>
  <mergeCells count="7">
    <mergeCell ref="A1:C1"/>
    <mergeCell ref="A11:C11"/>
    <mergeCell ref="A13:C13"/>
    <mergeCell ref="A15:C15"/>
    <mergeCell ref="A36:C36"/>
    <mergeCell ref="A50:C50"/>
    <mergeCell ref="A64:C64"/>
  </mergeCells>
  <hyperlinks>
    <hyperlink r:id="rId1" ref="B9"/>
  </hyperlinks>
  <drawing r:id="rId2"/>
</worksheet>
</file>

<file path=xl/worksheets/sheet7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2" max="2" width="87.63"/>
    <col customWidth="1" min="3" max="3" width="20.13"/>
  </cols>
  <sheetData>
    <row r="1">
      <c r="A1" s="34" t="s">
        <v>742</v>
      </c>
    </row>
    <row r="2">
      <c r="A2" s="35"/>
      <c r="B2" s="35"/>
      <c r="C2" s="35"/>
    </row>
    <row r="3">
      <c r="A3" s="36" t="s">
        <v>743</v>
      </c>
      <c r="B3" s="37" t="s">
        <v>744</v>
      </c>
      <c r="C3" s="38"/>
    </row>
    <row r="4">
      <c r="A4" s="39" t="s">
        <v>6</v>
      </c>
      <c r="B4" s="40" t="s">
        <v>355</v>
      </c>
      <c r="C4" s="41"/>
    </row>
    <row r="5">
      <c r="A5" s="39" t="s">
        <v>745</v>
      </c>
      <c r="B5" s="42">
        <v>46156.0</v>
      </c>
      <c r="C5" s="41"/>
    </row>
    <row r="6">
      <c r="A6" s="39" t="s">
        <v>0</v>
      </c>
      <c r="B6" s="40" t="s">
        <v>305</v>
      </c>
      <c r="C6" s="41"/>
    </row>
    <row r="7">
      <c r="A7" s="39" t="s">
        <v>7</v>
      </c>
      <c r="B7" s="40" t="s">
        <v>35</v>
      </c>
      <c r="C7" s="41"/>
    </row>
    <row r="8">
      <c r="A8" s="39" t="s">
        <v>746</v>
      </c>
      <c r="B8" s="40">
        <v>2.0</v>
      </c>
      <c r="C8" s="41"/>
    </row>
    <row r="9">
      <c r="A9" s="43" t="s">
        <v>8</v>
      </c>
      <c r="B9" s="44" t="s">
        <v>356</v>
      </c>
      <c r="C9" s="45"/>
    </row>
    <row r="10">
      <c r="A10" s="35"/>
      <c r="B10" s="35"/>
      <c r="C10" s="35"/>
    </row>
    <row r="11">
      <c r="A11" s="34" t="s">
        <v>747</v>
      </c>
    </row>
    <row r="12">
      <c r="A12" s="35"/>
      <c r="B12" s="35"/>
      <c r="C12" s="35"/>
    </row>
    <row r="13">
      <c r="A13" s="46" t="s">
        <v>2956</v>
      </c>
    </row>
    <row r="14">
      <c r="A14" s="35"/>
      <c r="B14" s="35"/>
      <c r="C14" s="35"/>
    </row>
    <row r="15">
      <c r="A15" s="34" t="s">
        <v>748</v>
      </c>
    </row>
    <row r="16">
      <c r="A16" s="35"/>
      <c r="B16" s="35"/>
      <c r="C16" s="35"/>
    </row>
    <row r="17">
      <c r="A17" s="36" t="s">
        <v>749</v>
      </c>
      <c r="B17" s="37" t="s">
        <v>750</v>
      </c>
      <c r="C17" s="47" t="s">
        <v>751</v>
      </c>
    </row>
    <row r="18">
      <c r="A18" s="39">
        <v>1.0</v>
      </c>
      <c r="B18" s="40" t="s">
        <v>2957</v>
      </c>
      <c r="C18" s="48" t="s">
        <v>753</v>
      </c>
    </row>
    <row r="19">
      <c r="A19" s="39">
        <v>2.0</v>
      </c>
      <c r="B19" s="40" t="s">
        <v>2958</v>
      </c>
      <c r="C19" s="48" t="s">
        <v>753</v>
      </c>
    </row>
    <row r="20">
      <c r="A20" s="39">
        <v>3.0</v>
      </c>
      <c r="B20" s="40" t="s">
        <v>2959</v>
      </c>
      <c r="C20" s="48" t="s">
        <v>753</v>
      </c>
    </row>
    <row r="21">
      <c r="A21" s="39">
        <v>4.0</v>
      </c>
      <c r="B21" s="40" t="s">
        <v>2960</v>
      </c>
      <c r="C21" s="48" t="s">
        <v>753</v>
      </c>
    </row>
    <row r="22">
      <c r="A22" s="39">
        <v>5.0</v>
      </c>
      <c r="B22" s="40" t="s">
        <v>2961</v>
      </c>
      <c r="C22" s="48" t="s">
        <v>753</v>
      </c>
    </row>
    <row r="23">
      <c r="A23" s="39">
        <v>6.0</v>
      </c>
      <c r="B23" s="40" t="s">
        <v>2962</v>
      </c>
      <c r="C23" s="48" t="s">
        <v>753</v>
      </c>
    </row>
    <row r="24">
      <c r="A24" s="39">
        <v>7.0</v>
      </c>
      <c r="B24" s="40" t="s">
        <v>2963</v>
      </c>
      <c r="C24" s="48" t="s">
        <v>753</v>
      </c>
    </row>
    <row r="25">
      <c r="A25" s="43">
        <v>8.0</v>
      </c>
      <c r="B25" s="49" t="s">
        <v>2964</v>
      </c>
      <c r="C25" s="50" t="s">
        <v>753</v>
      </c>
    </row>
    <row r="26">
      <c r="A26" s="35"/>
      <c r="B26" s="35"/>
      <c r="C26" s="35"/>
    </row>
    <row r="27">
      <c r="A27" s="34" t="s">
        <v>756</v>
      </c>
    </row>
    <row r="28">
      <c r="A28" s="35"/>
      <c r="B28" s="35"/>
      <c r="C28" s="35"/>
    </row>
    <row r="29">
      <c r="A29" s="36" t="s">
        <v>749</v>
      </c>
      <c r="B29" s="37" t="s">
        <v>757</v>
      </c>
      <c r="C29" s="38"/>
    </row>
    <row r="30">
      <c r="A30" s="39">
        <v>1.0</v>
      </c>
      <c r="B30" s="40" t="s">
        <v>2965</v>
      </c>
      <c r="C30" s="41"/>
    </row>
    <row r="31">
      <c r="A31" s="39">
        <v>2.0</v>
      </c>
      <c r="B31" s="40" t="s">
        <v>2966</v>
      </c>
      <c r="C31" s="41"/>
    </row>
    <row r="32">
      <c r="A32" s="39">
        <v>3.0</v>
      </c>
      <c r="B32" s="40" t="s">
        <v>2967</v>
      </c>
      <c r="C32" s="41"/>
    </row>
    <row r="33">
      <c r="A33" s="43">
        <v>4.0</v>
      </c>
      <c r="B33" s="49" t="s">
        <v>2968</v>
      </c>
      <c r="C33" s="45"/>
    </row>
    <row r="34">
      <c r="A34" s="35"/>
      <c r="B34" s="35"/>
      <c r="C34" s="35"/>
    </row>
    <row r="35">
      <c r="A35" s="34" t="s">
        <v>760</v>
      </c>
    </row>
    <row r="36">
      <c r="A36" s="35"/>
      <c r="B36" s="35"/>
      <c r="C36" s="35"/>
    </row>
    <row r="37">
      <c r="A37" s="36" t="s">
        <v>749</v>
      </c>
      <c r="B37" s="37" t="s">
        <v>757</v>
      </c>
      <c r="C37" s="38"/>
    </row>
    <row r="38">
      <c r="A38" s="39">
        <v>1.0</v>
      </c>
      <c r="B38" s="40" t="s">
        <v>2969</v>
      </c>
      <c r="C38" s="41"/>
    </row>
    <row r="39">
      <c r="A39" s="43">
        <v>2.0</v>
      </c>
      <c r="B39" s="49" t="s">
        <v>2970</v>
      </c>
      <c r="C39" s="45"/>
    </row>
    <row r="40">
      <c r="A40" s="35"/>
      <c r="B40" s="35"/>
      <c r="C40" s="35"/>
    </row>
    <row r="41">
      <c r="A41" s="34" t="s">
        <v>763</v>
      </c>
    </row>
    <row r="42">
      <c r="A42" s="35"/>
      <c r="B42" s="35"/>
      <c r="C42" s="35"/>
    </row>
    <row r="43">
      <c r="A43" s="36" t="s">
        <v>749</v>
      </c>
      <c r="B43" s="37" t="s">
        <v>757</v>
      </c>
      <c r="C43" s="38"/>
    </row>
    <row r="44">
      <c r="A44" s="39">
        <v>1.0</v>
      </c>
      <c r="B44" s="40" t="s">
        <v>2971</v>
      </c>
      <c r="C44" s="41"/>
    </row>
    <row r="45">
      <c r="A45" s="39">
        <v>2.0</v>
      </c>
      <c r="B45" s="40" t="s">
        <v>2972</v>
      </c>
      <c r="C45" s="41"/>
    </row>
    <row r="46">
      <c r="A46" s="39">
        <v>3.0</v>
      </c>
      <c r="B46" s="40" t="s">
        <v>2973</v>
      </c>
      <c r="C46" s="41"/>
    </row>
    <row r="47">
      <c r="A47" s="39">
        <v>4.0</v>
      </c>
      <c r="B47" s="40" t="s">
        <v>2974</v>
      </c>
      <c r="C47" s="41"/>
    </row>
    <row r="48">
      <c r="A48" s="39">
        <v>5.0</v>
      </c>
      <c r="B48" s="40" t="s">
        <v>2975</v>
      </c>
      <c r="C48" s="41"/>
    </row>
    <row r="49">
      <c r="A49" s="39">
        <v>6.0</v>
      </c>
      <c r="B49" s="40" t="s">
        <v>2976</v>
      </c>
      <c r="C49" s="41"/>
    </row>
    <row r="50">
      <c r="A50" s="43">
        <v>7.0</v>
      </c>
      <c r="B50" s="49" t="s">
        <v>2977</v>
      </c>
      <c r="C50" s="45"/>
    </row>
  </sheetData>
  <mergeCells count="7">
    <mergeCell ref="A1:C1"/>
    <mergeCell ref="A11:C11"/>
    <mergeCell ref="A13:C13"/>
    <mergeCell ref="A15:C15"/>
    <mergeCell ref="A27:C27"/>
    <mergeCell ref="A35:C35"/>
    <mergeCell ref="A41:C41"/>
  </mergeCells>
  <hyperlinks>
    <hyperlink r:id="rId1" ref="B9"/>
  </hyperlinks>
  <drawing r:id="rId2"/>
</worksheet>
</file>

<file path=xl/worksheets/sheet7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2" max="2" width="87.63"/>
    <col customWidth="1" min="3" max="3" width="20.13"/>
  </cols>
  <sheetData>
    <row r="1">
      <c r="A1" s="34" t="s">
        <v>742</v>
      </c>
    </row>
    <row r="2">
      <c r="A2" s="35"/>
      <c r="B2" s="35"/>
      <c r="C2" s="35"/>
    </row>
    <row r="3">
      <c r="A3" s="36" t="s">
        <v>743</v>
      </c>
      <c r="B3" s="37" t="s">
        <v>744</v>
      </c>
      <c r="C3" s="38"/>
    </row>
    <row r="4">
      <c r="A4" s="39" t="s">
        <v>6</v>
      </c>
      <c r="B4" s="40" t="s">
        <v>359</v>
      </c>
      <c r="C4" s="41"/>
    </row>
    <row r="5">
      <c r="A5" s="39" t="s">
        <v>745</v>
      </c>
      <c r="B5" s="42">
        <v>46156.0</v>
      </c>
      <c r="C5" s="41"/>
    </row>
    <row r="6">
      <c r="A6" s="39" t="s">
        <v>0</v>
      </c>
      <c r="B6" s="40" t="s">
        <v>305</v>
      </c>
      <c r="C6" s="41"/>
    </row>
    <row r="7">
      <c r="A7" s="39" t="s">
        <v>7</v>
      </c>
      <c r="B7" s="40" t="s">
        <v>307</v>
      </c>
      <c r="C7" s="41"/>
    </row>
    <row r="8">
      <c r="A8" s="39" t="s">
        <v>746</v>
      </c>
      <c r="B8" s="40">
        <v>2.0</v>
      </c>
      <c r="C8" s="41"/>
    </row>
    <row r="9">
      <c r="A9" s="43" t="s">
        <v>8</v>
      </c>
      <c r="B9" s="44" t="s">
        <v>360</v>
      </c>
      <c r="C9" s="45"/>
    </row>
    <row r="10">
      <c r="A10" s="35"/>
      <c r="B10" s="35"/>
      <c r="C10" s="35"/>
    </row>
    <row r="11">
      <c r="A11" s="34" t="s">
        <v>747</v>
      </c>
    </row>
    <row r="12">
      <c r="A12" s="35"/>
      <c r="B12" s="35"/>
      <c r="C12" s="35"/>
    </row>
    <row r="13">
      <c r="A13" s="46" t="s">
        <v>2978</v>
      </c>
    </row>
    <row r="14">
      <c r="A14" s="35"/>
      <c r="B14" s="35"/>
      <c r="C14" s="35"/>
    </row>
    <row r="15">
      <c r="A15" s="34" t="s">
        <v>748</v>
      </c>
    </row>
    <row r="16">
      <c r="A16" s="35"/>
      <c r="B16" s="35"/>
      <c r="C16" s="35"/>
    </row>
    <row r="17">
      <c r="A17" s="36" t="s">
        <v>749</v>
      </c>
      <c r="B17" s="37" t="s">
        <v>750</v>
      </c>
      <c r="C17" s="47" t="s">
        <v>751</v>
      </c>
    </row>
    <row r="18">
      <c r="A18" s="39">
        <v>1.0</v>
      </c>
      <c r="B18" s="40" t="s">
        <v>2979</v>
      </c>
      <c r="C18" s="48" t="s">
        <v>2980</v>
      </c>
    </row>
    <row r="19">
      <c r="A19" s="39">
        <v>2.0</v>
      </c>
      <c r="B19" s="40" t="s">
        <v>2981</v>
      </c>
      <c r="C19" s="48" t="s">
        <v>753</v>
      </c>
    </row>
    <row r="20">
      <c r="A20" s="39">
        <v>3.0</v>
      </c>
      <c r="B20" s="40" t="s">
        <v>2982</v>
      </c>
      <c r="C20" s="48" t="s">
        <v>753</v>
      </c>
    </row>
    <row r="21">
      <c r="A21" s="39">
        <v>4.0</v>
      </c>
      <c r="B21" s="40" t="s">
        <v>2983</v>
      </c>
      <c r="C21" s="48" t="s">
        <v>753</v>
      </c>
    </row>
    <row r="22">
      <c r="A22" s="39">
        <v>5.0</v>
      </c>
      <c r="B22" s="40" t="s">
        <v>2984</v>
      </c>
      <c r="C22" s="48" t="s">
        <v>753</v>
      </c>
    </row>
    <row r="23">
      <c r="A23" s="39">
        <v>6.0</v>
      </c>
      <c r="B23" s="40" t="s">
        <v>2985</v>
      </c>
      <c r="C23" s="48" t="s">
        <v>753</v>
      </c>
    </row>
    <row r="24">
      <c r="A24" s="39">
        <v>7.0</v>
      </c>
      <c r="B24" s="40" t="s">
        <v>2986</v>
      </c>
      <c r="C24" s="48" t="s">
        <v>753</v>
      </c>
    </row>
    <row r="25">
      <c r="A25" s="39">
        <v>8.0</v>
      </c>
      <c r="B25" s="40" t="s">
        <v>2987</v>
      </c>
      <c r="C25" s="48" t="s">
        <v>1476</v>
      </c>
    </row>
    <row r="26">
      <c r="A26" s="39">
        <v>9.0</v>
      </c>
      <c r="B26" s="40" t="s">
        <v>2988</v>
      </c>
      <c r="C26" s="48" t="s">
        <v>1476</v>
      </c>
    </row>
    <row r="27">
      <c r="A27" s="39">
        <v>10.0</v>
      </c>
      <c r="B27" s="40" t="s">
        <v>2989</v>
      </c>
      <c r="C27" s="48" t="s">
        <v>1476</v>
      </c>
    </row>
    <row r="28">
      <c r="A28" s="39">
        <v>11.0</v>
      </c>
      <c r="B28" s="40" t="s">
        <v>2990</v>
      </c>
      <c r="C28" s="48" t="s">
        <v>753</v>
      </c>
    </row>
    <row r="29">
      <c r="A29" s="39">
        <v>12.0</v>
      </c>
      <c r="B29" s="40" t="s">
        <v>2991</v>
      </c>
      <c r="C29" s="48" t="s">
        <v>753</v>
      </c>
    </row>
    <row r="30">
      <c r="A30" s="39">
        <v>13.0</v>
      </c>
      <c r="B30" s="40" t="s">
        <v>2992</v>
      </c>
      <c r="C30" s="48" t="s">
        <v>753</v>
      </c>
    </row>
    <row r="31">
      <c r="A31" s="39">
        <v>14.0</v>
      </c>
      <c r="B31" s="40" t="s">
        <v>2993</v>
      </c>
      <c r="C31" s="48" t="s">
        <v>753</v>
      </c>
    </row>
    <row r="32">
      <c r="A32" s="43">
        <v>15.0</v>
      </c>
      <c r="B32" s="49" t="s">
        <v>2994</v>
      </c>
      <c r="C32" s="50" t="s">
        <v>753</v>
      </c>
    </row>
    <row r="33">
      <c r="A33" s="35"/>
      <c r="B33" s="35"/>
      <c r="C33" s="35"/>
    </row>
    <row r="34">
      <c r="A34" s="34" t="s">
        <v>756</v>
      </c>
    </row>
    <row r="35">
      <c r="A35" s="35"/>
      <c r="B35" s="35"/>
      <c r="C35" s="35"/>
    </row>
    <row r="36">
      <c r="A36" s="36" t="s">
        <v>749</v>
      </c>
      <c r="B36" s="37" t="s">
        <v>757</v>
      </c>
      <c r="C36" s="38"/>
    </row>
    <row r="37">
      <c r="A37" s="39">
        <v>1.0</v>
      </c>
      <c r="B37" s="40" t="s">
        <v>2995</v>
      </c>
      <c r="C37" s="41"/>
    </row>
    <row r="38">
      <c r="A38" s="39">
        <v>2.0</v>
      </c>
      <c r="B38" s="40" t="s">
        <v>2996</v>
      </c>
      <c r="C38" s="41"/>
    </row>
    <row r="39">
      <c r="A39" s="39">
        <v>3.0</v>
      </c>
      <c r="B39" s="40" t="s">
        <v>2997</v>
      </c>
      <c r="C39" s="41"/>
    </row>
    <row r="40">
      <c r="A40" s="39">
        <v>4.0</v>
      </c>
      <c r="B40" s="40" t="s">
        <v>2998</v>
      </c>
      <c r="C40" s="41"/>
    </row>
    <row r="41">
      <c r="A41" s="39">
        <v>5.0</v>
      </c>
      <c r="B41" s="40" t="s">
        <v>2999</v>
      </c>
      <c r="C41" s="41"/>
    </row>
    <row r="42">
      <c r="A42" s="39">
        <v>6.0</v>
      </c>
      <c r="B42" s="40" t="s">
        <v>3000</v>
      </c>
      <c r="C42" s="41"/>
    </row>
    <row r="43">
      <c r="A43" s="39">
        <v>7.0</v>
      </c>
      <c r="B43" s="40" t="s">
        <v>3001</v>
      </c>
      <c r="C43" s="41"/>
    </row>
    <row r="44">
      <c r="A44" s="39">
        <v>8.0</v>
      </c>
      <c r="B44" s="40" t="s">
        <v>3002</v>
      </c>
      <c r="C44" s="41"/>
    </row>
    <row r="45">
      <c r="A45" s="43">
        <v>9.0</v>
      </c>
      <c r="B45" s="49" t="s">
        <v>3003</v>
      </c>
      <c r="C45" s="45"/>
    </row>
    <row r="46">
      <c r="A46" s="35"/>
      <c r="B46" s="35"/>
      <c r="C46" s="35"/>
    </row>
    <row r="47">
      <c r="A47" s="34" t="s">
        <v>760</v>
      </c>
    </row>
    <row r="48">
      <c r="A48" s="35"/>
      <c r="B48" s="35"/>
      <c r="C48" s="35"/>
    </row>
    <row r="49">
      <c r="A49" s="36" t="s">
        <v>749</v>
      </c>
      <c r="B49" s="37" t="s">
        <v>757</v>
      </c>
      <c r="C49" s="38"/>
    </row>
    <row r="50">
      <c r="A50" s="39">
        <v>1.0</v>
      </c>
      <c r="B50" s="40" t="s">
        <v>3004</v>
      </c>
      <c r="C50" s="41"/>
    </row>
    <row r="51">
      <c r="A51" s="39">
        <v>2.0</v>
      </c>
      <c r="B51" s="40" t="s">
        <v>3005</v>
      </c>
      <c r="C51" s="41"/>
    </row>
    <row r="52">
      <c r="A52" s="39">
        <v>3.0</v>
      </c>
      <c r="B52" s="40" t="s">
        <v>3006</v>
      </c>
      <c r="C52" s="41"/>
    </row>
    <row r="53">
      <c r="A53" s="39">
        <v>4.0</v>
      </c>
      <c r="B53" s="40" t="s">
        <v>3007</v>
      </c>
      <c r="C53" s="41"/>
    </row>
    <row r="54">
      <c r="A54" s="39">
        <v>5.0</v>
      </c>
      <c r="B54" s="40" t="s">
        <v>3008</v>
      </c>
      <c r="C54" s="41"/>
    </row>
    <row r="55">
      <c r="A55" s="39">
        <v>6.0</v>
      </c>
      <c r="B55" s="40" t="s">
        <v>3009</v>
      </c>
      <c r="C55" s="41"/>
    </row>
    <row r="56">
      <c r="A56" s="43">
        <v>7.0</v>
      </c>
      <c r="B56" s="49" t="s">
        <v>3010</v>
      </c>
      <c r="C56" s="45"/>
    </row>
    <row r="57">
      <c r="A57" s="35"/>
      <c r="B57" s="35"/>
      <c r="C57" s="35"/>
    </row>
    <row r="58">
      <c r="A58" s="34" t="s">
        <v>763</v>
      </c>
    </row>
    <row r="59">
      <c r="A59" s="35"/>
      <c r="B59" s="35"/>
      <c r="C59" s="35"/>
    </row>
    <row r="60">
      <c r="A60" s="36" t="s">
        <v>749</v>
      </c>
      <c r="B60" s="37" t="s">
        <v>757</v>
      </c>
      <c r="C60" s="38"/>
    </row>
    <row r="61">
      <c r="A61" s="39">
        <v>1.0</v>
      </c>
      <c r="B61" s="40" t="s">
        <v>3011</v>
      </c>
      <c r="C61" s="41"/>
    </row>
    <row r="62">
      <c r="A62" s="39">
        <v>2.0</v>
      </c>
      <c r="B62" s="40" t="s">
        <v>3012</v>
      </c>
      <c r="C62" s="41"/>
    </row>
    <row r="63">
      <c r="A63" s="39">
        <v>3.0</v>
      </c>
      <c r="B63" s="40" t="s">
        <v>3013</v>
      </c>
      <c r="C63" s="41"/>
    </row>
    <row r="64">
      <c r="A64" s="39">
        <v>4.0</v>
      </c>
      <c r="B64" s="40" t="s">
        <v>3014</v>
      </c>
      <c r="C64" s="41"/>
    </row>
    <row r="65">
      <c r="A65" s="39">
        <v>5.0</v>
      </c>
      <c r="B65" s="40" t="s">
        <v>3015</v>
      </c>
      <c r="C65" s="41"/>
    </row>
    <row r="66">
      <c r="A66" s="39">
        <v>6.0</v>
      </c>
      <c r="B66" s="40" t="s">
        <v>3016</v>
      </c>
      <c r="C66" s="41"/>
    </row>
    <row r="67">
      <c r="A67" s="43">
        <v>7.0</v>
      </c>
      <c r="B67" s="49" t="s">
        <v>3017</v>
      </c>
      <c r="C67" s="45"/>
    </row>
  </sheetData>
  <mergeCells count="7">
    <mergeCell ref="A1:C1"/>
    <mergeCell ref="A11:C11"/>
    <mergeCell ref="A13:C13"/>
    <mergeCell ref="A15:C15"/>
    <mergeCell ref="A34:C34"/>
    <mergeCell ref="A47:C47"/>
    <mergeCell ref="A58:C58"/>
  </mergeCells>
  <hyperlinks>
    <hyperlink r:id="rId1" ref="B9"/>
  </hyperlinks>
  <drawing r:id="rId2"/>
</worksheet>
</file>

<file path=xl/worksheets/sheet7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2" max="2" width="87.63"/>
    <col customWidth="1" min="3" max="3" width="20.13"/>
  </cols>
  <sheetData>
    <row r="1">
      <c r="A1" s="34" t="s">
        <v>742</v>
      </c>
    </row>
    <row r="2">
      <c r="A2" s="35"/>
      <c r="B2" s="35"/>
      <c r="C2" s="35"/>
    </row>
    <row r="3">
      <c r="A3" s="36" t="s">
        <v>743</v>
      </c>
      <c r="B3" s="37" t="s">
        <v>744</v>
      </c>
      <c r="C3" s="38"/>
    </row>
    <row r="4">
      <c r="A4" s="39" t="s">
        <v>6</v>
      </c>
      <c r="B4" s="40" t="s">
        <v>363</v>
      </c>
      <c r="C4" s="41"/>
    </row>
    <row r="5">
      <c r="A5" s="39" t="s">
        <v>745</v>
      </c>
      <c r="B5" s="42">
        <v>46156.0</v>
      </c>
      <c r="C5" s="41"/>
    </row>
    <row r="6">
      <c r="A6" s="39" t="s">
        <v>0</v>
      </c>
      <c r="B6" s="40" t="s">
        <v>305</v>
      </c>
      <c r="C6" s="41"/>
    </row>
    <row r="7">
      <c r="A7" s="39" t="s">
        <v>7</v>
      </c>
      <c r="B7" s="40" t="s">
        <v>129</v>
      </c>
      <c r="C7" s="41"/>
    </row>
    <row r="8">
      <c r="A8" s="39" t="s">
        <v>746</v>
      </c>
      <c r="B8" s="40">
        <v>2.0</v>
      </c>
      <c r="C8" s="41"/>
    </row>
    <row r="9">
      <c r="A9" s="43" t="s">
        <v>8</v>
      </c>
      <c r="B9" s="44" t="s">
        <v>364</v>
      </c>
      <c r="C9" s="45"/>
    </row>
    <row r="10">
      <c r="A10" s="35"/>
      <c r="B10" s="35"/>
      <c r="C10" s="35"/>
    </row>
    <row r="11">
      <c r="A11" s="34" t="s">
        <v>747</v>
      </c>
    </row>
    <row r="12">
      <c r="A12" s="35"/>
      <c r="B12" s="35"/>
      <c r="C12" s="35"/>
    </row>
    <row r="13">
      <c r="A13" s="46" t="s">
        <v>365</v>
      </c>
    </row>
    <row r="14">
      <c r="A14" s="35"/>
      <c r="B14" s="35"/>
      <c r="C14" s="35"/>
    </row>
    <row r="15">
      <c r="A15" s="34" t="s">
        <v>748</v>
      </c>
    </row>
    <row r="16">
      <c r="A16" s="35"/>
      <c r="B16" s="35"/>
      <c r="C16" s="35"/>
    </row>
    <row r="17">
      <c r="A17" s="36" t="s">
        <v>749</v>
      </c>
      <c r="B17" s="37" t="s">
        <v>750</v>
      </c>
      <c r="C17" s="47" t="s">
        <v>751</v>
      </c>
    </row>
    <row r="18">
      <c r="A18" s="39">
        <v>1.0</v>
      </c>
      <c r="B18" s="40" t="s">
        <v>3018</v>
      </c>
      <c r="C18" s="48" t="s">
        <v>753</v>
      </c>
    </row>
    <row r="19">
      <c r="A19" s="39">
        <v>2.0</v>
      </c>
      <c r="B19" s="40" t="s">
        <v>3019</v>
      </c>
      <c r="C19" s="48" t="s">
        <v>753</v>
      </c>
    </row>
    <row r="20">
      <c r="A20" s="39">
        <v>3.0</v>
      </c>
      <c r="B20" s="40" t="s">
        <v>3020</v>
      </c>
      <c r="C20" s="48" t="s">
        <v>753</v>
      </c>
    </row>
    <row r="21">
      <c r="A21" s="39">
        <v>4.0</v>
      </c>
      <c r="B21" s="40" t="s">
        <v>3021</v>
      </c>
      <c r="C21" s="48" t="s">
        <v>753</v>
      </c>
    </row>
    <row r="22">
      <c r="A22" s="39">
        <v>5.0</v>
      </c>
      <c r="B22" s="40" t="s">
        <v>3022</v>
      </c>
      <c r="C22" s="48" t="s">
        <v>1476</v>
      </c>
    </row>
    <row r="23">
      <c r="A23" s="43">
        <v>6.0</v>
      </c>
      <c r="B23" s="49" t="s">
        <v>3023</v>
      </c>
      <c r="C23" s="50" t="s">
        <v>753</v>
      </c>
    </row>
    <row r="24">
      <c r="A24" s="35"/>
      <c r="B24" s="35"/>
      <c r="C24" s="35"/>
    </row>
    <row r="25">
      <c r="A25" s="34" t="s">
        <v>756</v>
      </c>
    </row>
    <row r="26">
      <c r="A26" s="35"/>
      <c r="B26" s="35"/>
      <c r="C26" s="35"/>
    </row>
    <row r="27">
      <c r="A27" s="36" t="s">
        <v>749</v>
      </c>
      <c r="B27" s="37" t="s">
        <v>757</v>
      </c>
      <c r="C27" s="38"/>
    </row>
    <row r="28">
      <c r="A28" s="39">
        <v>1.0</v>
      </c>
      <c r="B28" s="40" t="s">
        <v>3024</v>
      </c>
      <c r="C28" s="41"/>
    </row>
    <row r="29">
      <c r="A29" s="39">
        <v>2.0</v>
      </c>
      <c r="B29" s="40" t="s">
        <v>3025</v>
      </c>
      <c r="C29" s="41"/>
    </row>
    <row r="30">
      <c r="A30" s="39">
        <v>3.0</v>
      </c>
      <c r="B30" s="40" t="s">
        <v>3026</v>
      </c>
      <c r="C30" s="41"/>
    </row>
    <row r="31">
      <c r="A31" s="43">
        <v>4.0</v>
      </c>
      <c r="B31" s="49" t="s">
        <v>3027</v>
      </c>
      <c r="C31" s="45"/>
    </row>
    <row r="32">
      <c r="A32" s="35"/>
      <c r="B32" s="35"/>
      <c r="C32" s="35"/>
    </row>
    <row r="33">
      <c r="A33" s="34" t="s">
        <v>760</v>
      </c>
    </row>
    <row r="34">
      <c r="A34" s="35"/>
      <c r="B34" s="35"/>
      <c r="C34" s="35"/>
    </row>
    <row r="35">
      <c r="A35" s="36" t="s">
        <v>749</v>
      </c>
      <c r="B35" s="37" t="s">
        <v>757</v>
      </c>
      <c r="C35" s="38"/>
    </row>
    <row r="36">
      <c r="A36" s="39">
        <v>1.0</v>
      </c>
      <c r="B36" s="40" t="s">
        <v>3028</v>
      </c>
      <c r="C36" s="41"/>
    </row>
    <row r="37">
      <c r="A37" s="43">
        <v>2.0</v>
      </c>
      <c r="B37" s="49" t="s">
        <v>3029</v>
      </c>
      <c r="C37" s="45"/>
    </row>
    <row r="38">
      <c r="A38" s="35"/>
      <c r="B38" s="35"/>
      <c r="C38" s="35"/>
    </row>
    <row r="39">
      <c r="A39" s="34" t="s">
        <v>763</v>
      </c>
    </row>
    <row r="40">
      <c r="A40" s="35"/>
      <c r="B40" s="35"/>
      <c r="C40" s="35"/>
    </row>
    <row r="41">
      <c r="A41" s="36" t="s">
        <v>749</v>
      </c>
      <c r="B41" s="37" t="s">
        <v>757</v>
      </c>
      <c r="C41" s="38"/>
    </row>
    <row r="42">
      <c r="A42" s="39">
        <v>1.0</v>
      </c>
      <c r="B42" s="40" t="s">
        <v>3030</v>
      </c>
      <c r="C42" s="41"/>
    </row>
    <row r="43">
      <c r="A43" s="39">
        <v>2.0</v>
      </c>
      <c r="B43" s="40" t="s">
        <v>3031</v>
      </c>
      <c r="C43" s="41"/>
    </row>
    <row r="44">
      <c r="A44" s="39">
        <v>3.0</v>
      </c>
      <c r="B44" s="40" t="s">
        <v>3032</v>
      </c>
      <c r="C44" s="41"/>
    </row>
    <row r="45">
      <c r="A45" s="43">
        <v>4.0</v>
      </c>
      <c r="B45" s="49" t="s">
        <v>3033</v>
      </c>
      <c r="C45" s="45"/>
    </row>
  </sheetData>
  <mergeCells count="7">
    <mergeCell ref="A1:C1"/>
    <mergeCell ref="A11:C11"/>
    <mergeCell ref="A13:C13"/>
    <mergeCell ref="A15:C15"/>
    <mergeCell ref="A25:C25"/>
    <mergeCell ref="A33:C33"/>
    <mergeCell ref="A39:C39"/>
  </mergeCells>
  <hyperlinks>
    <hyperlink r:id="rId1" ref="B9"/>
  </hyperlinks>
  <drawing r:id="rId2"/>
</worksheet>
</file>

<file path=xl/worksheets/sheet7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2" max="2" width="87.63"/>
    <col customWidth="1" min="3" max="3" width="20.13"/>
  </cols>
  <sheetData>
    <row r="1">
      <c r="A1" s="34" t="s">
        <v>742</v>
      </c>
    </row>
    <row r="2">
      <c r="A2" s="35"/>
      <c r="B2" s="35"/>
      <c r="C2" s="35"/>
    </row>
    <row r="3">
      <c r="A3" s="36" t="s">
        <v>743</v>
      </c>
      <c r="B3" s="37" t="s">
        <v>744</v>
      </c>
      <c r="C3" s="38"/>
    </row>
    <row r="4">
      <c r="A4" s="39" t="s">
        <v>6</v>
      </c>
      <c r="B4" s="40" t="s">
        <v>367</v>
      </c>
      <c r="C4" s="41"/>
    </row>
    <row r="5">
      <c r="A5" s="39" t="s">
        <v>745</v>
      </c>
      <c r="B5" s="42">
        <v>46157.0</v>
      </c>
      <c r="C5" s="41"/>
    </row>
    <row r="6">
      <c r="A6" s="39" t="s">
        <v>0</v>
      </c>
      <c r="B6" s="40" t="s">
        <v>305</v>
      </c>
      <c r="C6" s="41"/>
    </row>
    <row r="7">
      <c r="A7" s="39" t="s">
        <v>7</v>
      </c>
      <c r="B7" s="40" t="s">
        <v>368</v>
      </c>
      <c r="C7" s="41"/>
    </row>
    <row r="8">
      <c r="A8" s="39" t="s">
        <v>746</v>
      </c>
      <c r="B8" s="40">
        <v>3.0</v>
      </c>
      <c r="C8" s="41"/>
    </row>
    <row r="9">
      <c r="A9" s="43" t="s">
        <v>8</v>
      </c>
      <c r="B9" s="44" t="s">
        <v>369</v>
      </c>
      <c r="C9" s="45"/>
    </row>
    <row r="10">
      <c r="A10" s="35"/>
      <c r="B10" s="35"/>
      <c r="C10" s="35"/>
    </row>
    <row r="11">
      <c r="A11" s="34" t="s">
        <v>747</v>
      </c>
    </row>
    <row r="12">
      <c r="A12" s="35"/>
      <c r="B12" s="35"/>
      <c r="C12" s="35"/>
    </row>
    <row r="13">
      <c r="A13" s="46" t="s">
        <v>370</v>
      </c>
    </row>
    <row r="14">
      <c r="A14" s="35"/>
      <c r="B14" s="35"/>
      <c r="C14" s="35"/>
    </row>
    <row r="15">
      <c r="A15" s="34" t="s">
        <v>748</v>
      </c>
    </row>
    <row r="16">
      <c r="A16" s="35"/>
      <c r="B16" s="35"/>
      <c r="C16" s="35"/>
    </row>
    <row r="17">
      <c r="A17" s="36" t="s">
        <v>749</v>
      </c>
      <c r="B17" s="37" t="s">
        <v>750</v>
      </c>
      <c r="C17" s="47" t="s">
        <v>751</v>
      </c>
    </row>
    <row r="18">
      <c r="A18" s="39">
        <v>1.0</v>
      </c>
      <c r="B18" s="40" t="s">
        <v>3034</v>
      </c>
      <c r="C18" s="48" t="s">
        <v>3035</v>
      </c>
    </row>
    <row r="19">
      <c r="A19" s="39">
        <v>2.0</v>
      </c>
      <c r="B19" s="40" t="s">
        <v>3036</v>
      </c>
      <c r="C19" s="48" t="s">
        <v>3035</v>
      </c>
    </row>
    <row r="20">
      <c r="A20" s="39">
        <v>3.0</v>
      </c>
      <c r="B20" s="40" t="s">
        <v>3037</v>
      </c>
      <c r="C20" s="48" t="s">
        <v>3035</v>
      </c>
    </row>
    <row r="21">
      <c r="A21" s="39">
        <v>4.0</v>
      </c>
      <c r="B21" s="40" t="s">
        <v>3038</v>
      </c>
      <c r="C21" s="48" t="s">
        <v>3035</v>
      </c>
    </row>
    <row r="22">
      <c r="A22" s="43">
        <v>5.0</v>
      </c>
      <c r="B22" s="49" t="s">
        <v>3039</v>
      </c>
      <c r="C22" s="50" t="s">
        <v>3035</v>
      </c>
    </row>
    <row r="23">
      <c r="A23" s="35"/>
      <c r="B23" s="35"/>
      <c r="C23" s="35"/>
    </row>
    <row r="24">
      <c r="A24" s="34" t="s">
        <v>756</v>
      </c>
    </row>
    <row r="25">
      <c r="A25" s="35"/>
      <c r="B25" s="35"/>
      <c r="C25" s="35"/>
    </row>
    <row r="26">
      <c r="A26" s="36" t="s">
        <v>749</v>
      </c>
      <c r="B26" s="37" t="s">
        <v>757</v>
      </c>
      <c r="C26" s="38"/>
    </row>
    <row r="27">
      <c r="A27" s="39">
        <v>1.0</v>
      </c>
      <c r="B27" s="40" t="s">
        <v>3040</v>
      </c>
      <c r="C27" s="41"/>
    </row>
    <row r="28">
      <c r="A28" s="39">
        <v>2.0</v>
      </c>
      <c r="B28" s="40" t="s">
        <v>3041</v>
      </c>
      <c r="C28" s="41"/>
    </row>
    <row r="29">
      <c r="A29" s="39">
        <v>3.0</v>
      </c>
      <c r="B29" s="40" t="s">
        <v>3042</v>
      </c>
      <c r="C29" s="41"/>
    </row>
    <row r="30">
      <c r="A30" s="43">
        <v>4.0</v>
      </c>
      <c r="B30" s="49" t="s">
        <v>3043</v>
      </c>
      <c r="C30" s="45"/>
    </row>
    <row r="31">
      <c r="A31" s="35"/>
      <c r="B31" s="35"/>
      <c r="C31" s="35"/>
    </row>
    <row r="32">
      <c r="A32" s="34" t="s">
        <v>760</v>
      </c>
    </row>
    <row r="33">
      <c r="A33" s="35"/>
      <c r="B33" s="35"/>
      <c r="C33" s="35"/>
    </row>
    <row r="34">
      <c r="A34" s="36" t="s">
        <v>749</v>
      </c>
      <c r="B34" s="37" t="s">
        <v>757</v>
      </c>
      <c r="C34" s="38"/>
    </row>
    <row r="35">
      <c r="A35" s="43">
        <v>1.0</v>
      </c>
      <c r="B35" s="49" t="s">
        <v>1061</v>
      </c>
      <c r="C35" s="45"/>
    </row>
    <row r="36">
      <c r="A36" s="35"/>
      <c r="B36" s="35"/>
      <c r="C36" s="35"/>
    </row>
    <row r="37">
      <c r="A37" s="34" t="s">
        <v>763</v>
      </c>
    </row>
    <row r="38">
      <c r="A38" s="35"/>
      <c r="B38" s="35"/>
      <c r="C38" s="35"/>
    </row>
    <row r="39">
      <c r="A39" s="36" t="s">
        <v>749</v>
      </c>
      <c r="B39" s="37" t="s">
        <v>757</v>
      </c>
      <c r="C39" s="38"/>
    </row>
    <row r="40">
      <c r="A40" s="39">
        <v>1.0</v>
      </c>
      <c r="B40" s="40" t="s">
        <v>3044</v>
      </c>
      <c r="C40" s="41"/>
    </row>
    <row r="41">
      <c r="A41" s="39">
        <v>2.0</v>
      </c>
      <c r="B41" s="40" t="s">
        <v>3045</v>
      </c>
      <c r="C41" s="41"/>
    </row>
    <row r="42">
      <c r="A42" s="39">
        <v>3.0</v>
      </c>
      <c r="B42" s="40" t="s">
        <v>3046</v>
      </c>
      <c r="C42" s="41"/>
    </row>
    <row r="43">
      <c r="A43" s="43">
        <v>4.0</v>
      </c>
      <c r="B43" s="49" t="s">
        <v>3047</v>
      </c>
      <c r="C43" s="45"/>
    </row>
  </sheetData>
  <mergeCells count="7">
    <mergeCell ref="A1:C1"/>
    <mergeCell ref="A11:C11"/>
    <mergeCell ref="A13:C13"/>
    <mergeCell ref="A15:C15"/>
    <mergeCell ref="A24:C24"/>
    <mergeCell ref="A32:C32"/>
    <mergeCell ref="A37:C37"/>
  </mergeCells>
  <hyperlinks>
    <hyperlink r:id="rId1" ref="B9"/>
  </hyperlinks>
  <drawing r:id="rId2"/>
</worksheet>
</file>

<file path=xl/worksheets/sheet8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2" max="2" width="87.63"/>
    <col customWidth="1" min="3" max="3" width="20.13"/>
  </cols>
  <sheetData>
    <row r="1">
      <c r="A1" s="34" t="s">
        <v>742</v>
      </c>
    </row>
    <row r="2">
      <c r="A2" s="35"/>
      <c r="B2" s="35"/>
      <c r="C2" s="35"/>
    </row>
    <row r="3">
      <c r="A3" s="36" t="s">
        <v>743</v>
      </c>
      <c r="B3" s="37" t="s">
        <v>744</v>
      </c>
      <c r="C3" s="38"/>
    </row>
    <row r="4">
      <c r="A4" s="39" t="s">
        <v>6</v>
      </c>
      <c r="B4" s="40" t="s">
        <v>367</v>
      </c>
      <c r="C4" s="41"/>
    </row>
    <row r="5">
      <c r="A5" s="39" t="s">
        <v>745</v>
      </c>
      <c r="B5" s="42">
        <v>46157.0</v>
      </c>
      <c r="C5" s="41"/>
    </row>
    <row r="6">
      <c r="A6" s="39" t="s">
        <v>0</v>
      </c>
      <c r="B6" s="40" t="s">
        <v>305</v>
      </c>
      <c r="C6" s="41"/>
    </row>
    <row r="7">
      <c r="A7" s="39" t="s">
        <v>7</v>
      </c>
      <c r="B7" s="40" t="s">
        <v>372</v>
      </c>
      <c r="C7" s="41"/>
    </row>
    <row r="8">
      <c r="A8" s="39" t="s">
        <v>746</v>
      </c>
      <c r="B8" s="40">
        <v>1.0</v>
      </c>
      <c r="C8" s="41"/>
    </row>
    <row r="9">
      <c r="A9" s="43" t="s">
        <v>8</v>
      </c>
      <c r="B9" s="44" t="s">
        <v>373</v>
      </c>
      <c r="C9" s="45"/>
    </row>
    <row r="10">
      <c r="A10" s="35"/>
      <c r="B10" s="35"/>
      <c r="C10" s="35"/>
    </row>
    <row r="11">
      <c r="A11" s="34" t="s">
        <v>747</v>
      </c>
    </row>
    <row r="12">
      <c r="A12" s="35"/>
      <c r="B12" s="35"/>
      <c r="C12" s="35"/>
    </row>
    <row r="13">
      <c r="A13" s="46" t="s">
        <v>374</v>
      </c>
    </row>
    <row r="14">
      <c r="A14" s="35"/>
      <c r="B14" s="35"/>
      <c r="C14" s="35"/>
    </row>
    <row r="15">
      <c r="A15" s="34" t="s">
        <v>748</v>
      </c>
    </row>
    <row r="16">
      <c r="A16" s="35"/>
      <c r="B16" s="35"/>
      <c r="C16" s="35"/>
    </row>
    <row r="17">
      <c r="A17" s="36" t="s">
        <v>749</v>
      </c>
      <c r="B17" s="37" t="s">
        <v>750</v>
      </c>
      <c r="C17" s="47" t="s">
        <v>751</v>
      </c>
    </row>
    <row r="18">
      <c r="A18" s="39">
        <v>1.0</v>
      </c>
      <c r="B18" s="40" t="s">
        <v>3048</v>
      </c>
      <c r="C18" s="48" t="s">
        <v>753</v>
      </c>
    </row>
    <row r="19">
      <c r="A19" s="39">
        <v>2.0</v>
      </c>
      <c r="B19" s="40" t="s">
        <v>3049</v>
      </c>
      <c r="C19" s="48" t="s">
        <v>753</v>
      </c>
    </row>
    <row r="20">
      <c r="A20" s="39">
        <v>3.0</v>
      </c>
      <c r="B20" s="40" t="s">
        <v>3050</v>
      </c>
      <c r="C20" s="48" t="s">
        <v>753</v>
      </c>
    </row>
    <row r="21">
      <c r="A21" s="39">
        <v>4.0</v>
      </c>
      <c r="B21" s="40" t="s">
        <v>3051</v>
      </c>
      <c r="C21" s="48" t="s">
        <v>753</v>
      </c>
    </row>
    <row r="22">
      <c r="A22" s="39">
        <v>5.0</v>
      </c>
      <c r="B22" s="40" t="s">
        <v>3052</v>
      </c>
      <c r="C22" s="48" t="s">
        <v>753</v>
      </c>
    </row>
    <row r="23">
      <c r="A23" s="39">
        <v>6.0</v>
      </c>
      <c r="B23" s="40" t="s">
        <v>3053</v>
      </c>
      <c r="C23" s="48" t="s">
        <v>3054</v>
      </c>
    </row>
    <row r="24">
      <c r="A24" s="39">
        <v>7.0</v>
      </c>
      <c r="B24" s="40" t="s">
        <v>3055</v>
      </c>
      <c r="C24" s="48" t="s">
        <v>3056</v>
      </c>
    </row>
    <row r="25">
      <c r="A25" s="39">
        <v>8.0</v>
      </c>
      <c r="B25" s="40" t="s">
        <v>3057</v>
      </c>
      <c r="C25" s="48" t="s">
        <v>753</v>
      </c>
    </row>
    <row r="26">
      <c r="A26" s="39">
        <v>9.0</v>
      </c>
      <c r="B26" s="40" t="s">
        <v>3058</v>
      </c>
      <c r="C26" s="48" t="s">
        <v>753</v>
      </c>
    </row>
    <row r="27">
      <c r="A27" s="39">
        <v>10.0</v>
      </c>
      <c r="B27" s="40" t="s">
        <v>3059</v>
      </c>
      <c r="C27" s="48" t="s">
        <v>753</v>
      </c>
    </row>
    <row r="28">
      <c r="A28" s="39">
        <v>11.0</v>
      </c>
      <c r="B28" s="40" t="s">
        <v>3060</v>
      </c>
      <c r="C28" s="48" t="s">
        <v>753</v>
      </c>
    </row>
    <row r="29">
      <c r="A29" s="43">
        <v>12.0</v>
      </c>
      <c r="B29" s="49" t="s">
        <v>3061</v>
      </c>
      <c r="C29" s="50" t="s">
        <v>753</v>
      </c>
    </row>
    <row r="30">
      <c r="A30" s="35"/>
      <c r="B30" s="35"/>
      <c r="C30" s="35"/>
    </row>
    <row r="31">
      <c r="A31" s="34" t="s">
        <v>756</v>
      </c>
    </row>
    <row r="32">
      <c r="A32" s="35"/>
      <c r="B32" s="35"/>
      <c r="C32" s="35"/>
    </row>
    <row r="33">
      <c r="A33" s="36" t="s">
        <v>749</v>
      </c>
      <c r="B33" s="37" t="s">
        <v>757</v>
      </c>
      <c r="C33" s="38"/>
    </row>
    <row r="34">
      <c r="A34" s="39">
        <v>1.0</v>
      </c>
      <c r="B34" s="40" t="s">
        <v>3062</v>
      </c>
      <c r="C34" s="41"/>
    </row>
    <row r="35">
      <c r="A35" s="43">
        <v>2.0</v>
      </c>
      <c r="B35" s="49" t="s">
        <v>3063</v>
      </c>
      <c r="C35" s="45"/>
    </row>
    <row r="36">
      <c r="A36" s="35"/>
      <c r="B36" s="35"/>
      <c r="C36" s="35"/>
    </row>
    <row r="37">
      <c r="A37" s="34" t="s">
        <v>760</v>
      </c>
    </row>
    <row r="38">
      <c r="A38" s="35"/>
      <c r="B38" s="35"/>
      <c r="C38" s="35"/>
    </row>
    <row r="39">
      <c r="A39" s="36" t="s">
        <v>749</v>
      </c>
      <c r="B39" s="37" t="s">
        <v>757</v>
      </c>
      <c r="C39" s="38"/>
    </row>
    <row r="40">
      <c r="A40" s="39">
        <v>1.0</v>
      </c>
      <c r="B40" s="40" t="s">
        <v>3064</v>
      </c>
      <c r="C40" s="41"/>
    </row>
    <row r="41">
      <c r="A41" s="39">
        <v>2.0</v>
      </c>
      <c r="B41" s="40" t="s">
        <v>3065</v>
      </c>
      <c r="C41" s="41"/>
    </row>
    <row r="42">
      <c r="A42" s="43">
        <v>3.0</v>
      </c>
      <c r="B42" s="49" t="s">
        <v>3066</v>
      </c>
      <c r="C42" s="45"/>
    </row>
    <row r="43">
      <c r="A43" s="35"/>
      <c r="B43" s="35"/>
      <c r="C43" s="35"/>
    </row>
    <row r="44">
      <c r="A44" s="34" t="s">
        <v>763</v>
      </c>
    </row>
    <row r="45">
      <c r="A45" s="35"/>
      <c r="B45" s="35"/>
      <c r="C45" s="35"/>
    </row>
    <row r="46">
      <c r="A46" s="36" t="s">
        <v>749</v>
      </c>
      <c r="B46" s="37" t="s">
        <v>757</v>
      </c>
      <c r="C46" s="38"/>
    </row>
    <row r="47">
      <c r="A47" s="39">
        <v>1.0</v>
      </c>
      <c r="B47" s="40" t="s">
        <v>3067</v>
      </c>
      <c r="C47" s="41"/>
    </row>
    <row r="48">
      <c r="A48" s="39">
        <v>2.0</v>
      </c>
      <c r="B48" s="40" t="s">
        <v>3068</v>
      </c>
      <c r="C48" s="41"/>
    </row>
    <row r="49">
      <c r="A49" s="39">
        <v>3.0</v>
      </c>
      <c r="B49" s="40" t="s">
        <v>3069</v>
      </c>
      <c r="C49" s="41"/>
    </row>
    <row r="50">
      <c r="A50" s="39">
        <v>4.0</v>
      </c>
      <c r="B50" s="40" t="s">
        <v>3070</v>
      </c>
      <c r="C50" s="41"/>
    </row>
    <row r="51">
      <c r="A51" s="39">
        <v>5.0</v>
      </c>
      <c r="B51" s="40" t="s">
        <v>3071</v>
      </c>
      <c r="C51" s="41"/>
    </row>
    <row r="52">
      <c r="A52" s="39">
        <v>6.0</v>
      </c>
      <c r="B52" s="40" t="s">
        <v>3072</v>
      </c>
      <c r="C52" s="41"/>
    </row>
    <row r="53">
      <c r="A53" s="39">
        <v>7.0</v>
      </c>
      <c r="B53" s="40" t="s">
        <v>3073</v>
      </c>
      <c r="C53" s="41"/>
    </row>
    <row r="54">
      <c r="A54" s="43">
        <v>8.0</v>
      </c>
      <c r="B54" s="49" t="s">
        <v>3074</v>
      </c>
      <c r="C54" s="45"/>
    </row>
  </sheetData>
  <mergeCells count="7">
    <mergeCell ref="A1:C1"/>
    <mergeCell ref="A11:C11"/>
    <mergeCell ref="A13:C13"/>
    <mergeCell ref="A15:C15"/>
    <mergeCell ref="A31:C31"/>
    <mergeCell ref="A37:C37"/>
    <mergeCell ref="A44:C44"/>
  </mergeCells>
  <hyperlinks>
    <hyperlink r:id="rId1" ref="B9"/>
  </hyperlinks>
  <drawing r:id="rId2"/>
</worksheet>
</file>

<file path=xl/worksheets/sheet8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2" max="2" width="87.63"/>
    <col customWidth="1" min="3" max="3" width="20.13"/>
  </cols>
  <sheetData>
    <row r="1">
      <c r="A1" s="34" t="s">
        <v>742</v>
      </c>
    </row>
    <row r="2">
      <c r="A2" s="35"/>
      <c r="B2" s="35"/>
      <c r="C2" s="35"/>
    </row>
    <row r="3">
      <c r="A3" s="36" t="s">
        <v>743</v>
      </c>
      <c r="B3" s="37" t="s">
        <v>744</v>
      </c>
      <c r="C3" s="38"/>
    </row>
    <row r="4">
      <c r="A4" s="39" t="s">
        <v>6</v>
      </c>
      <c r="B4" s="40" t="s">
        <v>376</v>
      </c>
      <c r="C4" s="41"/>
    </row>
    <row r="5">
      <c r="A5" s="39" t="s">
        <v>745</v>
      </c>
      <c r="B5" s="42">
        <v>46157.0</v>
      </c>
      <c r="C5" s="41"/>
    </row>
    <row r="6">
      <c r="A6" s="39" t="s">
        <v>0</v>
      </c>
      <c r="B6" s="40" t="s">
        <v>305</v>
      </c>
      <c r="C6" s="41"/>
    </row>
    <row r="7">
      <c r="A7" s="39" t="s">
        <v>7</v>
      </c>
      <c r="B7" s="40" t="s">
        <v>377</v>
      </c>
      <c r="C7" s="41"/>
    </row>
    <row r="8">
      <c r="A8" s="39" t="s">
        <v>746</v>
      </c>
      <c r="B8" s="40">
        <v>2.0</v>
      </c>
      <c r="C8" s="41"/>
    </row>
    <row r="9">
      <c r="A9" s="43" t="s">
        <v>8</v>
      </c>
      <c r="B9" s="44" t="s">
        <v>378</v>
      </c>
      <c r="C9" s="45"/>
    </row>
    <row r="10">
      <c r="A10" s="35"/>
      <c r="B10" s="35"/>
      <c r="C10" s="35"/>
    </row>
    <row r="11">
      <c r="A11" s="34" t="s">
        <v>747</v>
      </c>
    </row>
    <row r="12">
      <c r="A12" s="35"/>
      <c r="B12" s="35"/>
      <c r="C12" s="35"/>
    </row>
    <row r="13">
      <c r="A13" s="46" t="s">
        <v>379</v>
      </c>
    </row>
    <row r="14">
      <c r="A14" s="35"/>
      <c r="B14" s="35"/>
      <c r="C14" s="35"/>
    </row>
    <row r="15">
      <c r="A15" s="34" t="s">
        <v>748</v>
      </c>
    </row>
    <row r="16">
      <c r="A16" s="35"/>
      <c r="B16" s="35"/>
      <c r="C16" s="35"/>
    </row>
    <row r="17">
      <c r="A17" s="36" t="s">
        <v>749</v>
      </c>
      <c r="B17" s="37" t="s">
        <v>750</v>
      </c>
      <c r="C17" s="47" t="s">
        <v>751</v>
      </c>
    </row>
    <row r="18">
      <c r="A18" s="39">
        <v>1.0</v>
      </c>
      <c r="B18" s="40" t="s">
        <v>3075</v>
      </c>
      <c r="C18" s="48" t="s">
        <v>753</v>
      </c>
    </row>
    <row r="19">
      <c r="A19" s="39">
        <v>2.0</v>
      </c>
      <c r="B19" s="40" t="s">
        <v>3076</v>
      </c>
      <c r="C19" s="48" t="s">
        <v>753</v>
      </c>
    </row>
    <row r="20">
      <c r="A20" s="39">
        <v>3.0</v>
      </c>
      <c r="B20" s="40" t="s">
        <v>3077</v>
      </c>
      <c r="C20" s="48" t="s">
        <v>753</v>
      </c>
    </row>
    <row r="21">
      <c r="A21" s="39">
        <v>4.0</v>
      </c>
      <c r="B21" s="40" t="s">
        <v>3078</v>
      </c>
      <c r="C21" s="48" t="s">
        <v>753</v>
      </c>
    </row>
    <row r="22">
      <c r="A22" s="43">
        <v>5.0</v>
      </c>
      <c r="B22" s="49" t="s">
        <v>3079</v>
      </c>
      <c r="C22" s="50" t="s">
        <v>753</v>
      </c>
    </row>
    <row r="23">
      <c r="A23" s="35"/>
      <c r="B23" s="35"/>
      <c r="C23" s="35"/>
    </row>
    <row r="24">
      <c r="A24" s="34" t="s">
        <v>756</v>
      </c>
    </row>
    <row r="25">
      <c r="A25" s="35"/>
      <c r="B25" s="35"/>
      <c r="C25" s="35"/>
    </row>
    <row r="26">
      <c r="A26" s="36" t="s">
        <v>749</v>
      </c>
      <c r="B26" s="37" t="s">
        <v>757</v>
      </c>
      <c r="C26" s="38"/>
    </row>
    <row r="27">
      <c r="A27" s="39">
        <v>1.0</v>
      </c>
      <c r="B27" s="40" t="s">
        <v>3080</v>
      </c>
      <c r="C27" s="41"/>
    </row>
    <row r="28">
      <c r="A28" s="39">
        <v>2.0</v>
      </c>
      <c r="B28" s="40" t="s">
        <v>3081</v>
      </c>
      <c r="C28" s="41"/>
    </row>
    <row r="29">
      <c r="A29" s="39">
        <v>3.0</v>
      </c>
      <c r="B29" s="40" t="s">
        <v>3082</v>
      </c>
      <c r="C29" s="41"/>
    </row>
    <row r="30">
      <c r="A30" s="39">
        <v>4.0</v>
      </c>
      <c r="B30" s="40" t="s">
        <v>3083</v>
      </c>
      <c r="C30" s="41"/>
    </row>
    <row r="31">
      <c r="A31" s="39">
        <v>5.0</v>
      </c>
      <c r="B31" s="40" t="s">
        <v>3084</v>
      </c>
      <c r="C31" s="41"/>
    </row>
    <row r="32">
      <c r="A32" s="43">
        <v>6.0</v>
      </c>
      <c r="B32" s="49" t="s">
        <v>3085</v>
      </c>
      <c r="C32" s="45"/>
    </row>
    <row r="33">
      <c r="A33" s="35"/>
      <c r="B33" s="35"/>
      <c r="C33" s="35"/>
    </row>
    <row r="34">
      <c r="A34" s="34" t="s">
        <v>760</v>
      </c>
    </row>
    <row r="35">
      <c r="A35" s="35"/>
      <c r="B35" s="35"/>
      <c r="C35" s="35"/>
    </row>
    <row r="36">
      <c r="A36" s="36" t="s">
        <v>749</v>
      </c>
      <c r="B36" s="37" t="s">
        <v>757</v>
      </c>
      <c r="C36" s="38"/>
    </row>
    <row r="37">
      <c r="A37" s="39">
        <v>1.0</v>
      </c>
      <c r="B37" s="40" t="s">
        <v>3086</v>
      </c>
      <c r="C37" s="41"/>
    </row>
    <row r="38">
      <c r="A38" s="39">
        <v>2.0</v>
      </c>
      <c r="B38" s="40" t="s">
        <v>3087</v>
      </c>
      <c r="C38" s="41"/>
    </row>
    <row r="39">
      <c r="A39" s="39">
        <v>3.0</v>
      </c>
      <c r="B39" s="40" t="s">
        <v>3088</v>
      </c>
      <c r="C39" s="41"/>
    </row>
    <row r="40">
      <c r="A40" s="39">
        <v>4.0</v>
      </c>
      <c r="B40" s="40" t="s">
        <v>3089</v>
      </c>
      <c r="C40" s="41"/>
    </row>
    <row r="41">
      <c r="A41" s="43">
        <v>5.0</v>
      </c>
      <c r="B41" s="49" t="s">
        <v>3090</v>
      </c>
      <c r="C41" s="45"/>
    </row>
    <row r="42">
      <c r="A42" s="35"/>
      <c r="B42" s="35"/>
      <c r="C42" s="35"/>
    </row>
    <row r="43">
      <c r="A43" s="34" t="s">
        <v>763</v>
      </c>
    </row>
    <row r="44">
      <c r="A44" s="35"/>
      <c r="B44" s="35"/>
      <c r="C44" s="35"/>
    </row>
    <row r="45">
      <c r="A45" s="36" t="s">
        <v>749</v>
      </c>
      <c r="B45" s="37" t="s">
        <v>757</v>
      </c>
      <c r="C45" s="38"/>
    </row>
    <row r="46">
      <c r="A46" s="39">
        <v>1.0</v>
      </c>
      <c r="B46" s="40" t="s">
        <v>3091</v>
      </c>
      <c r="C46" s="41"/>
    </row>
    <row r="47">
      <c r="A47" s="39">
        <v>2.0</v>
      </c>
      <c r="B47" s="40" t="s">
        <v>3092</v>
      </c>
      <c r="C47" s="41"/>
    </row>
    <row r="48">
      <c r="A48" s="39">
        <v>3.0</v>
      </c>
      <c r="B48" s="40" t="s">
        <v>3093</v>
      </c>
      <c r="C48" s="41"/>
    </row>
    <row r="49">
      <c r="A49" s="39">
        <v>4.0</v>
      </c>
      <c r="B49" s="40" t="s">
        <v>3094</v>
      </c>
      <c r="C49" s="41"/>
    </row>
    <row r="50">
      <c r="A50" s="39">
        <v>5.0</v>
      </c>
      <c r="B50" s="40" t="s">
        <v>3095</v>
      </c>
      <c r="C50" s="41"/>
    </row>
    <row r="51">
      <c r="A51" s="39">
        <v>6.0</v>
      </c>
      <c r="B51" s="40" t="s">
        <v>899</v>
      </c>
      <c r="C51" s="41"/>
    </row>
    <row r="52">
      <c r="A52" s="43">
        <v>7.0</v>
      </c>
      <c r="B52" s="49" t="s">
        <v>3096</v>
      </c>
      <c r="C52" s="45"/>
    </row>
  </sheetData>
  <mergeCells count="7">
    <mergeCell ref="A1:C1"/>
    <mergeCell ref="A11:C11"/>
    <mergeCell ref="A13:C13"/>
    <mergeCell ref="A15:C15"/>
    <mergeCell ref="A24:C24"/>
    <mergeCell ref="A34:C34"/>
    <mergeCell ref="A43:C43"/>
  </mergeCells>
  <hyperlinks>
    <hyperlink r:id="rId1" ref="B9"/>
  </hyperlinks>
  <drawing r:id="rId2"/>
</worksheet>
</file>

<file path=xl/worksheets/sheet8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2" max="2" width="87.63"/>
    <col customWidth="1" min="3" max="3" width="20.13"/>
  </cols>
  <sheetData>
    <row r="1">
      <c r="A1" s="34" t="s">
        <v>742</v>
      </c>
    </row>
    <row r="2">
      <c r="A2" s="35"/>
      <c r="B2" s="35"/>
      <c r="C2" s="35"/>
    </row>
    <row r="3">
      <c r="A3" s="36" t="s">
        <v>743</v>
      </c>
      <c r="B3" s="37" t="s">
        <v>744</v>
      </c>
      <c r="C3" s="38"/>
    </row>
    <row r="4">
      <c r="A4" s="39" t="s">
        <v>6</v>
      </c>
      <c r="B4" s="40" t="s">
        <v>385</v>
      </c>
      <c r="C4" s="41"/>
    </row>
    <row r="5">
      <c r="A5" s="39" t="s">
        <v>745</v>
      </c>
      <c r="B5" s="42">
        <v>46158.0</v>
      </c>
      <c r="C5" s="41"/>
    </row>
    <row r="6">
      <c r="A6" s="39" t="s">
        <v>0</v>
      </c>
      <c r="B6" s="40" t="s">
        <v>305</v>
      </c>
      <c r="C6" s="41"/>
    </row>
    <row r="7">
      <c r="A7" s="39" t="s">
        <v>7</v>
      </c>
      <c r="B7" s="40" t="s">
        <v>153</v>
      </c>
      <c r="C7" s="41"/>
    </row>
    <row r="8">
      <c r="A8" s="39" t="s">
        <v>746</v>
      </c>
      <c r="B8" s="40">
        <v>2.0</v>
      </c>
      <c r="C8" s="41"/>
    </row>
    <row r="9">
      <c r="A9" s="43" t="s">
        <v>8</v>
      </c>
      <c r="B9" s="44" t="s">
        <v>386</v>
      </c>
      <c r="C9" s="45"/>
    </row>
    <row r="10">
      <c r="A10" s="35"/>
      <c r="B10" s="35"/>
      <c r="C10" s="35"/>
    </row>
    <row r="11">
      <c r="A11" s="34" t="s">
        <v>747</v>
      </c>
    </row>
    <row r="12">
      <c r="A12" s="35"/>
      <c r="B12" s="35"/>
      <c r="C12" s="35"/>
    </row>
    <row r="13">
      <c r="A13" s="46" t="s">
        <v>387</v>
      </c>
    </row>
    <row r="14">
      <c r="A14" s="35"/>
      <c r="B14" s="35"/>
      <c r="C14" s="35"/>
    </row>
    <row r="15">
      <c r="A15" s="34" t="s">
        <v>748</v>
      </c>
    </row>
    <row r="16">
      <c r="A16" s="35"/>
      <c r="B16" s="35"/>
      <c r="C16" s="35"/>
    </row>
    <row r="17">
      <c r="A17" s="36" t="s">
        <v>749</v>
      </c>
      <c r="B17" s="37" t="s">
        <v>750</v>
      </c>
      <c r="C17" s="47" t="s">
        <v>751</v>
      </c>
    </row>
    <row r="18">
      <c r="A18" s="39">
        <v>1.0</v>
      </c>
      <c r="B18" s="40" t="s">
        <v>3097</v>
      </c>
      <c r="C18" s="48" t="s">
        <v>753</v>
      </c>
    </row>
    <row r="19">
      <c r="A19" s="39">
        <v>2.0</v>
      </c>
      <c r="B19" s="40" t="s">
        <v>3098</v>
      </c>
      <c r="C19" s="48" t="s">
        <v>753</v>
      </c>
    </row>
    <row r="20">
      <c r="A20" s="39">
        <v>3.0</v>
      </c>
      <c r="B20" s="40" t="s">
        <v>3099</v>
      </c>
      <c r="C20" s="48" t="s">
        <v>753</v>
      </c>
    </row>
    <row r="21">
      <c r="A21" s="39">
        <v>4.0</v>
      </c>
      <c r="B21" s="40" t="s">
        <v>3100</v>
      </c>
      <c r="C21" s="48" t="s">
        <v>753</v>
      </c>
    </row>
    <row r="22">
      <c r="A22" s="39">
        <v>5.0</v>
      </c>
      <c r="B22" s="40" t="s">
        <v>3101</v>
      </c>
      <c r="C22" s="48" t="s">
        <v>753</v>
      </c>
    </row>
    <row r="23">
      <c r="A23" s="43">
        <v>6.0</v>
      </c>
      <c r="B23" s="49" t="s">
        <v>3102</v>
      </c>
      <c r="C23" s="50" t="s">
        <v>753</v>
      </c>
    </row>
    <row r="24">
      <c r="A24" s="35"/>
      <c r="B24" s="35"/>
      <c r="C24" s="35"/>
    </row>
    <row r="25">
      <c r="A25" s="34" t="s">
        <v>756</v>
      </c>
    </row>
    <row r="26">
      <c r="A26" s="35"/>
      <c r="B26" s="35"/>
      <c r="C26" s="35"/>
    </row>
    <row r="27">
      <c r="A27" s="36" t="s">
        <v>749</v>
      </c>
      <c r="B27" s="37" t="s">
        <v>757</v>
      </c>
      <c r="C27" s="38"/>
    </row>
    <row r="28">
      <c r="A28" s="39">
        <v>1.0</v>
      </c>
      <c r="B28" s="40" t="s">
        <v>3103</v>
      </c>
      <c r="C28" s="41"/>
    </row>
    <row r="29">
      <c r="A29" s="39">
        <v>2.0</v>
      </c>
      <c r="B29" s="40" t="s">
        <v>3104</v>
      </c>
      <c r="C29" s="41"/>
    </row>
    <row r="30">
      <c r="A30" s="39">
        <v>3.0</v>
      </c>
      <c r="B30" s="40" t="s">
        <v>3105</v>
      </c>
      <c r="C30" s="41"/>
    </row>
    <row r="31">
      <c r="A31" s="43">
        <v>4.0</v>
      </c>
      <c r="B31" s="49" t="s">
        <v>3106</v>
      </c>
      <c r="C31" s="45"/>
    </row>
    <row r="32">
      <c r="A32" s="35"/>
      <c r="B32" s="35"/>
      <c r="C32" s="35"/>
    </row>
    <row r="33">
      <c r="A33" s="34" t="s">
        <v>760</v>
      </c>
    </row>
    <row r="34">
      <c r="A34" s="35"/>
      <c r="B34" s="35"/>
      <c r="C34" s="35"/>
    </row>
    <row r="35">
      <c r="A35" s="36" t="s">
        <v>749</v>
      </c>
      <c r="B35" s="37" t="s">
        <v>757</v>
      </c>
      <c r="C35" s="38"/>
    </row>
    <row r="36">
      <c r="A36" s="39">
        <v>1.0</v>
      </c>
      <c r="B36" s="40" t="s">
        <v>3107</v>
      </c>
      <c r="C36" s="41"/>
    </row>
    <row r="37">
      <c r="A37" s="39">
        <v>2.0</v>
      </c>
      <c r="B37" s="40" t="s">
        <v>3108</v>
      </c>
      <c r="C37" s="41"/>
    </row>
    <row r="38">
      <c r="A38" s="43">
        <v>3.0</v>
      </c>
      <c r="B38" s="49" t="s">
        <v>3109</v>
      </c>
      <c r="C38" s="45"/>
    </row>
    <row r="39">
      <c r="A39" s="35"/>
      <c r="B39" s="35"/>
      <c r="C39" s="35"/>
    </row>
    <row r="40">
      <c r="A40" s="34" t="s">
        <v>763</v>
      </c>
    </row>
    <row r="41">
      <c r="A41" s="35"/>
      <c r="B41" s="35"/>
      <c r="C41" s="35"/>
    </row>
    <row r="42">
      <c r="A42" s="36" t="s">
        <v>749</v>
      </c>
      <c r="B42" s="37" t="s">
        <v>757</v>
      </c>
      <c r="C42" s="38"/>
    </row>
    <row r="43">
      <c r="A43" s="39">
        <v>1.0</v>
      </c>
      <c r="B43" s="40" t="s">
        <v>3110</v>
      </c>
      <c r="C43" s="41"/>
    </row>
    <row r="44">
      <c r="A44" s="39">
        <v>2.0</v>
      </c>
      <c r="B44" s="40" t="s">
        <v>3111</v>
      </c>
      <c r="C44" s="41"/>
    </row>
    <row r="45">
      <c r="A45" s="39">
        <v>3.0</v>
      </c>
      <c r="B45" s="40" t="s">
        <v>3112</v>
      </c>
      <c r="C45" s="41"/>
    </row>
    <row r="46">
      <c r="A46" s="39">
        <v>4.0</v>
      </c>
      <c r="B46" s="40" t="s">
        <v>3113</v>
      </c>
      <c r="C46" s="41"/>
    </row>
    <row r="47">
      <c r="A47" s="43">
        <v>5.0</v>
      </c>
      <c r="B47" s="49" t="s">
        <v>3114</v>
      </c>
      <c r="C47" s="45"/>
    </row>
  </sheetData>
  <mergeCells count="7">
    <mergeCell ref="A1:C1"/>
    <mergeCell ref="A11:C11"/>
    <mergeCell ref="A13:C13"/>
    <mergeCell ref="A15:C15"/>
    <mergeCell ref="A25:C25"/>
    <mergeCell ref="A33:C33"/>
    <mergeCell ref="A40:C40"/>
  </mergeCells>
  <hyperlinks>
    <hyperlink r:id="rId1" ref="B9"/>
  </hyperlinks>
  <drawing r:id="rId2"/>
</worksheet>
</file>

<file path=xl/worksheets/sheet8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2" max="2" width="87.63"/>
    <col customWidth="1" min="3" max="3" width="20.13"/>
  </cols>
  <sheetData>
    <row r="1">
      <c r="A1" s="34" t="s">
        <v>742</v>
      </c>
    </row>
    <row r="2">
      <c r="A2" s="35"/>
      <c r="B2" s="35"/>
      <c r="C2" s="35"/>
    </row>
    <row r="3">
      <c r="A3" s="36" t="s">
        <v>743</v>
      </c>
      <c r="B3" s="37" t="s">
        <v>744</v>
      </c>
      <c r="C3" s="38"/>
    </row>
    <row r="4">
      <c r="A4" s="39" t="s">
        <v>6</v>
      </c>
      <c r="B4" s="40" t="s">
        <v>390</v>
      </c>
      <c r="C4" s="41"/>
    </row>
    <row r="5">
      <c r="A5" s="39" t="s">
        <v>745</v>
      </c>
      <c r="B5" s="42">
        <v>46158.0</v>
      </c>
      <c r="C5" s="41"/>
    </row>
    <row r="6">
      <c r="A6" s="39" t="s">
        <v>0</v>
      </c>
      <c r="B6" s="40" t="s">
        <v>305</v>
      </c>
      <c r="C6" s="41"/>
    </row>
    <row r="7">
      <c r="A7" s="39" t="s">
        <v>7</v>
      </c>
      <c r="B7" s="40" t="s">
        <v>92</v>
      </c>
      <c r="C7" s="41"/>
    </row>
    <row r="8">
      <c r="A8" s="39" t="s">
        <v>746</v>
      </c>
      <c r="B8" s="40">
        <v>3.0</v>
      </c>
      <c r="C8" s="41"/>
    </row>
    <row r="9">
      <c r="A9" s="43" t="s">
        <v>8</v>
      </c>
      <c r="B9" s="44" t="s">
        <v>391</v>
      </c>
      <c r="C9" s="45"/>
    </row>
    <row r="10">
      <c r="A10" s="35"/>
      <c r="B10" s="35"/>
      <c r="C10" s="35"/>
    </row>
    <row r="11">
      <c r="A11" s="34" t="s">
        <v>747</v>
      </c>
    </row>
    <row r="12">
      <c r="A12" s="35"/>
      <c r="B12" s="35"/>
      <c r="C12" s="35"/>
    </row>
    <row r="13">
      <c r="A13" s="46" t="s">
        <v>3115</v>
      </c>
    </row>
    <row r="14">
      <c r="A14" s="35"/>
      <c r="B14" s="35"/>
      <c r="C14" s="35"/>
    </row>
    <row r="15">
      <c r="A15" s="34" t="s">
        <v>748</v>
      </c>
    </row>
    <row r="16">
      <c r="A16" s="35"/>
      <c r="B16" s="35"/>
      <c r="C16" s="35"/>
    </row>
    <row r="17">
      <c r="A17" s="36" t="s">
        <v>749</v>
      </c>
      <c r="B17" s="37" t="s">
        <v>750</v>
      </c>
      <c r="C17" s="47" t="s">
        <v>751</v>
      </c>
    </row>
    <row r="18">
      <c r="A18" s="39">
        <v>1.0</v>
      </c>
      <c r="B18" s="40" t="s">
        <v>3116</v>
      </c>
      <c r="C18" s="48" t="s">
        <v>753</v>
      </c>
    </row>
    <row r="19">
      <c r="A19" s="39">
        <v>2.0</v>
      </c>
      <c r="B19" s="40" t="s">
        <v>3117</v>
      </c>
      <c r="C19" s="48" t="s">
        <v>753</v>
      </c>
    </row>
    <row r="20">
      <c r="A20" s="39">
        <v>3.0</v>
      </c>
      <c r="B20" s="40" t="s">
        <v>3118</v>
      </c>
      <c r="C20" s="48" t="s">
        <v>753</v>
      </c>
    </row>
    <row r="21">
      <c r="A21" s="39">
        <v>4.0</v>
      </c>
      <c r="B21" s="40" t="s">
        <v>3119</v>
      </c>
      <c r="C21" s="48" t="s">
        <v>753</v>
      </c>
    </row>
    <row r="22">
      <c r="A22" s="43">
        <v>5.0</v>
      </c>
      <c r="B22" s="49" t="s">
        <v>3120</v>
      </c>
      <c r="C22" s="50" t="s">
        <v>753</v>
      </c>
    </row>
    <row r="23">
      <c r="A23" s="35"/>
      <c r="B23" s="35"/>
      <c r="C23" s="35"/>
    </row>
    <row r="24">
      <c r="A24" s="34" t="s">
        <v>756</v>
      </c>
    </row>
    <row r="25">
      <c r="A25" s="35"/>
      <c r="B25" s="35"/>
      <c r="C25" s="35"/>
    </row>
    <row r="26">
      <c r="A26" s="36" t="s">
        <v>749</v>
      </c>
      <c r="B26" s="37" t="s">
        <v>757</v>
      </c>
      <c r="C26" s="38"/>
    </row>
    <row r="27">
      <c r="A27" s="39">
        <v>1.0</v>
      </c>
      <c r="B27" s="40" t="s">
        <v>3121</v>
      </c>
      <c r="C27" s="41"/>
    </row>
    <row r="28">
      <c r="A28" s="39">
        <v>2.0</v>
      </c>
      <c r="B28" s="40" t="s">
        <v>3122</v>
      </c>
      <c r="C28" s="41"/>
    </row>
    <row r="29">
      <c r="A29" s="39">
        <v>3.0</v>
      </c>
      <c r="B29" s="40" t="s">
        <v>3123</v>
      </c>
      <c r="C29" s="41"/>
    </row>
    <row r="30">
      <c r="A30" s="43">
        <v>4.0</v>
      </c>
      <c r="B30" s="49" t="s">
        <v>3124</v>
      </c>
      <c r="C30" s="45"/>
    </row>
    <row r="31">
      <c r="A31" s="35"/>
      <c r="B31" s="35"/>
      <c r="C31" s="35"/>
    </row>
    <row r="32">
      <c r="A32" s="34" t="s">
        <v>760</v>
      </c>
    </row>
    <row r="33">
      <c r="A33" s="35"/>
      <c r="B33" s="35"/>
      <c r="C33" s="35"/>
    </row>
    <row r="34">
      <c r="A34" s="36" t="s">
        <v>749</v>
      </c>
      <c r="B34" s="37" t="s">
        <v>757</v>
      </c>
      <c r="C34" s="38"/>
    </row>
    <row r="35">
      <c r="A35" s="39">
        <v>1.0</v>
      </c>
      <c r="B35" s="40" t="s">
        <v>3125</v>
      </c>
      <c r="C35" s="41"/>
    </row>
    <row r="36">
      <c r="A36" s="39">
        <v>2.0</v>
      </c>
      <c r="B36" s="40" t="s">
        <v>3126</v>
      </c>
      <c r="C36" s="41"/>
    </row>
    <row r="37">
      <c r="A37" s="43">
        <v>3.0</v>
      </c>
      <c r="B37" s="49" t="s">
        <v>3127</v>
      </c>
      <c r="C37" s="45"/>
    </row>
    <row r="38">
      <c r="A38" s="35"/>
      <c r="B38" s="35"/>
      <c r="C38" s="35"/>
    </row>
    <row r="39">
      <c r="A39" s="34" t="s">
        <v>763</v>
      </c>
    </row>
    <row r="40">
      <c r="A40" s="35"/>
      <c r="B40" s="35"/>
      <c r="C40" s="35"/>
    </row>
    <row r="41">
      <c r="A41" s="36" t="s">
        <v>749</v>
      </c>
      <c r="B41" s="37" t="s">
        <v>757</v>
      </c>
      <c r="C41" s="38"/>
    </row>
    <row r="42">
      <c r="A42" s="39">
        <v>1.0</v>
      </c>
      <c r="B42" s="40" t="s">
        <v>3128</v>
      </c>
      <c r="C42" s="41"/>
    </row>
    <row r="43">
      <c r="A43" s="39">
        <v>2.0</v>
      </c>
      <c r="B43" s="40" t="s">
        <v>3129</v>
      </c>
      <c r="C43" s="41"/>
    </row>
    <row r="44">
      <c r="A44" s="39">
        <v>3.0</v>
      </c>
      <c r="B44" s="40" t="s">
        <v>3130</v>
      </c>
      <c r="C44" s="41"/>
    </row>
    <row r="45">
      <c r="A45" s="43">
        <v>4.0</v>
      </c>
      <c r="B45" s="49" t="s">
        <v>3131</v>
      </c>
      <c r="C45" s="45"/>
    </row>
  </sheetData>
  <mergeCells count="7">
    <mergeCell ref="A1:C1"/>
    <mergeCell ref="A11:C11"/>
    <mergeCell ref="A13:C13"/>
    <mergeCell ref="A15:C15"/>
    <mergeCell ref="A24:C24"/>
    <mergeCell ref="A32:C32"/>
    <mergeCell ref="A39:C39"/>
  </mergeCells>
  <hyperlinks>
    <hyperlink r:id="rId1" ref="B9"/>
  </hyperlinks>
  <drawing r:id="rId2"/>
</worksheet>
</file>

<file path=xl/worksheets/sheet8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2" max="2" width="87.63"/>
    <col customWidth="1" min="3" max="3" width="20.13"/>
  </cols>
  <sheetData>
    <row r="1">
      <c r="A1" s="34" t="s">
        <v>742</v>
      </c>
    </row>
    <row r="2">
      <c r="A2" s="35"/>
      <c r="B2" s="35"/>
      <c r="C2" s="35"/>
    </row>
    <row r="3">
      <c r="A3" s="36" t="s">
        <v>743</v>
      </c>
      <c r="B3" s="37" t="s">
        <v>744</v>
      </c>
      <c r="C3" s="38"/>
    </row>
    <row r="4">
      <c r="A4" s="39" t="s">
        <v>6</v>
      </c>
      <c r="B4" s="40" t="s">
        <v>395</v>
      </c>
      <c r="C4" s="41"/>
    </row>
    <row r="5">
      <c r="A5" s="39" t="s">
        <v>745</v>
      </c>
      <c r="B5" s="42">
        <v>46159.0</v>
      </c>
      <c r="C5" s="41"/>
    </row>
    <row r="6">
      <c r="A6" s="39" t="s">
        <v>0</v>
      </c>
      <c r="B6" s="40" t="s">
        <v>305</v>
      </c>
      <c r="C6" s="41"/>
    </row>
    <row r="7">
      <c r="A7" s="39" t="s">
        <v>7</v>
      </c>
      <c r="B7" s="40" t="s">
        <v>307</v>
      </c>
      <c r="C7" s="41"/>
    </row>
    <row r="8">
      <c r="A8" s="39" t="s">
        <v>746</v>
      </c>
      <c r="B8" s="40">
        <v>4.0</v>
      </c>
      <c r="C8" s="41"/>
    </row>
    <row r="9">
      <c r="A9" s="43" t="s">
        <v>8</v>
      </c>
      <c r="B9" s="44" t="s">
        <v>396</v>
      </c>
      <c r="C9" s="45"/>
    </row>
    <row r="10">
      <c r="A10" s="35"/>
      <c r="B10" s="35"/>
      <c r="C10" s="35"/>
    </row>
    <row r="11">
      <c r="A11" s="34" t="s">
        <v>747</v>
      </c>
    </row>
    <row r="12">
      <c r="A12" s="35"/>
      <c r="B12" s="35"/>
      <c r="C12" s="35"/>
    </row>
    <row r="13">
      <c r="A13" s="46" t="s">
        <v>397</v>
      </c>
    </row>
    <row r="14">
      <c r="A14" s="35"/>
      <c r="B14" s="35"/>
      <c r="C14" s="35"/>
    </row>
    <row r="15">
      <c r="A15" s="34" t="s">
        <v>748</v>
      </c>
    </row>
    <row r="16">
      <c r="A16" s="35"/>
      <c r="B16" s="35"/>
      <c r="C16" s="35"/>
    </row>
    <row r="17">
      <c r="A17" s="36" t="s">
        <v>749</v>
      </c>
      <c r="B17" s="37" t="s">
        <v>750</v>
      </c>
      <c r="C17" s="47" t="s">
        <v>751</v>
      </c>
    </row>
    <row r="18">
      <c r="A18" s="39">
        <v>1.0</v>
      </c>
      <c r="B18" s="40" t="s">
        <v>3132</v>
      </c>
      <c r="C18" s="48" t="s">
        <v>753</v>
      </c>
    </row>
    <row r="19">
      <c r="A19" s="39">
        <v>2.0</v>
      </c>
      <c r="B19" s="40" t="s">
        <v>3133</v>
      </c>
      <c r="C19" s="48" t="s">
        <v>753</v>
      </c>
    </row>
    <row r="20">
      <c r="A20" s="39">
        <v>3.0</v>
      </c>
      <c r="B20" s="40" t="s">
        <v>3134</v>
      </c>
      <c r="C20" s="48" t="s">
        <v>753</v>
      </c>
    </row>
    <row r="21">
      <c r="A21" s="39">
        <v>4.0</v>
      </c>
      <c r="B21" s="40" t="s">
        <v>3135</v>
      </c>
      <c r="C21" s="48" t="s">
        <v>753</v>
      </c>
    </row>
    <row r="22">
      <c r="A22" s="39">
        <v>5.0</v>
      </c>
      <c r="B22" s="40" t="s">
        <v>3136</v>
      </c>
      <c r="C22" s="48" t="s">
        <v>753</v>
      </c>
    </row>
    <row r="23">
      <c r="A23" s="39">
        <v>6.0</v>
      </c>
      <c r="B23" s="40" t="s">
        <v>3137</v>
      </c>
      <c r="C23" s="48" t="s">
        <v>753</v>
      </c>
    </row>
    <row r="24">
      <c r="A24" s="39">
        <v>7.0</v>
      </c>
      <c r="B24" s="40" t="s">
        <v>3138</v>
      </c>
      <c r="C24" s="48" t="s">
        <v>753</v>
      </c>
    </row>
    <row r="25">
      <c r="A25" s="39">
        <v>8.0</v>
      </c>
      <c r="B25" s="40" t="s">
        <v>3139</v>
      </c>
      <c r="C25" s="48" t="s">
        <v>753</v>
      </c>
    </row>
    <row r="26">
      <c r="A26" s="39">
        <v>9.0</v>
      </c>
      <c r="B26" s="40" t="s">
        <v>3140</v>
      </c>
      <c r="C26" s="48" t="s">
        <v>753</v>
      </c>
    </row>
    <row r="27">
      <c r="A27" s="39">
        <v>10.0</v>
      </c>
      <c r="B27" s="40" t="s">
        <v>3141</v>
      </c>
      <c r="C27" s="48" t="s">
        <v>753</v>
      </c>
    </row>
    <row r="28">
      <c r="A28" s="39">
        <v>11.0</v>
      </c>
      <c r="B28" s="40" t="s">
        <v>3142</v>
      </c>
      <c r="C28" s="48" t="s">
        <v>753</v>
      </c>
    </row>
    <row r="29">
      <c r="A29" s="39">
        <v>12.0</v>
      </c>
      <c r="B29" s="40" t="s">
        <v>3143</v>
      </c>
      <c r="C29" s="48" t="s">
        <v>753</v>
      </c>
    </row>
    <row r="30">
      <c r="A30" s="43">
        <v>13.0</v>
      </c>
      <c r="B30" s="49" t="s">
        <v>3144</v>
      </c>
      <c r="C30" s="50" t="s">
        <v>753</v>
      </c>
    </row>
    <row r="31">
      <c r="A31" s="35"/>
      <c r="B31" s="35"/>
      <c r="C31" s="35"/>
    </row>
    <row r="32">
      <c r="A32" s="34" t="s">
        <v>756</v>
      </c>
    </row>
    <row r="33">
      <c r="A33" s="35"/>
      <c r="B33" s="35"/>
      <c r="C33" s="35"/>
    </row>
    <row r="34">
      <c r="A34" s="36" t="s">
        <v>749</v>
      </c>
      <c r="B34" s="37" t="s">
        <v>757</v>
      </c>
      <c r="C34" s="38"/>
    </row>
    <row r="35">
      <c r="A35" s="39">
        <v>1.0</v>
      </c>
      <c r="B35" s="40" t="s">
        <v>3145</v>
      </c>
      <c r="C35" s="41"/>
    </row>
    <row r="36">
      <c r="A36" s="39">
        <v>2.0</v>
      </c>
      <c r="B36" s="40" t="s">
        <v>3146</v>
      </c>
      <c r="C36" s="41"/>
    </row>
    <row r="37">
      <c r="A37" s="39">
        <v>3.0</v>
      </c>
      <c r="B37" s="40" t="s">
        <v>3147</v>
      </c>
      <c r="C37" s="41"/>
    </row>
    <row r="38">
      <c r="A38" s="39">
        <v>4.0</v>
      </c>
      <c r="B38" s="40" t="s">
        <v>3148</v>
      </c>
      <c r="C38" s="41"/>
    </row>
    <row r="39">
      <c r="A39" s="43">
        <v>5.0</v>
      </c>
      <c r="B39" s="49" t="s">
        <v>3149</v>
      </c>
      <c r="C39" s="45"/>
    </row>
    <row r="40">
      <c r="A40" s="35"/>
      <c r="B40" s="35"/>
      <c r="C40" s="35"/>
    </row>
    <row r="41">
      <c r="A41" s="34" t="s">
        <v>760</v>
      </c>
    </row>
    <row r="42">
      <c r="A42" s="35"/>
      <c r="B42" s="35"/>
      <c r="C42" s="35"/>
    </row>
    <row r="43">
      <c r="A43" s="36" t="s">
        <v>749</v>
      </c>
      <c r="B43" s="37" t="s">
        <v>757</v>
      </c>
      <c r="C43" s="38"/>
    </row>
    <row r="44">
      <c r="A44" s="39">
        <v>1.0</v>
      </c>
      <c r="B44" s="40" t="s">
        <v>3150</v>
      </c>
      <c r="C44" s="41"/>
    </row>
    <row r="45">
      <c r="A45" s="39">
        <v>2.0</v>
      </c>
      <c r="B45" s="40" t="s">
        <v>3151</v>
      </c>
      <c r="C45" s="41"/>
    </row>
    <row r="46">
      <c r="A46" s="43">
        <v>3.0</v>
      </c>
      <c r="B46" s="49" t="s">
        <v>3152</v>
      </c>
      <c r="C46" s="45"/>
    </row>
    <row r="47">
      <c r="A47" s="35"/>
      <c r="B47" s="35"/>
      <c r="C47" s="35"/>
    </row>
    <row r="48">
      <c r="A48" s="34" t="s">
        <v>763</v>
      </c>
    </row>
    <row r="49">
      <c r="A49" s="35"/>
      <c r="B49" s="35"/>
      <c r="C49" s="35"/>
    </row>
    <row r="50">
      <c r="A50" s="36" t="s">
        <v>749</v>
      </c>
      <c r="B50" s="37" t="s">
        <v>757</v>
      </c>
      <c r="C50" s="38"/>
    </row>
    <row r="51">
      <c r="A51" s="39">
        <v>1.0</v>
      </c>
      <c r="B51" s="40" t="s">
        <v>3153</v>
      </c>
      <c r="C51" s="41"/>
    </row>
    <row r="52">
      <c r="A52" s="39">
        <v>2.0</v>
      </c>
      <c r="B52" s="40" t="s">
        <v>3154</v>
      </c>
      <c r="C52" s="41"/>
    </row>
    <row r="53">
      <c r="A53" s="39">
        <v>3.0</v>
      </c>
      <c r="B53" s="40" t="s">
        <v>3155</v>
      </c>
      <c r="C53" s="41"/>
    </row>
    <row r="54">
      <c r="A54" s="43">
        <v>4.0</v>
      </c>
      <c r="B54" s="49" t="s">
        <v>3156</v>
      </c>
      <c r="C54" s="45"/>
    </row>
  </sheetData>
  <mergeCells count="7">
    <mergeCell ref="A1:C1"/>
    <mergeCell ref="A11:C11"/>
    <mergeCell ref="A13:C13"/>
    <mergeCell ref="A15:C15"/>
    <mergeCell ref="A32:C32"/>
    <mergeCell ref="A41:C41"/>
    <mergeCell ref="A48:C48"/>
  </mergeCells>
  <hyperlinks>
    <hyperlink r:id="rId1" ref="B9"/>
  </hyperlinks>
  <drawing r:id="rId2"/>
</worksheet>
</file>

<file path=xl/worksheets/sheet8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2" max="2" width="87.63"/>
    <col customWidth="1" min="3" max="3" width="20.13"/>
  </cols>
  <sheetData>
    <row r="1">
      <c r="A1" s="34" t="s">
        <v>742</v>
      </c>
    </row>
    <row r="2">
      <c r="A2" s="35"/>
      <c r="B2" s="35"/>
      <c r="C2" s="35"/>
    </row>
    <row r="3">
      <c r="A3" s="36" t="s">
        <v>743</v>
      </c>
      <c r="B3" s="37" t="s">
        <v>744</v>
      </c>
      <c r="C3" s="38"/>
    </row>
    <row r="4">
      <c r="A4" s="39" t="s">
        <v>6</v>
      </c>
      <c r="B4" s="40" t="s">
        <v>400</v>
      </c>
      <c r="C4" s="41"/>
    </row>
    <row r="5">
      <c r="A5" s="39" t="s">
        <v>745</v>
      </c>
      <c r="B5" s="42">
        <v>46160.0</v>
      </c>
      <c r="C5" s="41"/>
    </row>
    <row r="6">
      <c r="A6" s="39" t="s">
        <v>0</v>
      </c>
      <c r="B6" s="40" t="s">
        <v>399</v>
      </c>
      <c r="C6" s="41"/>
    </row>
    <row r="7">
      <c r="A7" s="39" t="s">
        <v>7</v>
      </c>
      <c r="B7" s="40" t="s">
        <v>222</v>
      </c>
      <c r="C7" s="41"/>
    </row>
    <row r="8">
      <c r="A8" s="39" t="s">
        <v>746</v>
      </c>
      <c r="B8" s="40">
        <v>4.0</v>
      </c>
      <c r="C8" s="41"/>
    </row>
    <row r="9">
      <c r="A9" s="43" t="s">
        <v>8</v>
      </c>
      <c r="B9" s="44" t="s">
        <v>401</v>
      </c>
      <c r="C9" s="45"/>
    </row>
    <row r="10">
      <c r="A10" s="35"/>
      <c r="B10" s="35"/>
      <c r="C10" s="35"/>
    </row>
    <row r="11">
      <c r="A11" s="34" t="s">
        <v>747</v>
      </c>
    </row>
    <row r="12">
      <c r="A12" s="35"/>
      <c r="B12" s="35"/>
      <c r="C12" s="35"/>
    </row>
    <row r="13">
      <c r="A13" s="46" t="s">
        <v>3157</v>
      </c>
    </row>
    <row r="14">
      <c r="A14" s="35"/>
      <c r="B14" s="35"/>
      <c r="C14" s="35"/>
    </row>
    <row r="15">
      <c r="A15" s="34" t="s">
        <v>748</v>
      </c>
    </row>
    <row r="16">
      <c r="A16" s="35"/>
      <c r="B16" s="35"/>
      <c r="C16" s="35"/>
    </row>
    <row r="17">
      <c r="A17" s="36" t="s">
        <v>749</v>
      </c>
      <c r="B17" s="37" t="s">
        <v>750</v>
      </c>
      <c r="C17" s="47" t="s">
        <v>751</v>
      </c>
    </row>
    <row r="18">
      <c r="A18" s="39">
        <v>1.0</v>
      </c>
      <c r="B18" s="40" t="s">
        <v>3158</v>
      </c>
      <c r="C18" s="48" t="s">
        <v>3159</v>
      </c>
    </row>
    <row r="19">
      <c r="A19" s="39">
        <v>2.0</v>
      </c>
      <c r="B19" s="40" t="s">
        <v>3160</v>
      </c>
      <c r="C19" s="48" t="s">
        <v>753</v>
      </c>
    </row>
    <row r="20">
      <c r="A20" s="39">
        <v>3.0</v>
      </c>
      <c r="B20" s="40" t="s">
        <v>3161</v>
      </c>
      <c r="C20" s="48" t="s">
        <v>753</v>
      </c>
    </row>
    <row r="21">
      <c r="A21" s="39">
        <v>4.0</v>
      </c>
      <c r="B21" s="40" t="s">
        <v>3162</v>
      </c>
      <c r="C21" s="48" t="s">
        <v>753</v>
      </c>
    </row>
    <row r="22">
      <c r="A22" s="39">
        <v>5.0</v>
      </c>
      <c r="B22" s="40" t="s">
        <v>3163</v>
      </c>
      <c r="C22" s="48" t="s">
        <v>753</v>
      </c>
    </row>
    <row r="23">
      <c r="A23" s="39">
        <v>6.0</v>
      </c>
      <c r="B23" s="40" t="s">
        <v>3164</v>
      </c>
      <c r="C23" s="48" t="s">
        <v>753</v>
      </c>
    </row>
    <row r="24">
      <c r="A24" s="39">
        <v>7.0</v>
      </c>
      <c r="B24" s="40" t="s">
        <v>3165</v>
      </c>
      <c r="C24" s="48" t="s">
        <v>753</v>
      </c>
    </row>
    <row r="25">
      <c r="A25" s="39">
        <v>8.0</v>
      </c>
      <c r="B25" s="40" t="s">
        <v>3166</v>
      </c>
      <c r="C25" s="48" t="s">
        <v>753</v>
      </c>
    </row>
    <row r="26">
      <c r="A26" s="39">
        <v>9.0</v>
      </c>
      <c r="B26" s="40" t="s">
        <v>3167</v>
      </c>
      <c r="C26" s="48" t="s">
        <v>753</v>
      </c>
    </row>
    <row r="27">
      <c r="A27" s="39">
        <v>10.0</v>
      </c>
      <c r="B27" s="40" t="s">
        <v>3168</v>
      </c>
      <c r="C27" s="48" t="s">
        <v>753</v>
      </c>
    </row>
    <row r="28">
      <c r="A28" s="39">
        <v>11.0</v>
      </c>
      <c r="B28" s="40" t="s">
        <v>3169</v>
      </c>
      <c r="C28" s="48" t="s">
        <v>753</v>
      </c>
    </row>
    <row r="29">
      <c r="A29" s="43">
        <v>12.0</v>
      </c>
      <c r="B29" s="49" t="s">
        <v>3170</v>
      </c>
      <c r="C29" s="50" t="s">
        <v>753</v>
      </c>
    </row>
    <row r="30">
      <c r="A30" s="35"/>
      <c r="B30" s="35"/>
      <c r="C30" s="35"/>
    </row>
    <row r="31">
      <c r="A31" s="34" t="s">
        <v>756</v>
      </c>
    </row>
    <row r="32">
      <c r="A32" s="35"/>
      <c r="B32" s="35"/>
      <c r="C32" s="35"/>
    </row>
    <row r="33">
      <c r="A33" s="36" t="s">
        <v>749</v>
      </c>
      <c r="B33" s="37" t="s">
        <v>757</v>
      </c>
      <c r="C33" s="38"/>
    </row>
    <row r="34">
      <c r="A34" s="39">
        <v>1.0</v>
      </c>
      <c r="B34" s="40" t="s">
        <v>3171</v>
      </c>
      <c r="C34" s="41"/>
    </row>
    <row r="35">
      <c r="A35" s="39">
        <v>2.0</v>
      </c>
      <c r="B35" s="40" t="s">
        <v>3172</v>
      </c>
      <c r="C35" s="41"/>
    </row>
    <row r="36">
      <c r="A36" s="39">
        <v>3.0</v>
      </c>
      <c r="B36" s="40" t="s">
        <v>3173</v>
      </c>
      <c r="C36" s="41"/>
    </row>
    <row r="37">
      <c r="A37" s="39">
        <v>4.0</v>
      </c>
      <c r="B37" s="40" t="s">
        <v>3174</v>
      </c>
      <c r="C37" s="41"/>
    </row>
    <row r="38">
      <c r="A38" s="43">
        <v>5.0</v>
      </c>
      <c r="B38" s="49" t="s">
        <v>3175</v>
      </c>
      <c r="C38" s="45"/>
    </row>
    <row r="39">
      <c r="A39" s="35"/>
      <c r="B39" s="35"/>
      <c r="C39" s="35"/>
    </row>
    <row r="40">
      <c r="A40" s="34" t="s">
        <v>760</v>
      </c>
    </row>
    <row r="41">
      <c r="A41" s="35"/>
      <c r="B41" s="35"/>
      <c r="C41" s="35"/>
    </row>
    <row r="42">
      <c r="A42" s="36" t="s">
        <v>749</v>
      </c>
      <c r="B42" s="37" t="s">
        <v>757</v>
      </c>
      <c r="C42" s="38"/>
    </row>
    <row r="43">
      <c r="A43" s="39">
        <v>1.0</v>
      </c>
      <c r="B43" s="40" t="s">
        <v>3176</v>
      </c>
      <c r="C43" s="41"/>
    </row>
    <row r="44">
      <c r="A44" s="39">
        <v>2.0</v>
      </c>
      <c r="B44" s="40" t="s">
        <v>3177</v>
      </c>
      <c r="C44" s="41"/>
    </row>
    <row r="45">
      <c r="A45" s="39">
        <v>3.0</v>
      </c>
      <c r="B45" s="40" t="s">
        <v>3178</v>
      </c>
      <c r="C45" s="41"/>
    </row>
    <row r="46">
      <c r="A46" s="43">
        <v>4.0</v>
      </c>
      <c r="B46" s="49" t="s">
        <v>3179</v>
      </c>
      <c r="C46" s="45"/>
    </row>
    <row r="47">
      <c r="A47" s="35"/>
      <c r="B47" s="35"/>
      <c r="C47" s="35"/>
    </row>
    <row r="48">
      <c r="A48" s="34" t="s">
        <v>763</v>
      </c>
    </row>
    <row r="49">
      <c r="A49" s="35"/>
      <c r="B49" s="35"/>
      <c r="C49" s="35"/>
    </row>
    <row r="50">
      <c r="A50" s="36" t="s">
        <v>749</v>
      </c>
      <c r="B50" s="37" t="s">
        <v>757</v>
      </c>
      <c r="C50" s="38"/>
    </row>
    <row r="51">
      <c r="A51" s="39">
        <v>1.0</v>
      </c>
      <c r="B51" s="40" t="s">
        <v>3180</v>
      </c>
      <c r="C51" s="41"/>
    </row>
    <row r="52">
      <c r="A52" s="39">
        <v>2.0</v>
      </c>
      <c r="B52" s="40" t="s">
        <v>3181</v>
      </c>
      <c r="C52" s="41"/>
    </row>
    <row r="53">
      <c r="A53" s="39">
        <v>3.0</v>
      </c>
      <c r="B53" s="40" t="s">
        <v>3182</v>
      </c>
      <c r="C53" s="41"/>
    </row>
    <row r="54">
      <c r="A54" s="39">
        <v>4.0</v>
      </c>
      <c r="B54" s="40" t="s">
        <v>3183</v>
      </c>
      <c r="C54" s="41"/>
    </row>
    <row r="55">
      <c r="A55" s="39">
        <v>5.0</v>
      </c>
      <c r="B55" s="40" t="s">
        <v>3184</v>
      </c>
      <c r="C55" s="41"/>
    </row>
    <row r="56">
      <c r="A56" s="39">
        <v>6.0</v>
      </c>
      <c r="B56" s="40" t="s">
        <v>3185</v>
      </c>
      <c r="C56" s="41"/>
    </row>
    <row r="57">
      <c r="A57" s="39">
        <v>7.0</v>
      </c>
      <c r="B57" s="40" t="s">
        <v>3186</v>
      </c>
      <c r="C57" s="41"/>
    </row>
    <row r="58">
      <c r="A58" s="39">
        <v>8.0</v>
      </c>
      <c r="B58" s="40" t="s">
        <v>3187</v>
      </c>
      <c r="C58" s="41"/>
    </row>
    <row r="59">
      <c r="A59" s="39">
        <v>9.0</v>
      </c>
      <c r="B59" s="40" t="s">
        <v>3188</v>
      </c>
      <c r="C59" s="41"/>
    </row>
    <row r="60">
      <c r="A60" s="39">
        <v>10.0</v>
      </c>
      <c r="B60" s="40" t="s">
        <v>3189</v>
      </c>
      <c r="C60" s="41"/>
    </row>
    <row r="61">
      <c r="A61" s="39">
        <v>11.0</v>
      </c>
      <c r="B61" s="40" t="s">
        <v>3190</v>
      </c>
      <c r="C61" s="41"/>
    </row>
    <row r="62">
      <c r="A62" s="39">
        <v>12.0</v>
      </c>
      <c r="B62" s="40" t="s">
        <v>3191</v>
      </c>
      <c r="C62" s="41"/>
    </row>
    <row r="63">
      <c r="A63" s="39">
        <v>13.0</v>
      </c>
      <c r="B63" s="40" t="s">
        <v>3192</v>
      </c>
      <c r="C63" s="41"/>
    </row>
    <row r="64">
      <c r="A64" s="39">
        <v>14.0</v>
      </c>
      <c r="B64" s="40" t="s">
        <v>3193</v>
      </c>
      <c r="C64" s="41"/>
    </row>
    <row r="65">
      <c r="A65" s="43">
        <v>15.0</v>
      </c>
      <c r="B65" s="49" t="s">
        <v>899</v>
      </c>
      <c r="C65" s="45"/>
    </row>
  </sheetData>
  <mergeCells count="7">
    <mergeCell ref="A1:C1"/>
    <mergeCell ref="A11:C11"/>
    <mergeCell ref="A13:C13"/>
    <mergeCell ref="A15:C15"/>
    <mergeCell ref="A31:C31"/>
    <mergeCell ref="A40:C40"/>
    <mergeCell ref="A48:C48"/>
  </mergeCells>
  <hyperlinks>
    <hyperlink r:id="rId1" ref="B9"/>
  </hyperlinks>
  <drawing r:id="rId2"/>
</worksheet>
</file>

<file path=xl/worksheets/sheet8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2" max="2" width="87.63"/>
    <col customWidth="1" min="3" max="3" width="20.13"/>
  </cols>
  <sheetData>
    <row r="1">
      <c r="A1" s="34" t="s">
        <v>742</v>
      </c>
    </row>
    <row r="2">
      <c r="A2" s="35"/>
      <c r="B2" s="35"/>
      <c r="C2" s="35"/>
    </row>
    <row r="3">
      <c r="A3" s="36" t="s">
        <v>743</v>
      </c>
      <c r="B3" s="37" t="s">
        <v>744</v>
      </c>
      <c r="C3" s="38"/>
    </row>
    <row r="4">
      <c r="A4" s="39" t="s">
        <v>6</v>
      </c>
      <c r="B4" s="40" t="s">
        <v>404</v>
      </c>
      <c r="C4" s="41"/>
    </row>
    <row r="5">
      <c r="A5" s="39" t="s">
        <v>745</v>
      </c>
      <c r="B5" s="42">
        <v>46160.0</v>
      </c>
      <c r="C5" s="41"/>
    </row>
    <row r="6">
      <c r="A6" s="39" t="s">
        <v>0</v>
      </c>
      <c r="B6" s="40" t="s">
        <v>399</v>
      </c>
      <c r="C6" s="41"/>
    </row>
    <row r="7">
      <c r="A7" s="39" t="s">
        <v>7</v>
      </c>
      <c r="B7" s="40" t="s">
        <v>139</v>
      </c>
      <c r="C7" s="41"/>
    </row>
    <row r="8">
      <c r="A8" s="39" t="s">
        <v>746</v>
      </c>
      <c r="B8" s="40">
        <v>5.0</v>
      </c>
      <c r="C8" s="41"/>
    </row>
    <row r="9">
      <c r="A9" s="43" t="s">
        <v>8</v>
      </c>
      <c r="B9" s="44" t="s">
        <v>405</v>
      </c>
      <c r="C9" s="45"/>
    </row>
    <row r="10">
      <c r="A10" s="35"/>
      <c r="B10" s="35"/>
      <c r="C10" s="35"/>
    </row>
    <row r="11">
      <c r="A11" s="34" t="s">
        <v>747</v>
      </c>
    </row>
    <row r="12">
      <c r="A12" s="35"/>
      <c r="B12" s="35"/>
      <c r="C12" s="35"/>
    </row>
    <row r="13">
      <c r="A13" s="46" t="s">
        <v>406</v>
      </c>
    </row>
    <row r="14">
      <c r="A14" s="35"/>
      <c r="B14" s="35"/>
      <c r="C14" s="35"/>
    </row>
    <row r="15">
      <c r="A15" s="34" t="s">
        <v>748</v>
      </c>
    </row>
    <row r="16">
      <c r="A16" s="35"/>
      <c r="B16" s="35"/>
      <c r="C16" s="35"/>
    </row>
    <row r="17">
      <c r="A17" s="36" t="s">
        <v>749</v>
      </c>
      <c r="B17" s="37" t="s">
        <v>750</v>
      </c>
      <c r="C17" s="47" t="s">
        <v>751</v>
      </c>
    </row>
    <row r="18">
      <c r="A18" s="39">
        <v>1.0</v>
      </c>
      <c r="B18" s="40" t="s">
        <v>3194</v>
      </c>
      <c r="C18" s="48" t="s">
        <v>3195</v>
      </c>
    </row>
    <row r="19">
      <c r="A19" s="39">
        <v>2.0</v>
      </c>
      <c r="B19" s="40" t="s">
        <v>3196</v>
      </c>
      <c r="C19" s="48" t="s">
        <v>3195</v>
      </c>
    </row>
    <row r="20">
      <c r="A20" s="39">
        <v>3.0</v>
      </c>
      <c r="B20" s="40" t="s">
        <v>3197</v>
      </c>
      <c r="C20" s="48" t="s">
        <v>3195</v>
      </c>
    </row>
    <row r="21">
      <c r="A21" s="39">
        <v>4.0</v>
      </c>
      <c r="B21" s="40" t="s">
        <v>3198</v>
      </c>
      <c r="C21" s="48" t="s">
        <v>3199</v>
      </c>
    </row>
    <row r="22">
      <c r="A22" s="39">
        <v>5.0</v>
      </c>
      <c r="B22" s="40" t="s">
        <v>3200</v>
      </c>
      <c r="C22" s="48" t="s">
        <v>3195</v>
      </c>
    </row>
    <row r="23">
      <c r="A23" s="39">
        <v>6.0</v>
      </c>
      <c r="B23" s="40" t="s">
        <v>3201</v>
      </c>
      <c r="C23" s="48" t="s">
        <v>3195</v>
      </c>
    </row>
    <row r="24">
      <c r="A24" s="43">
        <v>7.0</v>
      </c>
      <c r="B24" s="49" t="s">
        <v>3202</v>
      </c>
      <c r="C24" s="50" t="s">
        <v>3195</v>
      </c>
    </row>
    <row r="25">
      <c r="A25" s="35"/>
      <c r="B25" s="35"/>
      <c r="C25" s="35"/>
    </row>
    <row r="26">
      <c r="A26" s="34" t="s">
        <v>756</v>
      </c>
    </row>
    <row r="27">
      <c r="A27" s="35"/>
      <c r="B27" s="35"/>
      <c r="C27" s="35"/>
    </row>
    <row r="28">
      <c r="A28" s="36" t="s">
        <v>749</v>
      </c>
      <c r="B28" s="37" t="s">
        <v>757</v>
      </c>
      <c r="C28" s="38"/>
    </row>
    <row r="29">
      <c r="A29" s="39">
        <v>1.0</v>
      </c>
      <c r="B29" s="40" t="s">
        <v>3203</v>
      </c>
      <c r="C29" s="41"/>
    </row>
    <row r="30">
      <c r="A30" s="39">
        <v>2.0</v>
      </c>
      <c r="B30" s="40" t="s">
        <v>3204</v>
      </c>
      <c r="C30" s="41"/>
    </row>
    <row r="31">
      <c r="A31" s="39">
        <v>3.0</v>
      </c>
      <c r="B31" s="40" t="s">
        <v>3205</v>
      </c>
      <c r="C31" s="41"/>
    </row>
    <row r="32">
      <c r="A32" s="39">
        <v>4.0</v>
      </c>
      <c r="B32" s="40" t="s">
        <v>3206</v>
      </c>
      <c r="C32" s="41"/>
    </row>
    <row r="33">
      <c r="A33" s="43">
        <v>5.0</v>
      </c>
      <c r="B33" s="49" t="s">
        <v>3207</v>
      </c>
      <c r="C33" s="45"/>
    </row>
    <row r="34">
      <c r="A34" s="35"/>
      <c r="B34" s="35"/>
      <c r="C34" s="35"/>
    </row>
    <row r="35">
      <c r="A35" s="34" t="s">
        <v>760</v>
      </c>
    </row>
    <row r="36">
      <c r="A36" s="35"/>
      <c r="B36" s="35"/>
      <c r="C36" s="35"/>
    </row>
    <row r="37">
      <c r="A37" s="36" t="s">
        <v>749</v>
      </c>
      <c r="B37" s="37" t="s">
        <v>757</v>
      </c>
      <c r="C37" s="38"/>
    </row>
    <row r="38">
      <c r="A38" s="39">
        <v>1.0</v>
      </c>
      <c r="B38" s="40" t="s">
        <v>3208</v>
      </c>
      <c r="C38" s="41"/>
    </row>
    <row r="39">
      <c r="A39" s="39">
        <v>2.0</v>
      </c>
      <c r="B39" s="40" t="s">
        <v>3209</v>
      </c>
      <c r="C39" s="41"/>
    </row>
    <row r="40">
      <c r="A40" s="39">
        <v>3.0</v>
      </c>
      <c r="B40" s="40" t="s">
        <v>3210</v>
      </c>
      <c r="C40" s="41"/>
    </row>
    <row r="41">
      <c r="A41" s="43">
        <v>4.0</v>
      </c>
      <c r="B41" s="49" t="s">
        <v>3211</v>
      </c>
      <c r="C41" s="45"/>
    </row>
    <row r="42">
      <c r="A42" s="35"/>
      <c r="B42" s="35"/>
      <c r="C42" s="35"/>
    </row>
    <row r="43">
      <c r="A43" s="34" t="s">
        <v>763</v>
      </c>
    </row>
    <row r="44">
      <c r="A44" s="35"/>
      <c r="B44" s="35"/>
      <c r="C44" s="35"/>
    </row>
    <row r="45">
      <c r="A45" s="36" t="s">
        <v>749</v>
      </c>
      <c r="B45" s="37" t="s">
        <v>757</v>
      </c>
      <c r="C45" s="38"/>
    </row>
    <row r="46">
      <c r="A46" s="39">
        <v>1.0</v>
      </c>
      <c r="B46" s="40" t="s">
        <v>3212</v>
      </c>
      <c r="C46" s="41"/>
    </row>
    <row r="47">
      <c r="A47" s="39">
        <v>2.0</v>
      </c>
      <c r="B47" s="40" t="s">
        <v>3213</v>
      </c>
      <c r="C47" s="41"/>
    </row>
    <row r="48">
      <c r="A48" s="39">
        <v>3.0</v>
      </c>
      <c r="B48" s="40" t="s">
        <v>3214</v>
      </c>
      <c r="C48" s="41"/>
    </row>
    <row r="49">
      <c r="A49" s="39">
        <v>4.0</v>
      </c>
      <c r="B49" s="40" t="s">
        <v>3215</v>
      </c>
      <c r="C49" s="41"/>
    </row>
    <row r="50">
      <c r="A50" s="39">
        <v>5.0</v>
      </c>
      <c r="B50" s="40" t="s">
        <v>3216</v>
      </c>
      <c r="C50" s="41"/>
    </row>
    <row r="51">
      <c r="A51" s="39">
        <v>6.0</v>
      </c>
      <c r="B51" s="40" t="s">
        <v>3217</v>
      </c>
      <c r="C51" s="41"/>
    </row>
    <row r="52">
      <c r="A52" s="39">
        <v>7.0</v>
      </c>
      <c r="B52" s="40" t="s">
        <v>3218</v>
      </c>
      <c r="C52" s="41"/>
    </row>
    <row r="53">
      <c r="A53" s="39">
        <v>8.0</v>
      </c>
      <c r="B53" s="40" t="s">
        <v>899</v>
      </c>
      <c r="C53" s="41"/>
    </row>
    <row r="54">
      <c r="A54" s="43">
        <v>9.0</v>
      </c>
      <c r="B54" s="49" t="s">
        <v>3219</v>
      </c>
      <c r="C54" s="45"/>
    </row>
  </sheetData>
  <mergeCells count="7">
    <mergeCell ref="A1:C1"/>
    <mergeCell ref="A11:C11"/>
    <mergeCell ref="A13:C13"/>
    <mergeCell ref="A15:C15"/>
    <mergeCell ref="A26:C26"/>
    <mergeCell ref="A35:C35"/>
    <mergeCell ref="A43:C43"/>
  </mergeCells>
  <hyperlinks>
    <hyperlink r:id="rId1" ref="B9"/>
  </hyperlinks>
  <drawing r:id="rId2"/>
</worksheet>
</file>

<file path=xl/worksheets/sheet8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2" max="2" width="87.63"/>
    <col customWidth="1" min="3" max="3" width="20.13"/>
  </cols>
  <sheetData>
    <row r="1">
      <c r="A1" s="34" t="s">
        <v>742</v>
      </c>
    </row>
    <row r="2">
      <c r="A2" s="35"/>
      <c r="B2" s="35"/>
      <c r="C2" s="35"/>
    </row>
    <row r="3">
      <c r="A3" s="36" t="s">
        <v>743</v>
      </c>
      <c r="B3" s="37" t="s">
        <v>744</v>
      </c>
      <c r="C3" s="38"/>
    </row>
    <row r="4">
      <c r="A4" s="39" t="s">
        <v>6</v>
      </c>
      <c r="B4" s="40" t="s">
        <v>408</v>
      </c>
      <c r="C4" s="41"/>
    </row>
    <row r="5">
      <c r="A5" s="39" t="s">
        <v>745</v>
      </c>
      <c r="B5" s="42">
        <v>46160.0</v>
      </c>
      <c r="C5" s="41"/>
    </row>
    <row r="6">
      <c r="A6" s="39" t="s">
        <v>0</v>
      </c>
      <c r="B6" s="40" t="s">
        <v>399</v>
      </c>
      <c r="C6" s="41"/>
    </row>
    <row r="7">
      <c r="A7" s="39" t="s">
        <v>7</v>
      </c>
      <c r="B7" s="40" t="s">
        <v>45</v>
      </c>
      <c r="C7" s="41"/>
    </row>
    <row r="8">
      <c r="A8" s="39" t="s">
        <v>746</v>
      </c>
      <c r="B8" s="40">
        <v>3.0</v>
      </c>
      <c r="C8" s="41"/>
    </row>
    <row r="9">
      <c r="A9" s="43" t="s">
        <v>8</v>
      </c>
      <c r="B9" s="44" t="s">
        <v>409</v>
      </c>
      <c r="C9" s="45"/>
    </row>
    <row r="10">
      <c r="A10" s="35"/>
      <c r="B10" s="35"/>
      <c r="C10" s="35"/>
    </row>
    <row r="11">
      <c r="A11" s="34" t="s">
        <v>747</v>
      </c>
    </row>
    <row r="12">
      <c r="A12" s="35"/>
      <c r="B12" s="35"/>
      <c r="C12" s="35"/>
    </row>
    <row r="13">
      <c r="A13" s="46" t="s">
        <v>410</v>
      </c>
    </row>
    <row r="14">
      <c r="A14" s="35"/>
      <c r="B14" s="35"/>
      <c r="C14" s="35"/>
    </row>
    <row r="15">
      <c r="A15" s="34" t="s">
        <v>748</v>
      </c>
    </row>
    <row r="16">
      <c r="A16" s="35"/>
      <c r="B16" s="35"/>
      <c r="C16" s="35"/>
    </row>
    <row r="17">
      <c r="A17" s="36" t="s">
        <v>749</v>
      </c>
      <c r="B17" s="37" t="s">
        <v>750</v>
      </c>
      <c r="C17" s="47" t="s">
        <v>751</v>
      </c>
    </row>
    <row r="18">
      <c r="A18" s="39">
        <v>1.0</v>
      </c>
      <c r="B18" s="40" t="s">
        <v>3220</v>
      </c>
      <c r="C18" s="48" t="s">
        <v>1418</v>
      </c>
    </row>
    <row r="19">
      <c r="A19" s="39">
        <v>2.0</v>
      </c>
      <c r="B19" s="40" t="s">
        <v>3221</v>
      </c>
      <c r="C19" s="48" t="s">
        <v>1418</v>
      </c>
    </row>
    <row r="20">
      <c r="A20" s="39">
        <v>3.0</v>
      </c>
      <c r="B20" s="40" t="s">
        <v>3222</v>
      </c>
      <c r="C20" s="48" t="s">
        <v>1418</v>
      </c>
    </row>
    <row r="21">
      <c r="A21" s="39">
        <v>4.0</v>
      </c>
      <c r="B21" s="40" t="s">
        <v>3223</v>
      </c>
      <c r="C21" s="48" t="s">
        <v>1418</v>
      </c>
    </row>
    <row r="22">
      <c r="A22" s="39">
        <v>5.0</v>
      </c>
      <c r="B22" s="40" t="s">
        <v>3224</v>
      </c>
      <c r="C22" s="48" t="s">
        <v>753</v>
      </c>
    </row>
    <row r="23">
      <c r="A23" s="39">
        <v>6.0</v>
      </c>
      <c r="B23" s="40" t="s">
        <v>3225</v>
      </c>
      <c r="C23" s="48" t="s">
        <v>753</v>
      </c>
    </row>
    <row r="24">
      <c r="A24" s="39">
        <v>7.0</v>
      </c>
      <c r="B24" s="40" t="s">
        <v>3226</v>
      </c>
      <c r="C24" s="48" t="s">
        <v>1418</v>
      </c>
    </row>
    <row r="25">
      <c r="A25" s="39">
        <v>8.0</v>
      </c>
      <c r="B25" s="40" t="s">
        <v>3227</v>
      </c>
      <c r="C25" s="48" t="s">
        <v>1418</v>
      </c>
    </row>
    <row r="26">
      <c r="A26" s="43">
        <v>9.0</v>
      </c>
      <c r="B26" s="49" t="s">
        <v>3228</v>
      </c>
      <c r="C26" s="50" t="s">
        <v>1418</v>
      </c>
    </row>
    <row r="27">
      <c r="A27" s="35"/>
      <c r="B27" s="35"/>
      <c r="C27" s="35"/>
    </row>
    <row r="28">
      <c r="A28" s="34" t="s">
        <v>756</v>
      </c>
    </row>
    <row r="29">
      <c r="A29" s="35"/>
      <c r="B29" s="35"/>
      <c r="C29" s="35"/>
    </row>
    <row r="30">
      <c r="A30" s="36" t="s">
        <v>749</v>
      </c>
      <c r="B30" s="37" t="s">
        <v>757</v>
      </c>
      <c r="C30" s="38"/>
    </row>
    <row r="31">
      <c r="A31" s="39">
        <v>1.0</v>
      </c>
      <c r="B31" s="40" t="s">
        <v>3229</v>
      </c>
      <c r="C31" s="41"/>
    </row>
    <row r="32">
      <c r="A32" s="39">
        <v>2.0</v>
      </c>
      <c r="B32" s="40" t="s">
        <v>3230</v>
      </c>
      <c r="C32" s="41"/>
    </row>
    <row r="33">
      <c r="A33" s="39">
        <v>3.0</v>
      </c>
      <c r="B33" s="40" t="s">
        <v>3231</v>
      </c>
      <c r="C33" s="41"/>
    </row>
    <row r="34">
      <c r="A34" s="43">
        <v>4.0</v>
      </c>
      <c r="B34" s="49" t="s">
        <v>3232</v>
      </c>
      <c r="C34" s="45"/>
    </row>
    <row r="35">
      <c r="A35" s="35"/>
      <c r="B35" s="35"/>
      <c r="C35" s="35"/>
    </row>
    <row r="36">
      <c r="A36" s="34" t="s">
        <v>760</v>
      </c>
    </row>
    <row r="37">
      <c r="A37" s="35"/>
      <c r="B37" s="35"/>
      <c r="C37" s="35"/>
    </row>
    <row r="38">
      <c r="A38" s="36" t="s">
        <v>749</v>
      </c>
      <c r="B38" s="37" t="s">
        <v>757</v>
      </c>
      <c r="C38" s="38"/>
    </row>
    <row r="39">
      <c r="A39" s="43">
        <v>1.0</v>
      </c>
      <c r="B39" s="49" t="s">
        <v>1061</v>
      </c>
      <c r="C39" s="45"/>
    </row>
    <row r="40">
      <c r="A40" s="35"/>
      <c r="B40" s="35"/>
      <c r="C40" s="35"/>
    </row>
    <row r="41">
      <c r="A41" s="34" t="s">
        <v>763</v>
      </c>
    </row>
    <row r="42">
      <c r="A42" s="35"/>
      <c r="B42" s="35"/>
      <c r="C42" s="35"/>
    </row>
    <row r="43">
      <c r="A43" s="36" t="s">
        <v>749</v>
      </c>
      <c r="B43" s="37" t="s">
        <v>757</v>
      </c>
      <c r="C43" s="38"/>
    </row>
    <row r="44">
      <c r="A44" s="39">
        <v>1.0</v>
      </c>
      <c r="B44" s="40" t="s">
        <v>3233</v>
      </c>
      <c r="C44" s="41"/>
    </row>
    <row r="45">
      <c r="A45" s="39">
        <v>2.0</v>
      </c>
      <c r="B45" s="40" t="s">
        <v>3234</v>
      </c>
      <c r="C45" s="41"/>
    </row>
    <row r="46">
      <c r="A46" s="39">
        <v>3.0</v>
      </c>
      <c r="B46" s="40" t="s">
        <v>3235</v>
      </c>
      <c r="C46" s="41"/>
    </row>
    <row r="47">
      <c r="A47" s="39">
        <v>4.0</v>
      </c>
      <c r="B47" s="40" t="s">
        <v>3236</v>
      </c>
      <c r="C47" s="41"/>
    </row>
    <row r="48">
      <c r="A48" s="43">
        <v>5.0</v>
      </c>
      <c r="B48" s="49" t="s">
        <v>3237</v>
      </c>
      <c r="C48" s="45"/>
    </row>
  </sheetData>
  <mergeCells count="7">
    <mergeCell ref="A1:C1"/>
    <mergeCell ref="A11:C11"/>
    <mergeCell ref="A13:C13"/>
    <mergeCell ref="A15:C15"/>
    <mergeCell ref="A28:C28"/>
    <mergeCell ref="A36:C36"/>
    <mergeCell ref="A41:C41"/>
  </mergeCells>
  <hyperlinks>
    <hyperlink r:id="rId1" ref="B9"/>
  </hyperlinks>
  <drawing r:id="rId2"/>
</worksheet>
</file>

<file path=xl/worksheets/sheet8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2" max="2" width="87.63"/>
    <col customWidth="1" min="3" max="3" width="20.13"/>
  </cols>
  <sheetData>
    <row r="1">
      <c r="A1" s="34" t="s">
        <v>742</v>
      </c>
    </row>
    <row r="2">
      <c r="A2" s="35"/>
      <c r="B2" s="35"/>
      <c r="C2" s="35"/>
    </row>
    <row r="3">
      <c r="A3" s="36" t="s">
        <v>743</v>
      </c>
      <c r="B3" s="37" t="s">
        <v>744</v>
      </c>
      <c r="C3" s="38"/>
    </row>
    <row r="4">
      <c r="A4" s="39" t="s">
        <v>6</v>
      </c>
      <c r="B4" s="40" t="s">
        <v>412</v>
      </c>
      <c r="C4" s="41"/>
    </row>
    <row r="5">
      <c r="A5" s="39" t="s">
        <v>745</v>
      </c>
      <c r="B5" s="42">
        <v>46160.0</v>
      </c>
      <c r="C5" s="41"/>
    </row>
    <row r="6">
      <c r="A6" s="39" t="s">
        <v>0</v>
      </c>
      <c r="B6" s="40" t="s">
        <v>399</v>
      </c>
      <c r="C6" s="41"/>
    </row>
    <row r="7">
      <c r="A7" s="39" t="s">
        <v>7</v>
      </c>
      <c r="B7" s="40" t="s">
        <v>413</v>
      </c>
      <c r="C7" s="41"/>
    </row>
    <row r="8">
      <c r="A8" s="39" t="s">
        <v>746</v>
      </c>
      <c r="B8" s="40">
        <v>7.0</v>
      </c>
      <c r="C8" s="41"/>
    </row>
    <row r="9">
      <c r="A9" s="43" t="s">
        <v>8</v>
      </c>
      <c r="B9" s="44" t="s">
        <v>414</v>
      </c>
      <c r="C9" s="45"/>
    </row>
    <row r="10">
      <c r="A10" s="35"/>
      <c r="B10" s="35"/>
      <c r="C10" s="35"/>
    </row>
    <row r="11">
      <c r="A11" s="34" t="s">
        <v>747</v>
      </c>
    </row>
    <row r="12">
      <c r="A12" s="35"/>
      <c r="B12" s="35"/>
      <c r="C12" s="35"/>
    </row>
    <row r="13">
      <c r="A13" s="46" t="s">
        <v>3238</v>
      </c>
    </row>
    <row r="14">
      <c r="A14" s="35"/>
      <c r="B14" s="35"/>
      <c r="C14" s="35"/>
    </row>
    <row r="15">
      <c r="A15" s="34" t="s">
        <v>748</v>
      </c>
    </row>
    <row r="16">
      <c r="A16" s="35"/>
      <c r="B16" s="35"/>
      <c r="C16" s="35"/>
    </row>
    <row r="17">
      <c r="A17" s="36" t="s">
        <v>749</v>
      </c>
      <c r="B17" s="37" t="s">
        <v>750</v>
      </c>
      <c r="C17" s="47" t="s">
        <v>751</v>
      </c>
    </row>
    <row r="18">
      <c r="A18" s="39">
        <v>1.0</v>
      </c>
      <c r="B18" s="40" t="s">
        <v>3239</v>
      </c>
      <c r="C18" s="48" t="s">
        <v>1418</v>
      </c>
    </row>
    <row r="19">
      <c r="A19" s="39">
        <v>2.0</v>
      </c>
      <c r="B19" s="40" t="s">
        <v>3240</v>
      </c>
      <c r="C19" s="78">
        <v>46161.0</v>
      </c>
    </row>
    <row r="20">
      <c r="A20" s="39">
        <v>3.0</v>
      </c>
      <c r="B20" s="40" t="s">
        <v>3241</v>
      </c>
      <c r="C20" s="48" t="s">
        <v>1418</v>
      </c>
    </row>
    <row r="21">
      <c r="A21" s="39">
        <v>4.0</v>
      </c>
      <c r="B21" s="40" t="s">
        <v>3242</v>
      </c>
      <c r="C21" s="48" t="s">
        <v>1418</v>
      </c>
    </row>
    <row r="22">
      <c r="A22" s="39">
        <v>5.0</v>
      </c>
      <c r="B22" s="40" t="s">
        <v>3243</v>
      </c>
      <c r="C22" s="48" t="s">
        <v>1418</v>
      </c>
    </row>
    <row r="23">
      <c r="A23" s="39">
        <v>6.0</v>
      </c>
      <c r="B23" s="40" t="s">
        <v>3244</v>
      </c>
      <c r="C23" s="79">
        <v>46165.0</v>
      </c>
    </row>
    <row r="24">
      <c r="A24" s="39">
        <v>7.0</v>
      </c>
      <c r="B24" s="40" t="s">
        <v>3245</v>
      </c>
      <c r="C24" s="48" t="s">
        <v>1418</v>
      </c>
    </row>
    <row r="25">
      <c r="A25" s="39">
        <v>8.0</v>
      </c>
      <c r="B25" s="40" t="s">
        <v>3246</v>
      </c>
      <c r="C25" s="48" t="s">
        <v>1418</v>
      </c>
    </row>
    <row r="26">
      <c r="A26" s="39">
        <v>9.0</v>
      </c>
      <c r="B26" s="40" t="s">
        <v>3247</v>
      </c>
      <c r="C26" s="48" t="s">
        <v>1418</v>
      </c>
    </row>
    <row r="27">
      <c r="A27" s="39">
        <v>10.0</v>
      </c>
      <c r="B27" s="40" t="s">
        <v>3248</v>
      </c>
      <c r="C27" s="48" t="s">
        <v>1418</v>
      </c>
    </row>
    <row r="28">
      <c r="A28" s="43">
        <v>11.0</v>
      </c>
      <c r="B28" s="49" t="s">
        <v>3249</v>
      </c>
      <c r="C28" s="50" t="s">
        <v>1418</v>
      </c>
    </row>
    <row r="29">
      <c r="A29" s="35"/>
      <c r="B29" s="35"/>
      <c r="C29" s="35"/>
    </row>
    <row r="30">
      <c r="A30" s="34" t="s">
        <v>756</v>
      </c>
    </row>
    <row r="31">
      <c r="A31" s="35"/>
      <c r="B31" s="35"/>
      <c r="C31" s="35"/>
    </row>
    <row r="32">
      <c r="A32" s="36" t="s">
        <v>749</v>
      </c>
      <c r="B32" s="37" t="s">
        <v>757</v>
      </c>
      <c r="C32" s="38"/>
    </row>
    <row r="33">
      <c r="A33" s="39">
        <v>1.0</v>
      </c>
      <c r="B33" s="40" t="s">
        <v>3250</v>
      </c>
      <c r="C33" s="41"/>
    </row>
    <row r="34">
      <c r="A34" s="39">
        <v>2.0</v>
      </c>
      <c r="B34" s="40" t="s">
        <v>3251</v>
      </c>
      <c r="C34" s="41"/>
    </row>
    <row r="35">
      <c r="A35" s="39">
        <v>3.0</v>
      </c>
      <c r="B35" s="40" t="s">
        <v>3252</v>
      </c>
      <c r="C35" s="41"/>
    </row>
    <row r="36">
      <c r="A36" s="39">
        <v>4.0</v>
      </c>
      <c r="B36" s="40" t="s">
        <v>3253</v>
      </c>
      <c r="C36" s="41"/>
    </row>
    <row r="37">
      <c r="A37" s="39">
        <v>5.0</v>
      </c>
      <c r="B37" s="40" t="s">
        <v>3254</v>
      </c>
      <c r="C37" s="41"/>
    </row>
    <row r="38">
      <c r="A38" s="43">
        <v>6.0</v>
      </c>
      <c r="B38" s="49" t="s">
        <v>3255</v>
      </c>
      <c r="C38" s="45"/>
    </row>
    <row r="39">
      <c r="A39" s="35"/>
      <c r="B39" s="35"/>
      <c r="C39" s="35"/>
    </row>
    <row r="40">
      <c r="A40" s="34" t="s">
        <v>760</v>
      </c>
    </row>
    <row r="41">
      <c r="A41" s="35"/>
      <c r="B41" s="35"/>
      <c r="C41" s="35"/>
    </row>
    <row r="42">
      <c r="A42" s="36" t="s">
        <v>749</v>
      </c>
      <c r="B42" s="37" t="s">
        <v>757</v>
      </c>
      <c r="C42" s="38"/>
    </row>
    <row r="43">
      <c r="A43" s="39">
        <v>1.0</v>
      </c>
      <c r="B43" s="40" t="s">
        <v>3256</v>
      </c>
      <c r="C43" s="41"/>
    </row>
    <row r="44">
      <c r="A44" s="39">
        <v>2.0</v>
      </c>
      <c r="B44" s="40" t="s">
        <v>3257</v>
      </c>
      <c r="C44" s="41"/>
    </row>
    <row r="45">
      <c r="A45" s="39">
        <v>3.0</v>
      </c>
      <c r="B45" s="40" t="s">
        <v>3258</v>
      </c>
      <c r="C45" s="41"/>
    </row>
    <row r="46">
      <c r="A46" s="39">
        <v>4.0</v>
      </c>
      <c r="B46" s="40" t="s">
        <v>3259</v>
      </c>
      <c r="C46" s="41"/>
    </row>
    <row r="47">
      <c r="A47" s="43">
        <v>5.0</v>
      </c>
      <c r="B47" s="49" t="s">
        <v>3260</v>
      </c>
      <c r="C47" s="45"/>
    </row>
    <row r="48">
      <c r="A48" s="35"/>
      <c r="B48" s="35"/>
      <c r="C48" s="35"/>
    </row>
    <row r="49">
      <c r="A49" s="34" t="s">
        <v>763</v>
      </c>
    </row>
    <row r="50">
      <c r="A50" s="35"/>
      <c r="B50" s="35"/>
      <c r="C50" s="35"/>
    </row>
    <row r="51">
      <c r="A51" s="36" t="s">
        <v>749</v>
      </c>
      <c r="B51" s="37" t="s">
        <v>757</v>
      </c>
      <c r="C51" s="38"/>
    </row>
    <row r="52">
      <c r="A52" s="39">
        <v>1.0</v>
      </c>
      <c r="B52" s="40" t="s">
        <v>3261</v>
      </c>
      <c r="C52" s="41"/>
    </row>
    <row r="53">
      <c r="A53" s="39">
        <v>2.0</v>
      </c>
      <c r="B53" s="40" t="s">
        <v>3262</v>
      </c>
      <c r="C53" s="41"/>
    </row>
    <row r="54">
      <c r="A54" s="39">
        <v>3.0</v>
      </c>
      <c r="B54" s="40" t="s">
        <v>3263</v>
      </c>
      <c r="C54" s="41"/>
    </row>
    <row r="55">
      <c r="A55" s="39">
        <v>4.0</v>
      </c>
      <c r="B55" s="40" t="s">
        <v>3264</v>
      </c>
      <c r="C55" s="41"/>
    </row>
    <row r="56">
      <c r="A56" s="39">
        <v>5.0</v>
      </c>
      <c r="B56" s="40" t="s">
        <v>3265</v>
      </c>
      <c r="C56" s="41"/>
    </row>
    <row r="57">
      <c r="A57" s="39">
        <v>6.0</v>
      </c>
      <c r="B57" s="40" t="s">
        <v>3266</v>
      </c>
      <c r="C57" s="41"/>
    </row>
    <row r="58">
      <c r="A58" s="39">
        <v>7.0</v>
      </c>
      <c r="B58" s="40" t="s">
        <v>3267</v>
      </c>
      <c r="C58" s="41"/>
    </row>
    <row r="59">
      <c r="A59" s="39">
        <v>8.0</v>
      </c>
      <c r="B59" s="40" t="s">
        <v>3268</v>
      </c>
      <c r="C59" s="41"/>
    </row>
    <row r="60">
      <c r="A60" s="39">
        <v>9.0</v>
      </c>
      <c r="B60" s="40" t="s">
        <v>899</v>
      </c>
      <c r="C60" s="41"/>
    </row>
    <row r="61">
      <c r="A61" s="43">
        <v>10.0</v>
      </c>
      <c r="B61" s="49" t="s">
        <v>3269</v>
      </c>
      <c r="C61" s="45"/>
    </row>
  </sheetData>
  <mergeCells count="7">
    <mergeCell ref="A1:C1"/>
    <mergeCell ref="A11:C11"/>
    <mergeCell ref="A13:C13"/>
    <mergeCell ref="A15:C15"/>
    <mergeCell ref="A30:C30"/>
    <mergeCell ref="A40:C40"/>
    <mergeCell ref="A49:C49"/>
  </mergeCells>
  <hyperlinks>
    <hyperlink r:id="rId1" ref="B9"/>
  </hyperlinks>
  <drawing r:id="rId2"/>
</worksheet>
</file>

<file path=xl/worksheets/sheet8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2" max="2" width="87.63"/>
    <col customWidth="1" min="3" max="3" width="20.13"/>
  </cols>
  <sheetData>
    <row r="1">
      <c r="A1" s="34" t="s">
        <v>742</v>
      </c>
    </row>
    <row r="2">
      <c r="A2" s="35"/>
      <c r="B2" s="35"/>
      <c r="C2" s="35"/>
    </row>
    <row r="3">
      <c r="A3" s="36" t="s">
        <v>743</v>
      </c>
      <c r="B3" s="37" t="s">
        <v>744</v>
      </c>
      <c r="C3" s="38"/>
    </row>
    <row r="4">
      <c r="A4" s="39" t="s">
        <v>6</v>
      </c>
      <c r="B4" s="40" t="s">
        <v>417</v>
      </c>
      <c r="C4" s="41"/>
    </row>
    <row r="5">
      <c r="A5" s="39" t="s">
        <v>745</v>
      </c>
      <c r="B5" s="42">
        <v>46160.0</v>
      </c>
      <c r="C5" s="41"/>
    </row>
    <row r="6">
      <c r="A6" s="39" t="s">
        <v>0</v>
      </c>
      <c r="B6" s="40" t="s">
        <v>399</v>
      </c>
      <c r="C6" s="41"/>
    </row>
    <row r="7">
      <c r="A7" s="39" t="s">
        <v>7</v>
      </c>
      <c r="B7" s="40" t="s">
        <v>222</v>
      </c>
      <c r="C7" s="41"/>
    </row>
    <row r="8">
      <c r="A8" s="39" t="s">
        <v>746</v>
      </c>
      <c r="B8" s="40">
        <v>2.0</v>
      </c>
      <c r="C8" s="41"/>
    </row>
    <row r="9">
      <c r="A9" s="43" t="s">
        <v>8</v>
      </c>
      <c r="B9" s="44" t="s">
        <v>418</v>
      </c>
      <c r="C9" s="45"/>
    </row>
    <row r="10">
      <c r="A10" s="35"/>
      <c r="B10" s="35"/>
      <c r="C10" s="35"/>
    </row>
    <row r="11">
      <c r="A11" s="34" t="s">
        <v>747</v>
      </c>
    </row>
    <row r="12">
      <c r="A12" s="35"/>
      <c r="B12" s="35"/>
      <c r="C12" s="35"/>
    </row>
    <row r="13">
      <c r="A13" s="46" t="s">
        <v>3270</v>
      </c>
    </row>
    <row r="14">
      <c r="A14" s="35"/>
      <c r="B14" s="35"/>
      <c r="C14" s="35"/>
    </row>
    <row r="15">
      <c r="A15" s="34" t="s">
        <v>748</v>
      </c>
    </row>
    <row r="16">
      <c r="A16" s="35"/>
      <c r="B16" s="35"/>
      <c r="C16" s="35"/>
    </row>
    <row r="17">
      <c r="A17" s="36" t="s">
        <v>749</v>
      </c>
      <c r="B17" s="37" t="s">
        <v>750</v>
      </c>
      <c r="C17" s="47" t="s">
        <v>751</v>
      </c>
    </row>
    <row r="18">
      <c r="A18" s="39">
        <v>1.0</v>
      </c>
      <c r="B18" s="40" t="s">
        <v>3271</v>
      </c>
      <c r="C18" s="48" t="s">
        <v>753</v>
      </c>
    </row>
    <row r="19">
      <c r="A19" s="39">
        <v>2.0</v>
      </c>
      <c r="B19" s="40" t="s">
        <v>3272</v>
      </c>
      <c r="C19" s="48" t="s">
        <v>753</v>
      </c>
    </row>
    <row r="20">
      <c r="A20" s="39">
        <v>3.0</v>
      </c>
      <c r="B20" s="40" t="s">
        <v>3273</v>
      </c>
      <c r="C20" s="48" t="s">
        <v>753</v>
      </c>
    </row>
    <row r="21">
      <c r="A21" s="39">
        <v>4.0</v>
      </c>
      <c r="B21" s="40" t="s">
        <v>3274</v>
      </c>
      <c r="C21" s="48" t="s">
        <v>753</v>
      </c>
    </row>
    <row r="22">
      <c r="A22" s="39">
        <v>5.0</v>
      </c>
      <c r="B22" s="40" t="s">
        <v>3275</v>
      </c>
      <c r="C22" s="48" t="s">
        <v>753</v>
      </c>
    </row>
    <row r="23">
      <c r="A23" s="39">
        <v>6.0</v>
      </c>
      <c r="B23" s="40" t="s">
        <v>3276</v>
      </c>
      <c r="C23" s="48" t="s">
        <v>753</v>
      </c>
    </row>
    <row r="24">
      <c r="A24" s="39">
        <v>7.0</v>
      </c>
      <c r="B24" s="40" t="s">
        <v>3277</v>
      </c>
      <c r="C24" s="48" t="s">
        <v>753</v>
      </c>
    </row>
    <row r="25">
      <c r="A25" s="39">
        <v>8.0</v>
      </c>
      <c r="B25" s="40" t="s">
        <v>3278</v>
      </c>
      <c r="C25" s="48" t="s">
        <v>753</v>
      </c>
    </row>
    <row r="26">
      <c r="A26" s="39">
        <v>9.0</v>
      </c>
      <c r="B26" s="40" t="s">
        <v>3279</v>
      </c>
      <c r="C26" s="48" t="s">
        <v>753</v>
      </c>
    </row>
    <row r="27">
      <c r="A27" s="43">
        <v>10.0</v>
      </c>
      <c r="B27" s="49" t="s">
        <v>3280</v>
      </c>
      <c r="C27" s="50" t="s">
        <v>3281</v>
      </c>
    </row>
    <row r="28">
      <c r="A28" s="35"/>
      <c r="B28" s="35"/>
      <c r="C28" s="35"/>
    </row>
    <row r="29">
      <c r="A29" s="34" t="s">
        <v>756</v>
      </c>
    </row>
    <row r="30">
      <c r="A30" s="35"/>
      <c r="B30" s="35"/>
      <c r="C30" s="35"/>
    </row>
    <row r="31">
      <c r="A31" s="36" t="s">
        <v>749</v>
      </c>
      <c r="B31" s="37" t="s">
        <v>757</v>
      </c>
      <c r="C31" s="38"/>
    </row>
    <row r="32">
      <c r="A32" s="39">
        <v>1.0</v>
      </c>
      <c r="B32" s="40" t="s">
        <v>3282</v>
      </c>
      <c r="C32" s="41"/>
    </row>
    <row r="33">
      <c r="A33" s="39">
        <v>2.0</v>
      </c>
      <c r="B33" s="40" t="s">
        <v>3283</v>
      </c>
      <c r="C33" s="41"/>
    </row>
    <row r="34">
      <c r="A34" s="39">
        <v>3.0</v>
      </c>
      <c r="B34" s="40" t="s">
        <v>3284</v>
      </c>
      <c r="C34" s="41"/>
    </row>
    <row r="35">
      <c r="A35" s="39">
        <v>4.0</v>
      </c>
      <c r="B35" s="40" t="s">
        <v>3285</v>
      </c>
      <c r="C35" s="41"/>
    </row>
    <row r="36">
      <c r="A36" s="39">
        <v>5.0</v>
      </c>
      <c r="B36" s="40" t="s">
        <v>3286</v>
      </c>
      <c r="C36" s="41"/>
    </row>
    <row r="37">
      <c r="A37" s="43">
        <v>6.0</v>
      </c>
      <c r="B37" s="49" t="s">
        <v>3287</v>
      </c>
      <c r="C37" s="45"/>
    </row>
    <row r="38">
      <c r="A38" s="35"/>
      <c r="B38" s="35"/>
      <c r="C38" s="35"/>
    </row>
    <row r="39">
      <c r="A39" s="34" t="s">
        <v>760</v>
      </c>
    </row>
    <row r="40">
      <c r="A40" s="35"/>
      <c r="B40" s="35"/>
      <c r="C40" s="35"/>
    </row>
    <row r="41">
      <c r="A41" s="36" t="s">
        <v>749</v>
      </c>
      <c r="B41" s="37" t="s">
        <v>757</v>
      </c>
      <c r="C41" s="38"/>
    </row>
    <row r="42">
      <c r="A42" s="39">
        <v>1.0</v>
      </c>
      <c r="B42" s="40" t="s">
        <v>3288</v>
      </c>
      <c r="C42" s="41"/>
    </row>
    <row r="43">
      <c r="A43" s="39">
        <v>2.0</v>
      </c>
      <c r="B43" s="40" t="s">
        <v>3289</v>
      </c>
      <c r="C43" s="41"/>
    </row>
    <row r="44">
      <c r="A44" s="43">
        <v>3.0</v>
      </c>
      <c r="B44" s="49" t="s">
        <v>3290</v>
      </c>
      <c r="C44" s="45"/>
    </row>
    <row r="45">
      <c r="A45" s="35"/>
      <c r="B45" s="35"/>
      <c r="C45" s="35"/>
    </row>
    <row r="46">
      <c r="A46" s="34" t="s">
        <v>763</v>
      </c>
    </row>
    <row r="47">
      <c r="A47" s="35"/>
      <c r="B47" s="35"/>
      <c r="C47" s="35"/>
    </row>
    <row r="48">
      <c r="A48" s="36" t="s">
        <v>749</v>
      </c>
      <c r="B48" s="37" t="s">
        <v>757</v>
      </c>
      <c r="C48" s="38"/>
    </row>
    <row r="49">
      <c r="A49" s="39">
        <v>1.0</v>
      </c>
      <c r="B49" s="40" t="s">
        <v>3291</v>
      </c>
      <c r="C49" s="41"/>
    </row>
    <row r="50">
      <c r="A50" s="39">
        <v>2.0</v>
      </c>
      <c r="B50" s="40" t="s">
        <v>3292</v>
      </c>
      <c r="C50" s="41"/>
    </row>
    <row r="51">
      <c r="A51" s="39">
        <v>3.0</v>
      </c>
      <c r="B51" s="40" t="s">
        <v>3293</v>
      </c>
      <c r="C51" s="41"/>
    </row>
    <row r="52">
      <c r="A52" s="39">
        <v>4.0</v>
      </c>
      <c r="B52" s="40" t="s">
        <v>3294</v>
      </c>
      <c r="C52" s="41"/>
    </row>
    <row r="53">
      <c r="A53" s="39">
        <v>5.0</v>
      </c>
      <c r="B53" s="40" t="s">
        <v>3295</v>
      </c>
      <c r="C53" s="41"/>
    </row>
    <row r="54">
      <c r="A54" s="39">
        <v>6.0</v>
      </c>
      <c r="B54" s="40" t="s">
        <v>3296</v>
      </c>
      <c r="C54" s="41"/>
    </row>
    <row r="55">
      <c r="A55" s="39">
        <v>7.0</v>
      </c>
      <c r="B55" s="40" t="s">
        <v>3297</v>
      </c>
      <c r="C55" s="41"/>
    </row>
    <row r="56">
      <c r="A56" s="39">
        <v>8.0</v>
      </c>
      <c r="B56" s="40" t="s">
        <v>3298</v>
      </c>
      <c r="C56" s="41"/>
    </row>
    <row r="57">
      <c r="A57" s="39">
        <v>9.0</v>
      </c>
      <c r="B57" s="40" t="s">
        <v>899</v>
      </c>
      <c r="C57" s="41"/>
    </row>
    <row r="58">
      <c r="A58" s="43">
        <v>10.0</v>
      </c>
      <c r="B58" s="49" t="s">
        <v>3299</v>
      </c>
      <c r="C58" s="45"/>
    </row>
  </sheetData>
  <mergeCells count="7">
    <mergeCell ref="A1:C1"/>
    <mergeCell ref="A11:C11"/>
    <mergeCell ref="A13:C13"/>
    <mergeCell ref="A15:C15"/>
    <mergeCell ref="A29:C29"/>
    <mergeCell ref="A39:C39"/>
    <mergeCell ref="A46:C46"/>
  </mergeCells>
  <hyperlinks>
    <hyperlink r:id="rId1" ref="B9"/>
  </hyperlinks>
  <drawing r:id="rId2"/>
</worksheet>
</file>

<file path=xl/worksheets/sheet9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2" max="2" width="87.63"/>
    <col customWidth="1" min="3" max="3" width="20.13"/>
  </cols>
  <sheetData>
    <row r="1">
      <c r="A1" s="34" t="s">
        <v>742</v>
      </c>
    </row>
    <row r="2">
      <c r="A2" s="35"/>
      <c r="B2" s="35"/>
      <c r="C2" s="35"/>
    </row>
    <row r="3">
      <c r="A3" s="36" t="s">
        <v>743</v>
      </c>
      <c r="B3" s="37" t="s">
        <v>744</v>
      </c>
      <c r="C3" s="38"/>
    </row>
    <row r="4">
      <c r="A4" s="39" t="s">
        <v>6</v>
      </c>
      <c r="B4" s="40" t="s">
        <v>421</v>
      </c>
      <c r="C4" s="41"/>
    </row>
    <row r="5">
      <c r="A5" s="39" t="s">
        <v>745</v>
      </c>
      <c r="B5" s="42">
        <v>46161.0</v>
      </c>
      <c r="C5" s="41"/>
    </row>
    <row r="6">
      <c r="A6" s="39" t="s">
        <v>0</v>
      </c>
      <c r="B6" s="40" t="s">
        <v>399</v>
      </c>
      <c r="C6" s="41"/>
    </row>
    <row r="7">
      <c r="A7" s="39" t="s">
        <v>7</v>
      </c>
      <c r="B7" s="40" t="s">
        <v>103</v>
      </c>
      <c r="C7" s="41"/>
    </row>
    <row r="8">
      <c r="A8" s="39" t="s">
        <v>746</v>
      </c>
      <c r="B8" s="40">
        <v>3.0</v>
      </c>
      <c r="C8" s="41"/>
    </row>
    <row r="9">
      <c r="A9" s="43" t="s">
        <v>8</v>
      </c>
      <c r="B9" s="44" t="s">
        <v>422</v>
      </c>
      <c r="C9" s="45"/>
    </row>
    <row r="10">
      <c r="A10" s="35"/>
      <c r="B10" s="35"/>
      <c r="C10" s="35"/>
    </row>
    <row r="11">
      <c r="A11" s="34" t="s">
        <v>747</v>
      </c>
    </row>
    <row r="12">
      <c r="A12" s="35"/>
      <c r="B12" s="35"/>
      <c r="C12" s="35"/>
    </row>
    <row r="13">
      <c r="A13" s="46" t="s">
        <v>3300</v>
      </c>
    </row>
    <row r="14">
      <c r="A14" s="35"/>
      <c r="B14" s="35"/>
      <c r="C14" s="35"/>
    </row>
    <row r="15">
      <c r="A15" s="34" t="s">
        <v>748</v>
      </c>
    </row>
    <row r="16">
      <c r="A16" s="35"/>
      <c r="B16" s="35"/>
      <c r="C16" s="35"/>
    </row>
    <row r="17">
      <c r="A17" s="36" t="s">
        <v>749</v>
      </c>
      <c r="B17" s="37" t="s">
        <v>750</v>
      </c>
      <c r="C17" s="47" t="s">
        <v>751</v>
      </c>
    </row>
    <row r="18">
      <c r="A18" s="39">
        <v>1.0</v>
      </c>
      <c r="B18" s="40" t="s">
        <v>3301</v>
      </c>
      <c r="C18" s="48" t="s">
        <v>753</v>
      </c>
    </row>
    <row r="19">
      <c r="A19" s="39">
        <v>2.0</v>
      </c>
      <c r="B19" s="40" t="s">
        <v>3302</v>
      </c>
      <c r="C19" s="48" t="s">
        <v>753</v>
      </c>
    </row>
    <row r="20">
      <c r="A20" s="39">
        <v>3.0</v>
      </c>
      <c r="B20" s="40" t="s">
        <v>3303</v>
      </c>
      <c r="C20" s="48" t="s">
        <v>753</v>
      </c>
    </row>
    <row r="21">
      <c r="A21" s="39">
        <v>4.0</v>
      </c>
      <c r="B21" s="40" t="s">
        <v>3304</v>
      </c>
      <c r="C21" s="48" t="s">
        <v>753</v>
      </c>
    </row>
    <row r="22">
      <c r="A22" s="43">
        <v>5.0</v>
      </c>
      <c r="B22" s="49" t="s">
        <v>3305</v>
      </c>
      <c r="C22" s="50" t="s">
        <v>753</v>
      </c>
    </row>
    <row r="23">
      <c r="A23" s="35"/>
      <c r="B23" s="35"/>
      <c r="C23" s="35"/>
    </row>
    <row r="24">
      <c r="A24" s="34" t="s">
        <v>756</v>
      </c>
    </row>
    <row r="25">
      <c r="A25" s="35"/>
      <c r="B25" s="35"/>
      <c r="C25" s="35"/>
    </row>
    <row r="26">
      <c r="A26" s="36" t="s">
        <v>749</v>
      </c>
      <c r="B26" s="37" t="s">
        <v>757</v>
      </c>
      <c r="C26" s="38"/>
    </row>
    <row r="27">
      <c r="A27" s="39">
        <v>1.0</v>
      </c>
      <c r="B27" s="40" t="s">
        <v>3306</v>
      </c>
      <c r="C27" s="41"/>
    </row>
    <row r="28">
      <c r="A28" s="39">
        <v>2.0</v>
      </c>
      <c r="B28" s="40" t="s">
        <v>3307</v>
      </c>
      <c r="C28" s="41"/>
    </row>
    <row r="29">
      <c r="A29" s="43">
        <v>3.0</v>
      </c>
      <c r="B29" s="49" t="s">
        <v>3308</v>
      </c>
      <c r="C29" s="45"/>
    </row>
    <row r="30">
      <c r="A30" s="35"/>
      <c r="B30" s="35"/>
      <c r="C30" s="35"/>
    </row>
    <row r="31">
      <c r="A31" s="34" t="s">
        <v>760</v>
      </c>
    </row>
    <row r="32">
      <c r="A32" s="35"/>
      <c r="B32" s="35"/>
      <c r="C32" s="35"/>
    </row>
    <row r="33">
      <c r="A33" s="36" t="s">
        <v>749</v>
      </c>
      <c r="B33" s="37" t="s">
        <v>757</v>
      </c>
      <c r="C33" s="38"/>
    </row>
    <row r="34">
      <c r="A34" s="39">
        <v>1.0</v>
      </c>
      <c r="B34" s="40" t="s">
        <v>3309</v>
      </c>
      <c r="C34" s="41"/>
    </row>
    <row r="35">
      <c r="A35" s="43">
        <v>2.0</v>
      </c>
      <c r="B35" s="49" t="s">
        <v>3310</v>
      </c>
      <c r="C35" s="45"/>
    </row>
    <row r="36">
      <c r="A36" s="35"/>
      <c r="B36" s="35"/>
      <c r="C36" s="35"/>
    </row>
    <row r="37">
      <c r="A37" s="34" t="s">
        <v>763</v>
      </c>
    </row>
    <row r="38">
      <c r="A38" s="35"/>
      <c r="B38" s="35"/>
      <c r="C38" s="35"/>
    </row>
    <row r="39">
      <c r="A39" s="36" t="s">
        <v>749</v>
      </c>
      <c r="B39" s="37" t="s">
        <v>757</v>
      </c>
      <c r="C39" s="38"/>
    </row>
    <row r="40">
      <c r="A40" s="39">
        <v>1.0</v>
      </c>
      <c r="B40" s="40" t="s">
        <v>3311</v>
      </c>
      <c r="C40" s="41"/>
    </row>
    <row r="41">
      <c r="A41" s="39">
        <v>2.0</v>
      </c>
      <c r="B41" s="40" t="s">
        <v>3312</v>
      </c>
      <c r="C41" s="41"/>
    </row>
    <row r="42">
      <c r="A42" s="39">
        <v>3.0</v>
      </c>
      <c r="B42" s="40" t="s">
        <v>3313</v>
      </c>
      <c r="C42" s="41"/>
    </row>
    <row r="43">
      <c r="A43" s="39">
        <v>4.0</v>
      </c>
      <c r="B43" s="40" t="s">
        <v>3314</v>
      </c>
      <c r="C43" s="41"/>
    </row>
    <row r="44">
      <c r="A44" s="43">
        <v>5.0</v>
      </c>
      <c r="B44" s="49" t="s">
        <v>3315</v>
      </c>
      <c r="C44" s="45"/>
    </row>
  </sheetData>
  <mergeCells count="7">
    <mergeCell ref="A1:C1"/>
    <mergeCell ref="A11:C11"/>
    <mergeCell ref="A13:C13"/>
    <mergeCell ref="A15:C15"/>
    <mergeCell ref="A24:C24"/>
    <mergeCell ref="A31:C31"/>
    <mergeCell ref="A37:C37"/>
  </mergeCells>
  <hyperlinks>
    <hyperlink r:id="rId1" ref="B9"/>
  </hyperlinks>
  <drawing r:id="rId2"/>
</worksheet>
</file>

<file path=xl/worksheets/sheet9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2" max="2" width="87.63"/>
    <col customWidth="1" min="3" max="3" width="20.13"/>
  </cols>
  <sheetData>
    <row r="1">
      <c r="A1" s="34" t="s">
        <v>742</v>
      </c>
    </row>
    <row r="2">
      <c r="A2" s="35"/>
      <c r="B2" s="35"/>
      <c r="C2" s="35"/>
    </row>
    <row r="3">
      <c r="A3" s="36" t="s">
        <v>743</v>
      </c>
      <c r="B3" s="37" t="s">
        <v>744</v>
      </c>
      <c r="C3" s="38"/>
    </row>
    <row r="4">
      <c r="A4" s="39" t="s">
        <v>6</v>
      </c>
      <c r="B4" s="40" t="s">
        <v>421</v>
      </c>
      <c r="C4" s="41"/>
    </row>
    <row r="5">
      <c r="A5" s="39" t="s">
        <v>745</v>
      </c>
      <c r="B5" s="42">
        <v>46161.0</v>
      </c>
      <c r="C5" s="41"/>
    </row>
    <row r="6">
      <c r="A6" s="39" t="s">
        <v>0</v>
      </c>
      <c r="B6" s="40" t="s">
        <v>399</v>
      </c>
      <c r="C6" s="41"/>
    </row>
    <row r="7">
      <c r="A7" s="39" t="s">
        <v>7</v>
      </c>
      <c r="B7" s="40" t="s">
        <v>110</v>
      </c>
      <c r="C7" s="41"/>
    </row>
    <row r="8">
      <c r="A8" s="39" t="s">
        <v>746</v>
      </c>
      <c r="B8" s="40">
        <v>3.0</v>
      </c>
      <c r="C8" s="41"/>
    </row>
    <row r="9">
      <c r="A9" s="43" t="s">
        <v>8</v>
      </c>
      <c r="B9" s="44" t="s">
        <v>425</v>
      </c>
      <c r="C9" s="45"/>
    </row>
    <row r="10">
      <c r="A10" s="35"/>
      <c r="B10" s="35"/>
      <c r="C10" s="35"/>
    </row>
    <row r="11">
      <c r="A11" s="34" t="s">
        <v>747</v>
      </c>
    </row>
    <row r="12">
      <c r="A12" s="35"/>
      <c r="B12" s="35"/>
      <c r="C12" s="35"/>
    </row>
    <row r="13">
      <c r="A13" s="46" t="s">
        <v>426</v>
      </c>
    </row>
    <row r="14">
      <c r="A14" s="35"/>
      <c r="B14" s="35"/>
      <c r="C14" s="35"/>
    </row>
    <row r="15">
      <c r="A15" s="34" t="s">
        <v>748</v>
      </c>
    </row>
    <row r="16">
      <c r="A16" s="35"/>
      <c r="B16" s="35"/>
      <c r="C16" s="35"/>
    </row>
    <row r="17">
      <c r="A17" s="36" t="s">
        <v>749</v>
      </c>
      <c r="B17" s="37" t="s">
        <v>750</v>
      </c>
      <c r="C17" s="47" t="s">
        <v>751</v>
      </c>
    </row>
    <row r="18">
      <c r="A18" s="39">
        <v>1.0</v>
      </c>
      <c r="B18" s="40" t="s">
        <v>3316</v>
      </c>
      <c r="C18" s="48" t="s">
        <v>753</v>
      </c>
    </row>
    <row r="19">
      <c r="A19" s="39">
        <v>2.0</v>
      </c>
      <c r="B19" s="40" t="s">
        <v>3317</v>
      </c>
      <c r="C19" s="48" t="s">
        <v>753</v>
      </c>
    </row>
    <row r="20">
      <c r="A20" s="39">
        <v>3.0</v>
      </c>
      <c r="B20" s="40" t="s">
        <v>3318</v>
      </c>
      <c r="C20" s="48" t="s">
        <v>753</v>
      </c>
    </row>
    <row r="21">
      <c r="A21" s="39">
        <v>4.0</v>
      </c>
      <c r="B21" s="40" t="s">
        <v>3319</v>
      </c>
      <c r="C21" s="48" t="s">
        <v>753</v>
      </c>
    </row>
    <row r="22">
      <c r="A22" s="39">
        <v>5.0</v>
      </c>
      <c r="B22" s="40" t="s">
        <v>3320</v>
      </c>
      <c r="C22" s="48" t="s">
        <v>753</v>
      </c>
    </row>
    <row r="23">
      <c r="A23" s="39">
        <v>6.0</v>
      </c>
      <c r="B23" s="40" t="s">
        <v>3321</v>
      </c>
      <c r="C23" s="48" t="s">
        <v>753</v>
      </c>
    </row>
    <row r="24">
      <c r="A24" s="39">
        <v>7.0</v>
      </c>
      <c r="B24" s="40" t="s">
        <v>3322</v>
      </c>
      <c r="C24" s="48" t="s">
        <v>753</v>
      </c>
    </row>
    <row r="25">
      <c r="A25" s="39">
        <v>8.0</v>
      </c>
      <c r="B25" s="40" t="s">
        <v>3323</v>
      </c>
      <c r="C25" s="48" t="s">
        <v>753</v>
      </c>
    </row>
    <row r="26">
      <c r="A26" s="39">
        <v>9.0</v>
      </c>
      <c r="B26" s="40" t="s">
        <v>3324</v>
      </c>
      <c r="C26" s="48" t="s">
        <v>753</v>
      </c>
    </row>
    <row r="27">
      <c r="A27" s="39">
        <v>10.0</v>
      </c>
      <c r="B27" s="40" t="s">
        <v>3325</v>
      </c>
      <c r="C27" s="48" t="s">
        <v>753</v>
      </c>
    </row>
    <row r="28">
      <c r="A28" s="39">
        <v>11.0</v>
      </c>
      <c r="B28" s="40" t="s">
        <v>3326</v>
      </c>
      <c r="C28" s="48" t="s">
        <v>753</v>
      </c>
    </row>
    <row r="29">
      <c r="A29" s="43">
        <v>12.0</v>
      </c>
      <c r="B29" s="49" t="s">
        <v>3327</v>
      </c>
      <c r="C29" s="50" t="s">
        <v>753</v>
      </c>
    </row>
    <row r="30">
      <c r="A30" s="35"/>
      <c r="B30" s="35"/>
      <c r="C30" s="35"/>
    </row>
    <row r="31">
      <c r="A31" s="34" t="s">
        <v>756</v>
      </c>
    </row>
    <row r="32">
      <c r="A32" s="35"/>
      <c r="B32" s="35"/>
      <c r="C32" s="35"/>
    </row>
    <row r="33">
      <c r="A33" s="36" t="s">
        <v>749</v>
      </c>
      <c r="B33" s="37" t="s">
        <v>757</v>
      </c>
      <c r="C33" s="38"/>
    </row>
    <row r="34">
      <c r="A34" s="39">
        <v>1.0</v>
      </c>
      <c r="B34" s="40" t="s">
        <v>3328</v>
      </c>
      <c r="C34" s="41"/>
    </row>
    <row r="35">
      <c r="A35" s="39">
        <v>2.0</v>
      </c>
      <c r="B35" s="40" t="s">
        <v>3329</v>
      </c>
      <c r="C35" s="41"/>
    </row>
    <row r="36">
      <c r="A36" s="39">
        <v>3.0</v>
      </c>
      <c r="B36" s="40" t="s">
        <v>3330</v>
      </c>
      <c r="C36" s="41"/>
    </row>
    <row r="37">
      <c r="A37" s="39">
        <v>4.0</v>
      </c>
      <c r="B37" s="40" t="s">
        <v>3331</v>
      </c>
      <c r="C37" s="41"/>
    </row>
    <row r="38">
      <c r="A38" s="39">
        <v>5.0</v>
      </c>
      <c r="B38" s="40" t="s">
        <v>3332</v>
      </c>
      <c r="C38" s="41"/>
    </row>
    <row r="39">
      <c r="A39" s="43">
        <v>6.0</v>
      </c>
      <c r="B39" s="49" t="s">
        <v>3333</v>
      </c>
      <c r="C39" s="45"/>
    </row>
    <row r="40">
      <c r="A40" s="35"/>
      <c r="B40" s="35"/>
      <c r="C40" s="35"/>
    </row>
    <row r="41">
      <c r="A41" s="34" t="s">
        <v>760</v>
      </c>
    </row>
    <row r="42">
      <c r="A42" s="35"/>
      <c r="B42" s="35"/>
      <c r="C42" s="35"/>
    </row>
    <row r="43">
      <c r="A43" s="36" t="s">
        <v>749</v>
      </c>
      <c r="B43" s="37" t="s">
        <v>757</v>
      </c>
      <c r="C43" s="38"/>
    </row>
    <row r="44">
      <c r="A44" s="39">
        <v>1.0</v>
      </c>
      <c r="B44" s="40" t="s">
        <v>3334</v>
      </c>
      <c r="C44" s="41"/>
    </row>
    <row r="45">
      <c r="A45" s="39">
        <v>2.0</v>
      </c>
      <c r="B45" s="40" t="s">
        <v>3335</v>
      </c>
      <c r="C45" s="41"/>
    </row>
    <row r="46">
      <c r="A46" s="43">
        <v>3.0</v>
      </c>
      <c r="B46" s="49" t="s">
        <v>3336</v>
      </c>
      <c r="C46" s="45"/>
    </row>
    <row r="47">
      <c r="A47" s="35"/>
      <c r="B47" s="35"/>
      <c r="C47" s="35"/>
    </row>
    <row r="48">
      <c r="A48" s="34" t="s">
        <v>763</v>
      </c>
    </row>
    <row r="49">
      <c r="A49" s="35"/>
      <c r="B49" s="35"/>
      <c r="C49" s="35"/>
    </row>
    <row r="50">
      <c r="A50" s="36" t="s">
        <v>749</v>
      </c>
      <c r="B50" s="37" t="s">
        <v>757</v>
      </c>
      <c r="C50" s="38"/>
    </row>
    <row r="51">
      <c r="A51" s="39">
        <v>1.0</v>
      </c>
      <c r="B51" s="40" t="s">
        <v>3337</v>
      </c>
      <c r="C51" s="41"/>
    </row>
    <row r="52">
      <c r="A52" s="39">
        <v>2.0</v>
      </c>
      <c r="B52" s="40" t="s">
        <v>3338</v>
      </c>
      <c r="C52" s="41"/>
    </row>
    <row r="53">
      <c r="A53" s="39">
        <v>3.0</v>
      </c>
      <c r="B53" s="40" t="s">
        <v>3339</v>
      </c>
      <c r="C53" s="41"/>
    </row>
    <row r="54">
      <c r="A54" s="39">
        <v>4.0</v>
      </c>
      <c r="B54" s="40" t="s">
        <v>3340</v>
      </c>
      <c r="C54" s="41"/>
    </row>
    <row r="55">
      <c r="A55" s="39">
        <v>5.0</v>
      </c>
      <c r="B55" s="40" t="s">
        <v>3341</v>
      </c>
      <c r="C55" s="41"/>
    </row>
    <row r="56">
      <c r="A56" s="43">
        <v>6.0</v>
      </c>
      <c r="B56" s="49" t="s">
        <v>3342</v>
      </c>
      <c r="C56" s="45"/>
    </row>
  </sheetData>
  <mergeCells count="7">
    <mergeCell ref="A1:C1"/>
    <mergeCell ref="A11:C11"/>
    <mergeCell ref="A13:C13"/>
    <mergeCell ref="A15:C15"/>
    <mergeCell ref="A31:C31"/>
    <mergeCell ref="A41:C41"/>
    <mergeCell ref="A48:C48"/>
  </mergeCells>
  <hyperlinks>
    <hyperlink r:id="rId1" ref="B9"/>
  </hyperlinks>
  <drawing r:id="rId2"/>
</worksheet>
</file>

<file path=xl/worksheets/sheet9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2" max="2" width="87.63"/>
    <col customWidth="1" min="3" max="3" width="20.13"/>
  </cols>
  <sheetData>
    <row r="1">
      <c r="A1" s="34" t="s">
        <v>742</v>
      </c>
    </row>
    <row r="2">
      <c r="A2" s="35"/>
      <c r="B2" s="35"/>
      <c r="C2" s="35"/>
    </row>
    <row r="3">
      <c r="A3" s="36" t="s">
        <v>743</v>
      </c>
      <c r="B3" s="37" t="s">
        <v>744</v>
      </c>
      <c r="C3" s="38"/>
    </row>
    <row r="4">
      <c r="A4" s="39" t="s">
        <v>6</v>
      </c>
      <c r="B4" s="40" t="s">
        <v>428</v>
      </c>
      <c r="C4" s="41"/>
    </row>
    <row r="5">
      <c r="A5" s="39" t="s">
        <v>745</v>
      </c>
      <c r="B5" s="42">
        <v>46161.0</v>
      </c>
      <c r="C5" s="41"/>
    </row>
    <row r="6">
      <c r="A6" s="39" t="s">
        <v>0</v>
      </c>
      <c r="B6" s="40" t="s">
        <v>399</v>
      </c>
      <c r="C6" s="41"/>
    </row>
    <row r="7">
      <c r="A7" s="39" t="s">
        <v>7</v>
      </c>
      <c r="B7" s="40" t="s">
        <v>429</v>
      </c>
      <c r="C7" s="41"/>
    </row>
    <row r="8">
      <c r="A8" s="39" t="s">
        <v>746</v>
      </c>
      <c r="B8" s="40">
        <v>3.0</v>
      </c>
      <c r="C8" s="41"/>
    </row>
    <row r="9">
      <c r="A9" s="43" t="s">
        <v>8</v>
      </c>
      <c r="B9" s="44" t="s">
        <v>430</v>
      </c>
      <c r="C9" s="45"/>
    </row>
    <row r="10">
      <c r="A10" s="35"/>
      <c r="B10" s="35"/>
      <c r="C10" s="35"/>
    </row>
    <row r="11">
      <c r="A11" s="34" t="s">
        <v>747</v>
      </c>
    </row>
    <row r="12">
      <c r="A12" s="35"/>
      <c r="B12" s="35"/>
      <c r="C12" s="35"/>
    </row>
    <row r="13">
      <c r="A13" s="46" t="s">
        <v>3343</v>
      </c>
    </row>
    <row r="14">
      <c r="A14" s="35"/>
      <c r="B14" s="35"/>
      <c r="C14" s="35"/>
    </row>
    <row r="15">
      <c r="A15" s="34" t="s">
        <v>748</v>
      </c>
    </row>
    <row r="16">
      <c r="A16" s="35"/>
      <c r="B16" s="35"/>
      <c r="C16" s="35"/>
    </row>
    <row r="17">
      <c r="A17" s="36" t="s">
        <v>749</v>
      </c>
      <c r="B17" s="37" t="s">
        <v>750</v>
      </c>
      <c r="C17" s="47" t="s">
        <v>751</v>
      </c>
    </row>
    <row r="18">
      <c r="A18" s="39">
        <v>1.0</v>
      </c>
      <c r="B18" s="40" t="s">
        <v>3344</v>
      </c>
      <c r="C18" s="48" t="s">
        <v>1418</v>
      </c>
    </row>
    <row r="19">
      <c r="A19" s="39">
        <v>2.0</v>
      </c>
      <c r="B19" s="40" t="s">
        <v>3345</v>
      </c>
      <c r="C19" s="48" t="s">
        <v>1418</v>
      </c>
    </row>
    <row r="20">
      <c r="A20" s="39">
        <v>3.0</v>
      </c>
      <c r="B20" s="40" t="s">
        <v>3346</v>
      </c>
      <c r="C20" s="48" t="s">
        <v>1418</v>
      </c>
    </row>
    <row r="21">
      <c r="A21" s="39">
        <v>4.0</v>
      </c>
      <c r="B21" s="40" t="s">
        <v>3347</v>
      </c>
      <c r="C21" s="48" t="s">
        <v>1418</v>
      </c>
    </row>
    <row r="22">
      <c r="A22" s="39">
        <v>5.0</v>
      </c>
      <c r="B22" s="40" t="s">
        <v>3348</v>
      </c>
      <c r="C22" s="48" t="s">
        <v>3349</v>
      </c>
    </row>
    <row r="23">
      <c r="A23" s="39">
        <v>6.0</v>
      </c>
      <c r="B23" s="40" t="s">
        <v>3350</v>
      </c>
      <c r="C23" s="48" t="s">
        <v>1418</v>
      </c>
    </row>
    <row r="24">
      <c r="A24" s="39">
        <v>7.0</v>
      </c>
      <c r="B24" s="40" t="s">
        <v>3351</v>
      </c>
      <c r="C24" s="48" t="s">
        <v>1418</v>
      </c>
    </row>
    <row r="25">
      <c r="A25" s="39">
        <v>8.0</v>
      </c>
      <c r="B25" s="40" t="s">
        <v>3352</v>
      </c>
      <c r="C25" s="48" t="s">
        <v>1418</v>
      </c>
    </row>
    <row r="26">
      <c r="A26" s="43">
        <v>9.0</v>
      </c>
      <c r="B26" s="49" t="s">
        <v>3353</v>
      </c>
      <c r="C26" s="50" t="s">
        <v>1418</v>
      </c>
    </row>
    <row r="27">
      <c r="A27" s="35"/>
      <c r="B27" s="35"/>
      <c r="C27" s="35"/>
    </row>
    <row r="28">
      <c r="A28" s="34" t="s">
        <v>756</v>
      </c>
    </row>
    <row r="29">
      <c r="A29" s="35"/>
      <c r="B29" s="35"/>
      <c r="C29" s="35"/>
    </row>
    <row r="30">
      <c r="A30" s="36" t="s">
        <v>749</v>
      </c>
      <c r="B30" s="37" t="s">
        <v>757</v>
      </c>
      <c r="C30" s="38"/>
    </row>
    <row r="31">
      <c r="A31" s="39">
        <v>1.0</v>
      </c>
      <c r="B31" s="40" t="s">
        <v>3354</v>
      </c>
      <c r="C31" s="41"/>
    </row>
    <row r="32">
      <c r="A32" s="39">
        <v>2.0</v>
      </c>
      <c r="B32" s="40" t="s">
        <v>3355</v>
      </c>
      <c r="C32" s="41"/>
    </row>
    <row r="33">
      <c r="A33" s="39">
        <v>3.0</v>
      </c>
      <c r="B33" s="40" t="s">
        <v>3356</v>
      </c>
      <c r="C33" s="41"/>
    </row>
    <row r="34">
      <c r="A34" s="39">
        <v>4.0</v>
      </c>
      <c r="B34" s="40" t="s">
        <v>3357</v>
      </c>
      <c r="C34" s="41"/>
    </row>
    <row r="35">
      <c r="A35" s="43">
        <v>5.0</v>
      </c>
      <c r="B35" s="49" t="s">
        <v>3358</v>
      </c>
      <c r="C35" s="45"/>
    </row>
    <row r="36">
      <c r="A36" s="35"/>
      <c r="B36" s="35"/>
      <c r="C36" s="35"/>
    </row>
    <row r="37">
      <c r="A37" s="34" t="s">
        <v>760</v>
      </c>
    </row>
    <row r="38">
      <c r="A38" s="35"/>
      <c r="B38" s="35"/>
      <c r="C38" s="35"/>
    </row>
    <row r="39">
      <c r="A39" s="36" t="s">
        <v>749</v>
      </c>
      <c r="B39" s="37" t="s">
        <v>757</v>
      </c>
      <c r="C39" s="38"/>
    </row>
    <row r="40">
      <c r="A40" s="39">
        <v>1.0</v>
      </c>
      <c r="B40" s="40" t="s">
        <v>3359</v>
      </c>
      <c r="C40" s="41"/>
    </row>
    <row r="41">
      <c r="A41" s="39">
        <v>2.0</v>
      </c>
      <c r="B41" s="40" t="s">
        <v>3360</v>
      </c>
      <c r="C41" s="41"/>
    </row>
    <row r="42">
      <c r="A42" s="43">
        <v>3.0</v>
      </c>
      <c r="B42" s="49" t="s">
        <v>3361</v>
      </c>
      <c r="C42" s="45"/>
    </row>
    <row r="43">
      <c r="A43" s="35"/>
      <c r="B43" s="35"/>
      <c r="C43" s="35"/>
    </row>
    <row r="44">
      <c r="A44" s="34" t="s">
        <v>763</v>
      </c>
    </row>
    <row r="45">
      <c r="A45" s="35"/>
      <c r="B45" s="35"/>
      <c r="C45" s="35"/>
    </row>
    <row r="46">
      <c r="A46" s="36" t="s">
        <v>749</v>
      </c>
      <c r="B46" s="37" t="s">
        <v>757</v>
      </c>
      <c r="C46" s="38"/>
    </row>
    <row r="47">
      <c r="A47" s="39">
        <v>1.0</v>
      </c>
      <c r="B47" s="40" t="s">
        <v>3362</v>
      </c>
      <c r="C47" s="41"/>
    </row>
    <row r="48">
      <c r="A48" s="39">
        <v>2.0</v>
      </c>
      <c r="B48" s="40" t="s">
        <v>3363</v>
      </c>
      <c r="C48" s="41"/>
    </row>
    <row r="49">
      <c r="A49" s="39">
        <v>3.0</v>
      </c>
      <c r="B49" s="40" t="s">
        <v>3364</v>
      </c>
      <c r="C49" s="41"/>
    </row>
    <row r="50">
      <c r="A50" s="39">
        <v>4.0</v>
      </c>
      <c r="B50" s="40" t="s">
        <v>3365</v>
      </c>
      <c r="C50" s="41"/>
    </row>
    <row r="51">
      <c r="A51" s="39">
        <v>5.0</v>
      </c>
      <c r="B51" s="40" t="s">
        <v>3366</v>
      </c>
      <c r="C51" s="41"/>
    </row>
    <row r="52">
      <c r="A52" s="39">
        <v>6.0</v>
      </c>
      <c r="B52" s="40" t="s">
        <v>3367</v>
      </c>
      <c r="C52" s="41"/>
    </row>
    <row r="53">
      <c r="A53" s="43">
        <v>7.0</v>
      </c>
      <c r="B53" s="49" t="s">
        <v>3368</v>
      </c>
      <c r="C53" s="45"/>
    </row>
  </sheetData>
  <mergeCells count="7">
    <mergeCell ref="A1:C1"/>
    <mergeCell ref="A11:C11"/>
    <mergeCell ref="A13:C13"/>
    <mergeCell ref="A15:C15"/>
    <mergeCell ref="A28:C28"/>
    <mergeCell ref="A37:C37"/>
    <mergeCell ref="A44:C44"/>
  </mergeCells>
  <hyperlinks>
    <hyperlink r:id="rId1" ref="B9"/>
  </hyperlinks>
  <drawing r:id="rId2"/>
</worksheet>
</file>

<file path=xl/worksheets/sheet9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2" max="2" width="87.63"/>
    <col customWidth="1" min="3" max="3" width="20.13"/>
  </cols>
  <sheetData>
    <row r="1">
      <c r="A1" s="34" t="s">
        <v>742</v>
      </c>
    </row>
    <row r="2">
      <c r="A2" s="35"/>
      <c r="B2" s="35"/>
      <c r="C2" s="35"/>
    </row>
    <row r="3">
      <c r="A3" s="36" t="s">
        <v>743</v>
      </c>
      <c r="B3" s="37" t="s">
        <v>744</v>
      </c>
      <c r="C3" s="38"/>
    </row>
    <row r="4">
      <c r="A4" s="39" t="s">
        <v>6</v>
      </c>
      <c r="B4" s="40" t="s">
        <v>433</v>
      </c>
      <c r="C4" s="41"/>
    </row>
    <row r="5">
      <c r="A5" s="39" t="s">
        <v>745</v>
      </c>
      <c r="B5" s="42">
        <v>46161.0</v>
      </c>
      <c r="C5" s="41"/>
    </row>
    <row r="6">
      <c r="A6" s="39" t="s">
        <v>0</v>
      </c>
      <c r="B6" s="40" t="s">
        <v>399</v>
      </c>
      <c r="C6" s="41"/>
    </row>
    <row r="7">
      <c r="A7" s="39" t="s">
        <v>7</v>
      </c>
      <c r="B7" s="40" t="s">
        <v>429</v>
      </c>
      <c r="C7" s="41"/>
    </row>
    <row r="8">
      <c r="A8" s="39" t="s">
        <v>746</v>
      </c>
      <c r="B8" s="40">
        <v>2.0</v>
      </c>
      <c r="C8" s="41"/>
    </row>
    <row r="9">
      <c r="A9" s="43" t="s">
        <v>8</v>
      </c>
      <c r="B9" s="44" t="s">
        <v>434</v>
      </c>
      <c r="C9" s="45"/>
    </row>
    <row r="10">
      <c r="A10" s="35"/>
      <c r="B10" s="35"/>
      <c r="C10" s="35"/>
    </row>
    <row r="11">
      <c r="A11" s="34" t="s">
        <v>747</v>
      </c>
    </row>
    <row r="12">
      <c r="A12" s="35"/>
      <c r="B12" s="35"/>
      <c r="C12" s="35"/>
    </row>
    <row r="13">
      <c r="A13" s="46" t="s">
        <v>435</v>
      </c>
    </row>
    <row r="14">
      <c r="A14" s="35"/>
      <c r="B14" s="35"/>
      <c r="C14" s="35"/>
    </row>
    <row r="15">
      <c r="A15" s="34" t="s">
        <v>748</v>
      </c>
    </row>
    <row r="16">
      <c r="A16" s="35"/>
      <c r="B16" s="35"/>
      <c r="C16" s="35"/>
    </row>
    <row r="17">
      <c r="A17" s="36" t="s">
        <v>749</v>
      </c>
      <c r="B17" s="37" t="s">
        <v>750</v>
      </c>
      <c r="C17" s="47" t="s">
        <v>751</v>
      </c>
    </row>
    <row r="18">
      <c r="A18" s="39">
        <v>1.0</v>
      </c>
      <c r="B18" s="40" t="s">
        <v>3369</v>
      </c>
      <c r="C18" s="48" t="s">
        <v>753</v>
      </c>
    </row>
    <row r="19">
      <c r="A19" s="39">
        <v>2.0</v>
      </c>
      <c r="B19" s="40" t="s">
        <v>3370</v>
      </c>
      <c r="C19" s="48" t="s">
        <v>753</v>
      </c>
    </row>
    <row r="20">
      <c r="A20" s="39">
        <v>3.0</v>
      </c>
      <c r="B20" s="40" t="s">
        <v>3371</v>
      </c>
      <c r="C20" s="48" t="s">
        <v>753</v>
      </c>
    </row>
    <row r="21">
      <c r="A21" s="39">
        <v>4.0</v>
      </c>
      <c r="B21" s="40" t="s">
        <v>3372</v>
      </c>
      <c r="C21" s="48" t="s">
        <v>753</v>
      </c>
    </row>
    <row r="22">
      <c r="A22" s="39">
        <v>5.0</v>
      </c>
      <c r="B22" s="40" t="s">
        <v>3373</v>
      </c>
      <c r="C22" s="48" t="s">
        <v>753</v>
      </c>
    </row>
    <row r="23">
      <c r="A23" s="43">
        <v>6.0</v>
      </c>
      <c r="B23" s="49" t="s">
        <v>3374</v>
      </c>
      <c r="C23" s="50" t="s">
        <v>753</v>
      </c>
    </row>
    <row r="24">
      <c r="A24" s="35"/>
      <c r="B24" s="35"/>
      <c r="C24" s="35"/>
    </row>
    <row r="25">
      <c r="A25" s="34" t="s">
        <v>756</v>
      </c>
    </row>
    <row r="26">
      <c r="A26" s="35"/>
      <c r="B26" s="35"/>
      <c r="C26" s="35"/>
    </row>
    <row r="27">
      <c r="A27" s="36" t="s">
        <v>749</v>
      </c>
      <c r="B27" s="37" t="s">
        <v>757</v>
      </c>
      <c r="C27" s="38"/>
    </row>
    <row r="28">
      <c r="A28" s="39">
        <v>1.0</v>
      </c>
      <c r="B28" s="40" t="s">
        <v>3375</v>
      </c>
      <c r="C28" s="41"/>
    </row>
    <row r="29">
      <c r="A29" s="43">
        <v>2.0</v>
      </c>
      <c r="B29" s="49" t="s">
        <v>3376</v>
      </c>
      <c r="C29" s="45"/>
    </row>
    <row r="30">
      <c r="A30" s="35"/>
      <c r="B30" s="35"/>
      <c r="C30" s="35"/>
    </row>
    <row r="31">
      <c r="A31" s="34" t="s">
        <v>760</v>
      </c>
    </row>
    <row r="32">
      <c r="A32" s="35"/>
      <c r="B32" s="35"/>
      <c r="C32" s="35"/>
    </row>
    <row r="33">
      <c r="A33" s="36" t="s">
        <v>749</v>
      </c>
      <c r="B33" s="37" t="s">
        <v>757</v>
      </c>
      <c r="C33" s="38"/>
    </row>
    <row r="34">
      <c r="A34" s="39">
        <v>1.0</v>
      </c>
      <c r="B34" s="40" t="s">
        <v>3377</v>
      </c>
      <c r="C34" s="41"/>
    </row>
    <row r="35">
      <c r="A35" s="39">
        <v>2.0</v>
      </c>
      <c r="B35" s="40" t="s">
        <v>3378</v>
      </c>
      <c r="C35" s="41"/>
    </row>
    <row r="36">
      <c r="A36" s="43">
        <v>3.0</v>
      </c>
      <c r="B36" s="49" t="s">
        <v>3379</v>
      </c>
      <c r="C36" s="45"/>
    </row>
    <row r="37">
      <c r="A37" s="35"/>
      <c r="B37" s="35"/>
      <c r="C37" s="35"/>
    </row>
    <row r="38">
      <c r="A38" s="34" t="s">
        <v>763</v>
      </c>
    </row>
    <row r="39">
      <c r="A39" s="35"/>
      <c r="B39" s="35"/>
      <c r="C39" s="35"/>
    </row>
    <row r="40">
      <c r="A40" s="36" t="s">
        <v>749</v>
      </c>
      <c r="B40" s="37" t="s">
        <v>757</v>
      </c>
      <c r="C40" s="38"/>
    </row>
    <row r="41">
      <c r="A41" s="39">
        <v>1.0</v>
      </c>
      <c r="B41" s="40" t="s">
        <v>3380</v>
      </c>
      <c r="C41" s="41"/>
    </row>
    <row r="42">
      <c r="A42" s="39">
        <v>2.0</v>
      </c>
      <c r="B42" s="40" t="s">
        <v>3381</v>
      </c>
      <c r="C42" s="41"/>
    </row>
    <row r="43">
      <c r="A43" s="39">
        <v>3.0</v>
      </c>
      <c r="B43" s="40" t="s">
        <v>3382</v>
      </c>
      <c r="C43" s="41"/>
    </row>
    <row r="44">
      <c r="A44" s="39">
        <v>4.0</v>
      </c>
      <c r="B44" s="40" t="s">
        <v>3383</v>
      </c>
      <c r="C44" s="41"/>
    </row>
    <row r="45">
      <c r="A45" s="43">
        <v>5.0</v>
      </c>
      <c r="B45" s="49" t="s">
        <v>3384</v>
      </c>
      <c r="C45" s="45"/>
    </row>
  </sheetData>
  <mergeCells count="7">
    <mergeCell ref="A1:C1"/>
    <mergeCell ref="A11:C11"/>
    <mergeCell ref="A13:C13"/>
    <mergeCell ref="A15:C15"/>
    <mergeCell ref="A25:C25"/>
    <mergeCell ref="A31:C31"/>
    <mergeCell ref="A38:C38"/>
  </mergeCells>
  <hyperlinks>
    <hyperlink r:id="rId1" ref="B9"/>
  </hyperlinks>
  <drawing r:id="rId2"/>
</worksheet>
</file>

<file path=xl/worksheets/sheet9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2" max="2" width="87.63"/>
    <col customWidth="1" min="3" max="3" width="20.13"/>
  </cols>
  <sheetData>
    <row r="1">
      <c r="A1" s="34" t="s">
        <v>742</v>
      </c>
    </row>
    <row r="2">
      <c r="A2" s="35"/>
      <c r="B2" s="35"/>
      <c r="C2" s="35"/>
    </row>
    <row r="3">
      <c r="A3" s="36" t="s">
        <v>743</v>
      </c>
      <c r="B3" s="37" t="s">
        <v>744</v>
      </c>
      <c r="C3" s="38"/>
    </row>
    <row r="4">
      <c r="A4" s="39" t="s">
        <v>6</v>
      </c>
      <c r="B4" s="40" t="s">
        <v>437</v>
      </c>
      <c r="C4" s="41"/>
    </row>
    <row r="5">
      <c r="A5" s="39" t="s">
        <v>745</v>
      </c>
      <c r="B5" s="42">
        <v>46161.0</v>
      </c>
      <c r="C5" s="41"/>
    </row>
    <row r="6">
      <c r="A6" s="39" t="s">
        <v>0</v>
      </c>
      <c r="B6" s="40" t="s">
        <v>399</v>
      </c>
      <c r="C6" s="41"/>
    </row>
    <row r="7">
      <c r="A7" s="39" t="s">
        <v>7</v>
      </c>
      <c r="B7" s="40" t="s">
        <v>110</v>
      </c>
      <c r="C7" s="41"/>
    </row>
    <row r="8">
      <c r="A8" s="39" t="s">
        <v>746</v>
      </c>
      <c r="B8" s="40">
        <v>2.0</v>
      </c>
      <c r="C8" s="41"/>
    </row>
    <row r="9">
      <c r="A9" s="43" t="s">
        <v>8</v>
      </c>
      <c r="B9" s="44" t="s">
        <v>438</v>
      </c>
      <c r="C9" s="45"/>
    </row>
    <row r="10">
      <c r="A10" s="35"/>
      <c r="B10" s="35"/>
      <c r="C10" s="35"/>
    </row>
    <row r="11">
      <c r="A11" s="34" t="s">
        <v>747</v>
      </c>
    </row>
    <row r="12">
      <c r="A12" s="35"/>
      <c r="B12" s="35"/>
      <c r="C12" s="35"/>
    </row>
    <row r="13">
      <c r="A13" s="46" t="s">
        <v>439</v>
      </c>
    </row>
    <row r="14">
      <c r="A14" s="35"/>
      <c r="B14" s="35"/>
      <c r="C14" s="35"/>
    </row>
    <row r="15">
      <c r="A15" s="34" t="s">
        <v>748</v>
      </c>
    </row>
    <row r="16">
      <c r="A16" s="35"/>
      <c r="B16" s="35"/>
      <c r="C16" s="35"/>
    </row>
    <row r="17">
      <c r="A17" s="36" t="s">
        <v>749</v>
      </c>
      <c r="B17" s="37" t="s">
        <v>750</v>
      </c>
      <c r="C17" s="47" t="s">
        <v>751</v>
      </c>
    </row>
    <row r="18">
      <c r="A18" s="39">
        <v>1.0</v>
      </c>
      <c r="B18" s="40" t="s">
        <v>3385</v>
      </c>
      <c r="C18" s="48" t="s">
        <v>1418</v>
      </c>
    </row>
    <row r="19">
      <c r="A19" s="39">
        <v>2.0</v>
      </c>
      <c r="B19" s="40" t="s">
        <v>3386</v>
      </c>
      <c r="C19" s="48" t="s">
        <v>1418</v>
      </c>
    </row>
    <row r="20">
      <c r="A20" s="39">
        <v>3.0</v>
      </c>
      <c r="B20" s="40" t="s">
        <v>3387</v>
      </c>
      <c r="C20" s="48" t="s">
        <v>753</v>
      </c>
    </row>
    <row r="21">
      <c r="A21" s="39">
        <v>4.0</v>
      </c>
      <c r="B21" s="40" t="s">
        <v>3388</v>
      </c>
      <c r="C21" s="48" t="s">
        <v>753</v>
      </c>
    </row>
    <row r="22">
      <c r="A22" s="43">
        <v>5.0</v>
      </c>
      <c r="B22" s="49" t="s">
        <v>3389</v>
      </c>
      <c r="C22" s="50" t="s">
        <v>753</v>
      </c>
    </row>
    <row r="23">
      <c r="A23" s="35"/>
      <c r="B23" s="35"/>
      <c r="C23" s="35"/>
    </row>
    <row r="24">
      <c r="A24" s="34" t="s">
        <v>756</v>
      </c>
    </row>
    <row r="25">
      <c r="A25" s="35"/>
      <c r="B25" s="35"/>
      <c r="C25" s="35"/>
    </row>
    <row r="26">
      <c r="A26" s="36" t="s">
        <v>749</v>
      </c>
      <c r="B26" s="37" t="s">
        <v>757</v>
      </c>
      <c r="C26" s="38"/>
    </row>
    <row r="27">
      <c r="A27" s="39">
        <v>1.0</v>
      </c>
      <c r="B27" s="40" t="s">
        <v>3390</v>
      </c>
      <c r="C27" s="41"/>
    </row>
    <row r="28">
      <c r="A28" s="39">
        <v>2.0</v>
      </c>
      <c r="B28" s="40" t="s">
        <v>3391</v>
      </c>
      <c r="C28" s="41"/>
    </row>
    <row r="29">
      <c r="A29" s="43">
        <v>3.0</v>
      </c>
      <c r="B29" s="49" t="s">
        <v>3392</v>
      </c>
      <c r="C29" s="45"/>
    </row>
    <row r="30">
      <c r="A30" s="35"/>
      <c r="B30" s="35"/>
      <c r="C30" s="35"/>
    </row>
    <row r="31">
      <c r="A31" s="34" t="s">
        <v>760</v>
      </c>
    </row>
    <row r="32">
      <c r="A32" s="35"/>
      <c r="B32" s="35"/>
      <c r="C32" s="35"/>
    </row>
    <row r="33">
      <c r="A33" s="36" t="s">
        <v>749</v>
      </c>
      <c r="B33" s="37" t="s">
        <v>757</v>
      </c>
      <c r="C33" s="38"/>
    </row>
    <row r="34">
      <c r="A34" s="39">
        <v>1.0</v>
      </c>
      <c r="B34" s="40" t="s">
        <v>3393</v>
      </c>
      <c r="C34" s="41"/>
    </row>
    <row r="35">
      <c r="A35" s="39">
        <v>2.0</v>
      </c>
      <c r="B35" s="40" t="s">
        <v>3394</v>
      </c>
      <c r="C35" s="41"/>
    </row>
    <row r="36">
      <c r="A36" s="43">
        <v>3.0</v>
      </c>
      <c r="B36" s="49" t="s">
        <v>3395</v>
      </c>
      <c r="C36" s="45"/>
    </row>
    <row r="37">
      <c r="A37" s="35"/>
      <c r="B37" s="35"/>
      <c r="C37" s="35"/>
    </row>
    <row r="38">
      <c r="A38" s="34" t="s">
        <v>763</v>
      </c>
    </row>
    <row r="39">
      <c r="A39" s="35"/>
      <c r="B39" s="35"/>
      <c r="C39" s="35"/>
    </row>
    <row r="40">
      <c r="A40" s="36" t="s">
        <v>749</v>
      </c>
      <c r="B40" s="37" t="s">
        <v>757</v>
      </c>
      <c r="C40" s="38"/>
    </row>
    <row r="41">
      <c r="A41" s="39">
        <v>1.0</v>
      </c>
      <c r="B41" s="40" t="s">
        <v>3396</v>
      </c>
      <c r="C41" s="41"/>
    </row>
    <row r="42">
      <c r="A42" s="39">
        <v>2.0</v>
      </c>
      <c r="B42" s="40" t="s">
        <v>3397</v>
      </c>
      <c r="C42" s="41"/>
    </row>
    <row r="43">
      <c r="A43" s="39">
        <v>3.0</v>
      </c>
      <c r="B43" s="40" t="s">
        <v>3398</v>
      </c>
      <c r="C43" s="41"/>
    </row>
    <row r="44">
      <c r="A44" s="39">
        <v>4.0</v>
      </c>
      <c r="B44" s="40" t="s">
        <v>3399</v>
      </c>
      <c r="C44" s="41"/>
    </row>
    <row r="45">
      <c r="A45" s="43">
        <v>5.0</v>
      </c>
      <c r="B45" s="49" t="s">
        <v>3400</v>
      </c>
      <c r="C45" s="45"/>
    </row>
  </sheetData>
  <mergeCells count="7">
    <mergeCell ref="A1:C1"/>
    <mergeCell ref="A11:C11"/>
    <mergeCell ref="A13:C13"/>
    <mergeCell ref="A15:C15"/>
    <mergeCell ref="A24:C24"/>
    <mergeCell ref="A31:C31"/>
    <mergeCell ref="A38:C38"/>
  </mergeCells>
  <hyperlinks>
    <hyperlink r:id="rId1" ref="B9"/>
  </hyperlinks>
  <drawing r:id="rId2"/>
</worksheet>
</file>

<file path=xl/worksheets/sheet9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2" max="2" width="87.63"/>
    <col customWidth="1" min="3" max="3" width="20.13"/>
  </cols>
  <sheetData>
    <row r="1">
      <c r="A1" s="34" t="s">
        <v>742</v>
      </c>
    </row>
    <row r="2">
      <c r="A2" s="35"/>
      <c r="B2" s="35"/>
      <c r="C2" s="35"/>
    </row>
    <row r="3">
      <c r="A3" s="36" t="s">
        <v>743</v>
      </c>
      <c r="B3" s="37" t="s">
        <v>744</v>
      </c>
      <c r="C3" s="38"/>
    </row>
    <row r="4">
      <c r="A4" s="39" t="s">
        <v>6</v>
      </c>
      <c r="B4" s="40" t="s">
        <v>441</v>
      </c>
      <c r="C4" s="41"/>
    </row>
    <row r="5">
      <c r="A5" s="39" t="s">
        <v>745</v>
      </c>
      <c r="B5" s="42">
        <v>46162.0</v>
      </c>
      <c r="C5" s="41"/>
    </row>
    <row r="6">
      <c r="A6" s="39" t="s">
        <v>0</v>
      </c>
      <c r="B6" s="40" t="s">
        <v>399</v>
      </c>
      <c r="C6" s="41"/>
    </row>
    <row r="7">
      <c r="A7" s="39" t="s">
        <v>7</v>
      </c>
      <c r="B7" s="40" t="s">
        <v>110</v>
      </c>
      <c r="C7" s="41"/>
    </row>
    <row r="8">
      <c r="A8" s="39" t="s">
        <v>746</v>
      </c>
      <c r="B8" s="40">
        <v>3.0</v>
      </c>
      <c r="C8" s="41"/>
    </row>
    <row r="9">
      <c r="A9" s="43" t="s">
        <v>8</v>
      </c>
      <c r="B9" s="44" t="s">
        <v>442</v>
      </c>
      <c r="C9" s="45"/>
    </row>
    <row r="10">
      <c r="A10" s="35"/>
      <c r="B10" s="35"/>
      <c r="C10" s="35"/>
    </row>
    <row r="11">
      <c r="A11" s="34" t="s">
        <v>747</v>
      </c>
    </row>
    <row r="12">
      <c r="A12" s="35"/>
      <c r="B12" s="35"/>
      <c r="C12" s="35"/>
    </row>
    <row r="13">
      <c r="A13" s="46" t="s">
        <v>443</v>
      </c>
    </row>
    <row r="14">
      <c r="A14" s="35"/>
      <c r="B14" s="35"/>
      <c r="C14" s="35"/>
    </row>
    <row r="15">
      <c r="A15" s="34" t="s">
        <v>748</v>
      </c>
    </row>
    <row r="16">
      <c r="A16" s="35"/>
      <c r="B16" s="35"/>
      <c r="C16" s="35"/>
    </row>
    <row r="17">
      <c r="A17" s="36" t="s">
        <v>749</v>
      </c>
      <c r="B17" s="37" t="s">
        <v>750</v>
      </c>
      <c r="C17" s="47" t="s">
        <v>751</v>
      </c>
    </row>
    <row r="18">
      <c r="A18" s="39">
        <v>1.0</v>
      </c>
      <c r="B18" s="40" t="s">
        <v>3401</v>
      </c>
      <c r="C18" s="48" t="s">
        <v>1418</v>
      </c>
    </row>
    <row r="19">
      <c r="A19" s="39">
        <v>2.0</v>
      </c>
      <c r="B19" s="40" t="s">
        <v>3402</v>
      </c>
      <c r="C19" s="48" t="s">
        <v>1418</v>
      </c>
    </row>
    <row r="20">
      <c r="A20" s="39">
        <v>3.0</v>
      </c>
      <c r="B20" s="40" t="s">
        <v>3403</v>
      </c>
      <c r="C20" s="48" t="s">
        <v>3404</v>
      </c>
    </row>
    <row r="21">
      <c r="A21" s="39">
        <v>4.0</v>
      </c>
      <c r="B21" s="40" t="s">
        <v>3405</v>
      </c>
      <c r="C21" s="48" t="s">
        <v>1418</v>
      </c>
    </row>
    <row r="22">
      <c r="A22" s="43">
        <v>5.0</v>
      </c>
      <c r="B22" s="49" t="s">
        <v>3406</v>
      </c>
      <c r="C22" s="50" t="s">
        <v>1418</v>
      </c>
    </row>
    <row r="23">
      <c r="A23" s="35"/>
      <c r="B23" s="35"/>
      <c r="C23" s="35"/>
    </row>
    <row r="24">
      <c r="A24" s="34" t="s">
        <v>756</v>
      </c>
    </row>
    <row r="25">
      <c r="A25" s="35"/>
      <c r="B25" s="35"/>
      <c r="C25" s="35"/>
    </row>
    <row r="26">
      <c r="A26" s="36" t="s">
        <v>749</v>
      </c>
      <c r="B26" s="37" t="s">
        <v>757</v>
      </c>
      <c r="C26" s="38"/>
    </row>
    <row r="27">
      <c r="A27" s="39">
        <v>1.0</v>
      </c>
      <c r="B27" s="40" t="s">
        <v>3407</v>
      </c>
      <c r="C27" s="41"/>
    </row>
    <row r="28">
      <c r="A28" s="39">
        <v>2.0</v>
      </c>
      <c r="B28" s="40" t="s">
        <v>3408</v>
      </c>
      <c r="C28" s="41"/>
    </row>
    <row r="29">
      <c r="A29" s="43">
        <v>3.0</v>
      </c>
      <c r="B29" s="49" t="s">
        <v>3409</v>
      </c>
      <c r="C29" s="45"/>
    </row>
    <row r="30">
      <c r="A30" s="35"/>
      <c r="B30" s="35"/>
      <c r="C30" s="35"/>
    </row>
    <row r="31">
      <c r="A31" s="34" t="s">
        <v>760</v>
      </c>
    </row>
    <row r="32">
      <c r="A32" s="35"/>
      <c r="B32" s="35"/>
      <c r="C32" s="35"/>
    </row>
    <row r="33">
      <c r="A33" s="36" t="s">
        <v>749</v>
      </c>
      <c r="B33" s="37" t="s">
        <v>757</v>
      </c>
      <c r="C33" s="38"/>
    </row>
    <row r="34">
      <c r="A34" s="39">
        <v>1.0</v>
      </c>
      <c r="B34" s="40" t="s">
        <v>3410</v>
      </c>
      <c r="C34" s="41"/>
    </row>
    <row r="35">
      <c r="A35" s="43">
        <v>2.0</v>
      </c>
      <c r="B35" s="49" t="s">
        <v>3411</v>
      </c>
      <c r="C35" s="45"/>
    </row>
    <row r="36">
      <c r="A36" s="35"/>
      <c r="B36" s="35"/>
      <c r="C36" s="35"/>
    </row>
    <row r="37">
      <c r="A37" s="34" t="s">
        <v>763</v>
      </c>
    </row>
    <row r="38">
      <c r="A38" s="35"/>
      <c r="B38" s="35"/>
      <c r="C38" s="35"/>
    </row>
    <row r="39">
      <c r="A39" s="36" t="s">
        <v>749</v>
      </c>
      <c r="B39" s="37" t="s">
        <v>757</v>
      </c>
      <c r="C39" s="38"/>
    </row>
    <row r="40">
      <c r="A40" s="39">
        <v>1.0</v>
      </c>
      <c r="B40" s="40" t="s">
        <v>3412</v>
      </c>
      <c r="C40" s="41"/>
    </row>
    <row r="41">
      <c r="A41" s="39">
        <v>2.0</v>
      </c>
      <c r="B41" s="40" t="s">
        <v>3413</v>
      </c>
      <c r="C41" s="41"/>
    </row>
    <row r="42">
      <c r="A42" s="39">
        <v>3.0</v>
      </c>
      <c r="B42" s="40" t="s">
        <v>3414</v>
      </c>
      <c r="C42" s="41"/>
    </row>
    <row r="43">
      <c r="A43" s="39">
        <v>4.0</v>
      </c>
      <c r="B43" s="40" t="s">
        <v>3415</v>
      </c>
      <c r="C43" s="41"/>
    </row>
    <row r="44">
      <c r="A44" s="43">
        <v>5.0</v>
      </c>
      <c r="B44" s="49" t="s">
        <v>3416</v>
      </c>
      <c r="C44" s="45"/>
    </row>
  </sheetData>
  <mergeCells count="7">
    <mergeCell ref="A1:C1"/>
    <mergeCell ref="A11:C11"/>
    <mergeCell ref="A13:C13"/>
    <mergeCell ref="A15:C15"/>
    <mergeCell ref="A24:C24"/>
    <mergeCell ref="A31:C31"/>
    <mergeCell ref="A37:C37"/>
  </mergeCells>
  <hyperlinks>
    <hyperlink r:id="rId1" ref="B9"/>
  </hyperlinks>
  <drawing r:id="rId2"/>
</worksheet>
</file>

<file path=xl/worksheets/sheet9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2" max="2" width="87.63"/>
    <col customWidth="1" min="3" max="3" width="20.13"/>
  </cols>
  <sheetData>
    <row r="1">
      <c r="A1" s="34" t="s">
        <v>742</v>
      </c>
    </row>
    <row r="2">
      <c r="A2" s="35"/>
      <c r="B2" s="35"/>
      <c r="C2" s="35"/>
    </row>
    <row r="3">
      <c r="A3" s="36" t="s">
        <v>743</v>
      </c>
      <c r="B3" s="37" t="s">
        <v>744</v>
      </c>
      <c r="C3" s="38"/>
    </row>
    <row r="4">
      <c r="A4" s="39" t="s">
        <v>6</v>
      </c>
      <c r="B4" s="40" t="s">
        <v>445</v>
      </c>
      <c r="C4" s="41"/>
    </row>
    <row r="5">
      <c r="A5" s="39" t="s">
        <v>745</v>
      </c>
      <c r="B5" s="42">
        <v>46162.0</v>
      </c>
      <c r="C5" s="41"/>
    </row>
    <row r="6">
      <c r="A6" s="39" t="s">
        <v>0</v>
      </c>
      <c r="B6" s="40" t="s">
        <v>399</v>
      </c>
      <c r="C6" s="41"/>
    </row>
    <row r="7">
      <c r="A7" s="39" t="s">
        <v>7</v>
      </c>
      <c r="B7" s="40" t="s">
        <v>110</v>
      </c>
      <c r="C7" s="41"/>
    </row>
    <row r="8">
      <c r="A8" s="39" t="s">
        <v>746</v>
      </c>
      <c r="B8" s="40">
        <v>2.0</v>
      </c>
      <c r="C8" s="41"/>
    </row>
    <row r="9">
      <c r="A9" s="43" t="s">
        <v>8</v>
      </c>
      <c r="B9" s="44" t="s">
        <v>446</v>
      </c>
      <c r="C9" s="45"/>
    </row>
    <row r="10">
      <c r="A10" s="35"/>
      <c r="B10" s="35"/>
      <c r="C10" s="35"/>
    </row>
    <row r="11">
      <c r="A11" s="34" t="s">
        <v>747</v>
      </c>
    </row>
    <row r="12">
      <c r="A12" s="35"/>
      <c r="B12" s="35"/>
      <c r="C12" s="35"/>
    </row>
    <row r="13">
      <c r="A13" s="46" t="s">
        <v>3417</v>
      </c>
    </row>
    <row r="14">
      <c r="A14" s="35"/>
      <c r="B14" s="35"/>
      <c r="C14" s="35"/>
    </row>
    <row r="15">
      <c r="A15" s="34" t="s">
        <v>748</v>
      </c>
    </row>
    <row r="16">
      <c r="A16" s="35"/>
      <c r="B16" s="35"/>
      <c r="C16" s="35"/>
    </row>
    <row r="17">
      <c r="A17" s="36" t="s">
        <v>749</v>
      </c>
      <c r="B17" s="37" t="s">
        <v>750</v>
      </c>
      <c r="C17" s="47" t="s">
        <v>751</v>
      </c>
    </row>
    <row r="18">
      <c r="A18" s="39">
        <v>1.0</v>
      </c>
      <c r="B18" s="40" t="s">
        <v>3418</v>
      </c>
      <c r="C18" s="48" t="s">
        <v>1418</v>
      </c>
    </row>
    <row r="19">
      <c r="A19" s="39">
        <v>2.0</v>
      </c>
      <c r="B19" s="40" t="s">
        <v>3419</v>
      </c>
      <c r="C19" s="48" t="s">
        <v>1418</v>
      </c>
    </row>
    <row r="20">
      <c r="A20" s="39">
        <v>3.0</v>
      </c>
      <c r="B20" s="40" t="s">
        <v>3420</v>
      </c>
      <c r="C20" s="48" t="s">
        <v>1418</v>
      </c>
    </row>
    <row r="21">
      <c r="A21" s="39">
        <v>4.0</v>
      </c>
      <c r="B21" s="40" t="s">
        <v>3421</v>
      </c>
      <c r="C21" s="48" t="s">
        <v>1418</v>
      </c>
    </row>
    <row r="22">
      <c r="A22" s="39">
        <v>5.0</v>
      </c>
      <c r="B22" s="40" t="s">
        <v>3422</v>
      </c>
      <c r="C22" s="48" t="s">
        <v>1418</v>
      </c>
    </row>
    <row r="23">
      <c r="A23" s="39">
        <v>6.0</v>
      </c>
      <c r="B23" s="40" t="s">
        <v>3423</v>
      </c>
      <c r="C23" s="48" t="s">
        <v>1418</v>
      </c>
    </row>
    <row r="24">
      <c r="A24" s="39">
        <v>7.0</v>
      </c>
      <c r="B24" s="40" t="s">
        <v>3424</v>
      </c>
      <c r="C24" s="48" t="s">
        <v>1418</v>
      </c>
    </row>
    <row r="25">
      <c r="A25" s="43">
        <v>8.0</v>
      </c>
      <c r="B25" s="49" t="s">
        <v>3425</v>
      </c>
      <c r="C25" s="50" t="s">
        <v>1418</v>
      </c>
    </row>
    <row r="26">
      <c r="A26" s="35"/>
      <c r="B26" s="35"/>
      <c r="C26" s="35"/>
    </row>
    <row r="27">
      <c r="A27" s="34" t="s">
        <v>756</v>
      </c>
    </row>
    <row r="28">
      <c r="A28" s="35"/>
      <c r="B28" s="35"/>
      <c r="C28" s="35"/>
    </row>
    <row r="29">
      <c r="A29" s="36" t="s">
        <v>749</v>
      </c>
      <c r="B29" s="37" t="s">
        <v>757</v>
      </c>
      <c r="C29" s="38"/>
    </row>
    <row r="30">
      <c r="A30" s="39">
        <v>1.0</v>
      </c>
      <c r="B30" s="40" t="s">
        <v>3426</v>
      </c>
      <c r="C30" s="41"/>
    </row>
    <row r="31">
      <c r="A31" s="39">
        <v>2.0</v>
      </c>
      <c r="B31" s="40" t="s">
        <v>3427</v>
      </c>
      <c r="C31" s="41"/>
    </row>
    <row r="32">
      <c r="A32" s="43">
        <v>3.0</v>
      </c>
      <c r="B32" s="49" t="s">
        <v>3428</v>
      </c>
      <c r="C32" s="45"/>
    </row>
    <row r="33">
      <c r="A33" s="35"/>
      <c r="B33" s="35"/>
      <c r="C33" s="35"/>
    </row>
    <row r="34">
      <c r="A34" s="34" t="s">
        <v>760</v>
      </c>
    </row>
    <row r="35">
      <c r="A35" s="35"/>
      <c r="B35" s="35"/>
      <c r="C35" s="35"/>
    </row>
    <row r="36">
      <c r="A36" s="36" t="s">
        <v>749</v>
      </c>
      <c r="B36" s="37" t="s">
        <v>757</v>
      </c>
      <c r="C36" s="38"/>
    </row>
    <row r="37">
      <c r="A37" s="39">
        <v>1.0</v>
      </c>
      <c r="B37" s="40" t="s">
        <v>3429</v>
      </c>
      <c r="C37" s="41"/>
    </row>
    <row r="38">
      <c r="A38" s="39">
        <v>2.0</v>
      </c>
      <c r="B38" s="40" t="s">
        <v>3430</v>
      </c>
      <c r="C38" s="41"/>
    </row>
    <row r="39">
      <c r="A39" s="43">
        <v>3.0</v>
      </c>
      <c r="B39" s="49" t="s">
        <v>3431</v>
      </c>
      <c r="C39" s="45"/>
    </row>
    <row r="40">
      <c r="A40" s="35"/>
      <c r="B40" s="35"/>
      <c r="C40" s="35"/>
    </row>
    <row r="41">
      <c r="A41" s="34" t="s">
        <v>763</v>
      </c>
    </row>
    <row r="42">
      <c r="A42" s="35"/>
      <c r="B42" s="35"/>
      <c r="C42" s="35"/>
    </row>
    <row r="43">
      <c r="A43" s="36" t="s">
        <v>749</v>
      </c>
      <c r="B43" s="37" t="s">
        <v>757</v>
      </c>
      <c r="C43" s="38"/>
    </row>
    <row r="44">
      <c r="A44" s="39">
        <v>1.0</v>
      </c>
      <c r="B44" s="40" t="s">
        <v>3432</v>
      </c>
      <c r="C44" s="41"/>
    </row>
    <row r="45">
      <c r="A45" s="39">
        <v>2.0</v>
      </c>
      <c r="B45" s="40" t="s">
        <v>3433</v>
      </c>
      <c r="C45" s="41"/>
    </row>
    <row r="46">
      <c r="A46" s="39">
        <v>3.0</v>
      </c>
      <c r="B46" s="40" t="s">
        <v>3434</v>
      </c>
      <c r="C46" s="41"/>
    </row>
    <row r="47">
      <c r="A47" s="39">
        <v>4.0</v>
      </c>
      <c r="B47" s="40" t="s">
        <v>3435</v>
      </c>
      <c r="C47" s="41"/>
    </row>
    <row r="48">
      <c r="A48" s="43">
        <v>5.0</v>
      </c>
      <c r="B48" s="49" t="s">
        <v>3436</v>
      </c>
      <c r="C48" s="45"/>
    </row>
  </sheetData>
  <mergeCells count="7">
    <mergeCell ref="A1:C1"/>
    <mergeCell ref="A11:C11"/>
    <mergeCell ref="A13:C13"/>
    <mergeCell ref="A15:C15"/>
    <mergeCell ref="A27:C27"/>
    <mergeCell ref="A34:C34"/>
    <mergeCell ref="A41:C41"/>
  </mergeCells>
  <hyperlinks>
    <hyperlink r:id="rId1" ref="B9"/>
  </hyperlinks>
  <drawing r:id="rId2"/>
</worksheet>
</file>

<file path=xl/worksheets/sheet9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2" max="2" width="87.63"/>
    <col customWidth="1" min="3" max="3" width="20.13"/>
  </cols>
  <sheetData>
    <row r="1">
      <c r="A1" s="34" t="s">
        <v>742</v>
      </c>
    </row>
    <row r="2">
      <c r="A2" s="35"/>
      <c r="B2" s="35"/>
      <c r="C2" s="35"/>
    </row>
    <row r="3">
      <c r="A3" s="36" t="s">
        <v>743</v>
      </c>
      <c r="B3" s="37" t="s">
        <v>744</v>
      </c>
      <c r="C3" s="38"/>
    </row>
    <row r="4">
      <c r="A4" s="39" t="s">
        <v>6</v>
      </c>
      <c r="B4" s="40" t="s">
        <v>449</v>
      </c>
      <c r="C4" s="41"/>
    </row>
    <row r="5">
      <c r="A5" s="39" t="s">
        <v>745</v>
      </c>
      <c r="B5" s="42">
        <v>46162.0</v>
      </c>
      <c r="C5" s="41"/>
    </row>
    <row r="6">
      <c r="A6" s="39" t="s">
        <v>0</v>
      </c>
      <c r="B6" s="40" t="s">
        <v>399</v>
      </c>
      <c r="C6" s="41"/>
    </row>
    <row r="7">
      <c r="A7" s="39" t="s">
        <v>7</v>
      </c>
      <c r="B7" s="40" t="s">
        <v>68</v>
      </c>
      <c r="C7" s="41"/>
    </row>
    <row r="8">
      <c r="A8" s="39" t="s">
        <v>746</v>
      </c>
      <c r="B8" s="40">
        <v>2.0</v>
      </c>
      <c r="C8" s="41"/>
    </row>
    <row r="9">
      <c r="A9" s="43" t="s">
        <v>8</v>
      </c>
      <c r="B9" s="44" t="s">
        <v>450</v>
      </c>
      <c r="C9" s="45"/>
    </row>
    <row r="10">
      <c r="A10" s="35"/>
      <c r="B10" s="35"/>
      <c r="C10" s="35"/>
    </row>
    <row r="11">
      <c r="A11" s="34" t="s">
        <v>747</v>
      </c>
    </row>
    <row r="12">
      <c r="A12" s="35"/>
      <c r="B12" s="35"/>
      <c r="C12" s="35"/>
    </row>
    <row r="13">
      <c r="A13" s="46" t="s">
        <v>451</v>
      </c>
    </row>
    <row r="14">
      <c r="A14" s="35"/>
      <c r="B14" s="35"/>
      <c r="C14" s="35"/>
    </row>
    <row r="15">
      <c r="A15" s="34" t="s">
        <v>748</v>
      </c>
    </row>
    <row r="16">
      <c r="A16" s="35"/>
      <c r="B16" s="35"/>
      <c r="C16" s="35"/>
    </row>
    <row r="17">
      <c r="A17" s="36" t="s">
        <v>749</v>
      </c>
      <c r="B17" s="37" t="s">
        <v>750</v>
      </c>
      <c r="C17" s="47" t="s">
        <v>751</v>
      </c>
    </row>
    <row r="18">
      <c r="A18" s="39">
        <v>1.0</v>
      </c>
      <c r="B18" s="40" t="s">
        <v>3437</v>
      </c>
      <c r="C18" s="48" t="s">
        <v>753</v>
      </c>
    </row>
    <row r="19">
      <c r="A19" s="39">
        <v>2.0</v>
      </c>
      <c r="B19" s="40" t="s">
        <v>3438</v>
      </c>
      <c r="C19" s="48" t="s">
        <v>753</v>
      </c>
    </row>
    <row r="20">
      <c r="A20" s="39">
        <v>3.0</v>
      </c>
      <c r="B20" s="40" t="s">
        <v>3439</v>
      </c>
      <c r="C20" s="48" t="s">
        <v>753</v>
      </c>
    </row>
    <row r="21">
      <c r="A21" s="39">
        <v>4.0</v>
      </c>
      <c r="B21" s="40" t="s">
        <v>3440</v>
      </c>
      <c r="C21" s="48" t="s">
        <v>753</v>
      </c>
    </row>
    <row r="22">
      <c r="A22" s="39">
        <v>5.0</v>
      </c>
      <c r="B22" s="40" t="s">
        <v>3441</v>
      </c>
      <c r="C22" s="48" t="s">
        <v>753</v>
      </c>
    </row>
    <row r="23">
      <c r="A23" s="39">
        <v>6.0</v>
      </c>
      <c r="B23" s="40" t="s">
        <v>3442</v>
      </c>
      <c r="C23" s="48" t="s">
        <v>753</v>
      </c>
    </row>
    <row r="24">
      <c r="A24" s="39">
        <v>7.0</v>
      </c>
      <c r="B24" s="40" t="s">
        <v>3443</v>
      </c>
      <c r="C24" s="48" t="s">
        <v>753</v>
      </c>
    </row>
    <row r="25">
      <c r="A25" s="43">
        <v>8.0</v>
      </c>
      <c r="B25" s="49" t="s">
        <v>3444</v>
      </c>
      <c r="C25" s="50" t="s">
        <v>753</v>
      </c>
    </row>
    <row r="26">
      <c r="A26" s="35"/>
      <c r="B26" s="35"/>
      <c r="C26" s="35"/>
    </row>
    <row r="27">
      <c r="A27" s="34" t="s">
        <v>756</v>
      </c>
    </row>
    <row r="28">
      <c r="A28" s="35"/>
      <c r="B28" s="35"/>
      <c r="C28" s="35"/>
    </row>
    <row r="29">
      <c r="A29" s="36" t="s">
        <v>749</v>
      </c>
      <c r="B29" s="37" t="s">
        <v>757</v>
      </c>
      <c r="C29" s="38"/>
    </row>
    <row r="30">
      <c r="A30" s="39">
        <v>1.0</v>
      </c>
      <c r="B30" s="40" t="s">
        <v>3445</v>
      </c>
      <c r="C30" s="41"/>
    </row>
    <row r="31">
      <c r="A31" s="39">
        <v>2.0</v>
      </c>
      <c r="B31" s="40" t="s">
        <v>3446</v>
      </c>
      <c r="C31" s="41"/>
    </row>
    <row r="32">
      <c r="A32" s="39">
        <v>3.0</v>
      </c>
      <c r="B32" s="40" t="s">
        <v>3447</v>
      </c>
      <c r="C32" s="41"/>
    </row>
    <row r="33">
      <c r="A33" s="39">
        <v>4.0</v>
      </c>
      <c r="B33" s="40" t="s">
        <v>3448</v>
      </c>
      <c r="C33" s="41"/>
    </row>
    <row r="34">
      <c r="A34" s="43">
        <v>5.0</v>
      </c>
      <c r="B34" s="49" t="s">
        <v>3449</v>
      </c>
      <c r="C34" s="45"/>
    </row>
    <row r="35">
      <c r="A35" s="35"/>
      <c r="B35" s="35"/>
      <c r="C35" s="35"/>
    </row>
    <row r="36">
      <c r="A36" s="34" t="s">
        <v>760</v>
      </c>
    </row>
    <row r="37">
      <c r="A37" s="35"/>
      <c r="B37" s="35"/>
      <c r="C37" s="35"/>
    </row>
    <row r="38">
      <c r="A38" s="36" t="s">
        <v>749</v>
      </c>
      <c r="B38" s="37" t="s">
        <v>757</v>
      </c>
      <c r="C38" s="38"/>
    </row>
    <row r="39">
      <c r="A39" s="39">
        <v>1.0</v>
      </c>
      <c r="B39" s="40" t="s">
        <v>3450</v>
      </c>
      <c r="C39" s="41"/>
    </row>
    <row r="40">
      <c r="A40" s="39">
        <v>2.0</v>
      </c>
      <c r="B40" s="40" t="s">
        <v>3451</v>
      </c>
      <c r="C40" s="41"/>
    </row>
    <row r="41">
      <c r="A41" s="43">
        <v>3.0</v>
      </c>
      <c r="B41" s="49" t="s">
        <v>3452</v>
      </c>
      <c r="C41" s="45"/>
    </row>
    <row r="42">
      <c r="A42" s="35"/>
      <c r="B42" s="35"/>
      <c r="C42" s="35"/>
    </row>
    <row r="43">
      <c r="A43" s="34" t="s">
        <v>763</v>
      </c>
    </row>
    <row r="44">
      <c r="A44" s="35"/>
      <c r="B44" s="35"/>
      <c r="C44" s="35"/>
    </row>
    <row r="45">
      <c r="A45" s="36" t="s">
        <v>749</v>
      </c>
      <c r="B45" s="37" t="s">
        <v>757</v>
      </c>
      <c r="C45" s="38"/>
    </row>
    <row r="46">
      <c r="A46" s="39">
        <v>1.0</v>
      </c>
      <c r="B46" s="40" t="s">
        <v>3453</v>
      </c>
      <c r="C46" s="41"/>
    </row>
    <row r="47">
      <c r="A47" s="39">
        <v>2.0</v>
      </c>
      <c r="B47" s="40" t="s">
        <v>3454</v>
      </c>
      <c r="C47" s="41"/>
    </row>
    <row r="48">
      <c r="A48" s="39">
        <v>3.0</v>
      </c>
      <c r="B48" s="40" t="s">
        <v>3455</v>
      </c>
      <c r="C48" s="41"/>
    </row>
    <row r="49">
      <c r="A49" s="39">
        <v>4.0</v>
      </c>
      <c r="B49" s="40" t="s">
        <v>3456</v>
      </c>
      <c r="C49" s="41"/>
    </row>
    <row r="50">
      <c r="A50" s="39">
        <v>5.0</v>
      </c>
      <c r="B50" s="40" t="s">
        <v>3457</v>
      </c>
      <c r="C50" s="41"/>
    </row>
    <row r="51">
      <c r="A51" s="39">
        <v>6.0</v>
      </c>
      <c r="B51" s="40" t="s">
        <v>3458</v>
      </c>
      <c r="C51" s="41"/>
    </row>
    <row r="52">
      <c r="A52" s="43">
        <v>7.0</v>
      </c>
      <c r="B52" s="49" t="s">
        <v>3459</v>
      </c>
      <c r="C52" s="45"/>
    </row>
  </sheetData>
  <mergeCells count="7">
    <mergeCell ref="A1:C1"/>
    <mergeCell ref="A11:C11"/>
    <mergeCell ref="A13:C13"/>
    <mergeCell ref="A15:C15"/>
    <mergeCell ref="A27:C27"/>
    <mergeCell ref="A36:C36"/>
    <mergeCell ref="A43:C43"/>
  </mergeCells>
  <hyperlinks>
    <hyperlink r:id="rId1" ref="B9"/>
  </hyperlinks>
  <drawing r:id="rId2"/>
</worksheet>
</file>

<file path=xl/worksheets/sheet9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2" max="2" width="87.63"/>
    <col customWidth="1" min="3" max="3" width="20.13"/>
  </cols>
  <sheetData>
    <row r="1">
      <c r="A1" s="34" t="s">
        <v>742</v>
      </c>
    </row>
    <row r="2">
      <c r="A2" s="35"/>
      <c r="B2" s="35"/>
      <c r="C2" s="35"/>
    </row>
    <row r="3">
      <c r="A3" s="36" t="s">
        <v>743</v>
      </c>
      <c r="B3" s="37" t="s">
        <v>744</v>
      </c>
      <c r="C3" s="38"/>
    </row>
    <row r="4">
      <c r="A4" s="39" t="s">
        <v>6</v>
      </c>
      <c r="B4" s="40" t="s">
        <v>453</v>
      </c>
      <c r="C4" s="41"/>
    </row>
    <row r="5">
      <c r="A5" s="39" t="s">
        <v>745</v>
      </c>
      <c r="B5" s="42">
        <v>46162.0</v>
      </c>
      <c r="C5" s="41"/>
    </row>
    <row r="6">
      <c r="A6" s="39" t="s">
        <v>0</v>
      </c>
      <c r="B6" s="40" t="s">
        <v>399</v>
      </c>
      <c r="C6" s="41"/>
    </row>
    <row r="7">
      <c r="A7" s="39" t="s">
        <v>7</v>
      </c>
      <c r="B7" s="40" t="s">
        <v>21</v>
      </c>
      <c r="C7" s="41"/>
    </row>
    <row r="8">
      <c r="A8" s="39" t="s">
        <v>746</v>
      </c>
      <c r="B8" s="40">
        <v>3.0</v>
      </c>
      <c r="C8" s="41"/>
    </row>
    <row r="9">
      <c r="A9" s="43" t="s">
        <v>8</v>
      </c>
      <c r="B9" s="44" t="s">
        <v>454</v>
      </c>
      <c r="C9" s="45"/>
    </row>
    <row r="10">
      <c r="A10" s="35"/>
      <c r="B10" s="35"/>
      <c r="C10" s="35"/>
    </row>
    <row r="11">
      <c r="A11" s="34" t="s">
        <v>747</v>
      </c>
    </row>
    <row r="12">
      <c r="A12" s="35"/>
      <c r="B12" s="35"/>
      <c r="C12" s="35"/>
    </row>
    <row r="13">
      <c r="A13" s="46" t="s">
        <v>455</v>
      </c>
    </row>
    <row r="14">
      <c r="A14" s="35"/>
      <c r="B14" s="35"/>
      <c r="C14" s="35"/>
    </row>
    <row r="15">
      <c r="A15" s="34" t="s">
        <v>748</v>
      </c>
    </row>
    <row r="16">
      <c r="A16" s="35"/>
      <c r="B16" s="35"/>
      <c r="C16" s="35"/>
    </row>
    <row r="17">
      <c r="A17" s="36" t="s">
        <v>749</v>
      </c>
      <c r="B17" s="37" t="s">
        <v>750</v>
      </c>
      <c r="C17" s="47" t="s">
        <v>751</v>
      </c>
    </row>
    <row r="18">
      <c r="A18" s="39">
        <v>1.0</v>
      </c>
      <c r="B18" s="40" t="s">
        <v>3460</v>
      </c>
      <c r="C18" s="48" t="s">
        <v>3461</v>
      </c>
    </row>
    <row r="19">
      <c r="A19" s="39">
        <v>2.0</v>
      </c>
      <c r="B19" s="40" t="s">
        <v>3462</v>
      </c>
      <c r="C19" s="48" t="s">
        <v>753</v>
      </c>
    </row>
    <row r="20">
      <c r="A20" s="39">
        <v>3.0</v>
      </c>
      <c r="B20" s="40" t="s">
        <v>3463</v>
      </c>
      <c r="C20" s="48" t="s">
        <v>1418</v>
      </c>
    </row>
    <row r="21">
      <c r="A21" s="39">
        <v>4.0</v>
      </c>
      <c r="B21" s="40" t="s">
        <v>3464</v>
      </c>
      <c r="C21" s="48" t="s">
        <v>753</v>
      </c>
    </row>
    <row r="22">
      <c r="A22" s="39">
        <v>5.0</v>
      </c>
      <c r="B22" s="40" t="s">
        <v>3465</v>
      </c>
      <c r="C22" s="48" t="s">
        <v>753</v>
      </c>
    </row>
    <row r="23">
      <c r="A23" s="39">
        <v>6.0</v>
      </c>
      <c r="B23" s="40" t="s">
        <v>3466</v>
      </c>
      <c r="C23" s="48" t="s">
        <v>3467</v>
      </c>
    </row>
    <row r="24">
      <c r="A24" s="43">
        <v>7.0</v>
      </c>
      <c r="B24" s="49" t="s">
        <v>3468</v>
      </c>
      <c r="C24" s="50" t="s">
        <v>1418</v>
      </c>
    </row>
    <row r="25">
      <c r="A25" s="35"/>
      <c r="B25" s="35"/>
      <c r="C25" s="35"/>
    </row>
    <row r="26">
      <c r="A26" s="34" t="s">
        <v>756</v>
      </c>
    </row>
    <row r="27">
      <c r="A27" s="35"/>
      <c r="B27" s="35"/>
      <c r="C27" s="35"/>
    </row>
    <row r="28">
      <c r="A28" s="36" t="s">
        <v>749</v>
      </c>
      <c r="B28" s="37" t="s">
        <v>757</v>
      </c>
      <c r="C28" s="38"/>
    </row>
    <row r="29">
      <c r="A29" s="39">
        <v>1.0</v>
      </c>
      <c r="B29" s="40" t="s">
        <v>3469</v>
      </c>
      <c r="C29" s="41"/>
    </row>
    <row r="30">
      <c r="A30" s="39">
        <v>2.0</v>
      </c>
      <c r="B30" s="40" t="s">
        <v>3470</v>
      </c>
      <c r="C30" s="41"/>
    </row>
    <row r="31">
      <c r="A31" s="43">
        <v>3.0</v>
      </c>
      <c r="B31" s="49" t="s">
        <v>3471</v>
      </c>
      <c r="C31" s="45"/>
    </row>
    <row r="32">
      <c r="A32" s="35"/>
      <c r="B32" s="35"/>
      <c r="C32" s="35"/>
    </row>
    <row r="33">
      <c r="A33" s="34" t="s">
        <v>760</v>
      </c>
    </row>
    <row r="34">
      <c r="A34" s="35"/>
      <c r="B34" s="35"/>
      <c r="C34" s="35"/>
    </row>
    <row r="35">
      <c r="A35" s="36" t="s">
        <v>749</v>
      </c>
      <c r="B35" s="37" t="s">
        <v>757</v>
      </c>
      <c r="C35" s="38"/>
    </row>
    <row r="36">
      <c r="A36" s="39">
        <v>1.0</v>
      </c>
      <c r="B36" s="40" t="s">
        <v>3472</v>
      </c>
      <c r="C36" s="41"/>
    </row>
    <row r="37">
      <c r="A37" s="39">
        <v>2.0</v>
      </c>
      <c r="B37" s="40" t="s">
        <v>3473</v>
      </c>
      <c r="C37" s="41"/>
    </row>
    <row r="38">
      <c r="A38" s="39">
        <v>3.0</v>
      </c>
      <c r="B38" s="40" t="s">
        <v>3474</v>
      </c>
      <c r="C38" s="41"/>
    </row>
    <row r="39">
      <c r="A39" s="43">
        <v>4.0</v>
      </c>
      <c r="B39" s="49" t="s">
        <v>3475</v>
      </c>
      <c r="C39" s="45"/>
    </row>
    <row r="40">
      <c r="A40" s="35"/>
      <c r="B40" s="35"/>
      <c r="C40" s="35"/>
    </row>
    <row r="41">
      <c r="A41" s="34" t="s">
        <v>763</v>
      </c>
    </row>
    <row r="42">
      <c r="A42" s="35"/>
      <c r="B42" s="35"/>
      <c r="C42" s="35"/>
    </row>
    <row r="43">
      <c r="A43" s="36" t="s">
        <v>749</v>
      </c>
      <c r="B43" s="37" t="s">
        <v>757</v>
      </c>
      <c r="C43" s="38"/>
    </row>
    <row r="44">
      <c r="A44" s="39">
        <v>1.0</v>
      </c>
      <c r="B44" s="40" t="s">
        <v>3476</v>
      </c>
      <c r="C44" s="41"/>
    </row>
    <row r="45">
      <c r="A45" s="39">
        <v>2.0</v>
      </c>
      <c r="B45" s="40" t="s">
        <v>3477</v>
      </c>
      <c r="C45" s="41"/>
    </row>
    <row r="46">
      <c r="A46" s="39">
        <v>3.0</v>
      </c>
      <c r="B46" s="40" t="s">
        <v>3478</v>
      </c>
      <c r="C46" s="41"/>
    </row>
    <row r="47">
      <c r="A47" s="39">
        <v>4.0</v>
      </c>
      <c r="B47" s="40" t="s">
        <v>3479</v>
      </c>
      <c r="C47" s="41"/>
    </row>
    <row r="48">
      <c r="A48" s="39">
        <v>5.0</v>
      </c>
      <c r="B48" s="40" t="s">
        <v>3480</v>
      </c>
      <c r="C48" s="41"/>
    </row>
    <row r="49">
      <c r="A49" s="43">
        <v>6.0</v>
      </c>
      <c r="B49" s="49" t="s">
        <v>3481</v>
      </c>
      <c r="C49" s="45"/>
    </row>
  </sheetData>
  <mergeCells count="7">
    <mergeCell ref="A1:C1"/>
    <mergeCell ref="A11:C11"/>
    <mergeCell ref="A13:C13"/>
    <mergeCell ref="A15:C15"/>
    <mergeCell ref="A26:C26"/>
    <mergeCell ref="A33:C33"/>
    <mergeCell ref="A41:C41"/>
  </mergeCells>
  <hyperlinks>
    <hyperlink r:id="rId1" ref="B9"/>
  </hyperlinks>
  <drawing r:id="rId2"/>
</worksheet>
</file>

<file path=xl/worksheets/sheet9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2" max="2" width="87.63"/>
    <col customWidth="1" min="3" max="3" width="20.13"/>
  </cols>
  <sheetData>
    <row r="1">
      <c r="A1" s="34" t="s">
        <v>742</v>
      </c>
    </row>
    <row r="2">
      <c r="A2" s="35"/>
      <c r="B2" s="35"/>
      <c r="C2" s="35"/>
    </row>
    <row r="3">
      <c r="A3" s="36" t="s">
        <v>743</v>
      </c>
      <c r="B3" s="37" t="s">
        <v>744</v>
      </c>
      <c r="C3" s="38"/>
    </row>
    <row r="4">
      <c r="A4" s="39" t="s">
        <v>6</v>
      </c>
      <c r="B4" s="40" t="s">
        <v>457</v>
      </c>
      <c r="C4" s="41"/>
    </row>
    <row r="5">
      <c r="A5" s="39" t="s">
        <v>745</v>
      </c>
      <c r="B5" s="42">
        <v>46163.0</v>
      </c>
      <c r="C5" s="41"/>
    </row>
    <row r="6">
      <c r="A6" s="39" t="s">
        <v>0</v>
      </c>
      <c r="B6" s="40" t="s">
        <v>399</v>
      </c>
      <c r="C6" s="41"/>
    </row>
    <row r="7">
      <c r="A7" s="39" t="s">
        <v>7</v>
      </c>
      <c r="B7" s="40" t="s">
        <v>351</v>
      </c>
      <c r="C7" s="41"/>
    </row>
    <row r="8">
      <c r="A8" s="39" t="s">
        <v>746</v>
      </c>
      <c r="B8" s="40">
        <v>3.0</v>
      </c>
      <c r="C8" s="41"/>
    </row>
    <row r="9">
      <c r="A9" s="43" t="s">
        <v>8</v>
      </c>
      <c r="B9" s="44" t="s">
        <v>458</v>
      </c>
      <c r="C9" s="45"/>
    </row>
    <row r="10">
      <c r="A10" s="35"/>
      <c r="B10" s="35"/>
      <c r="C10" s="35"/>
    </row>
    <row r="11">
      <c r="A11" s="34" t="s">
        <v>747</v>
      </c>
    </row>
    <row r="12">
      <c r="A12" s="35"/>
      <c r="B12" s="35"/>
      <c r="C12" s="35"/>
    </row>
    <row r="13">
      <c r="A13" s="46" t="s">
        <v>3482</v>
      </c>
    </row>
    <row r="14">
      <c r="A14" s="35"/>
      <c r="B14" s="35"/>
      <c r="C14" s="35"/>
    </row>
    <row r="15">
      <c r="A15" s="34" t="s">
        <v>748</v>
      </c>
    </row>
    <row r="16">
      <c r="A16" s="35"/>
      <c r="B16" s="35"/>
      <c r="C16" s="35"/>
    </row>
    <row r="17">
      <c r="A17" s="36" t="s">
        <v>749</v>
      </c>
      <c r="B17" s="37" t="s">
        <v>750</v>
      </c>
      <c r="C17" s="47" t="s">
        <v>751</v>
      </c>
    </row>
    <row r="18">
      <c r="A18" s="39">
        <v>1.0</v>
      </c>
      <c r="B18" s="40" t="s">
        <v>3483</v>
      </c>
      <c r="C18" s="48" t="s">
        <v>1418</v>
      </c>
    </row>
    <row r="19">
      <c r="A19" s="39">
        <v>2.0</v>
      </c>
      <c r="B19" s="40" t="s">
        <v>3484</v>
      </c>
      <c r="C19" s="48" t="s">
        <v>1418</v>
      </c>
    </row>
    <row r="20">
      <c r="A20" s="39">
        <v>3.0</v>
      </c>
      <c r="B20" s="40" t="s">
        <v>3485</v>
      </c>
      <c r="C20" s="48" t="s">
        <v>1418</v>
      </c>
    </row>
    <row r="21">
      <c r="A21" s="39">
        <v>4.0</v>
      </c>
      <c r="B21" s="40" t="s">
        <v>3486</v>
      </c>
      <c r="C21" s="48" t="s">
        <v>1418</v>
      </c>
    </row>
    <row r="22">
      <c r="A22" s="39">
        <v>5.0</v>
      </c>
      <c r="B22" s="40" t="s">
        <v>3487</v>
      </c>
      <c r="C22" s="48" t="s">
        <v>1418</v>
      </c>
    </row>
    <row r="23">
      <c r="A23" s="39">
        <v>6.0</v>
      </c>
      <c r="B23" s="40" t="s">
        <v>3488</v>
      </c>
      <c r="C23" s="48" t="s">
        <v>1418</v>
      </c>
    </row>
    <row r="24">
      <c r="A24" s="39">
        <v>7.0</v>
      </c>
      <c r="B24" s="40" t="s">
        <v>3489</v>
      </c>
      <c r="C24" s="48" t="s">
        <v>1418</v>
      </c>
    </row>
    <row r="25">
      <c r="A25" s="43">
        <v>8.0</v>
      </c>
      <c r="B25" s="49" t="s">
        <v>3490</v>
      </c>
      <c r="C25" s="50" t="s">
        <v>1418</v>
      </c>
    </row>
    <row r="26">
      <c r="A26" s="35"/>
      <c r="B26" s="35"/>
      <c r="C26" s="35"/>
    </row>
    <row r="27">
      <c r="A27" s="34" t="s">
        <v>756</v>
      </c>
    </row>
    <row r="28">
      <c r="A28" s="35"/>
      <c r="B28" s="35"/>
      <c r="C28" s="35"/>
    </row>
    <row r="29">
      <c r="A29" s="36" t="s">
        <v>749</v>
      </c>
      <c r="B29" s="37" t="s">
        <v>757</v>
      </c>
      <c r="C29" s="38"/>
    </row>
    <row r="30">
      <c r="A30" s="39">
        <v>1.0</v>
      </c>
      <c r="B30" s="40" t="s">
        <v>3491</v>
      </c>
      <c r="C30" s="41"/>
    </row>
    <row r="31">
      <c r="A31" s="39">
        <v>2.0</v>
      </c>
      <c r="B31" s="40" t="s">
        <v>3492</v>
      </c>
      <c r="C31" s="41"/>
    </row>
    <row r="32">
      <c r="A32" s="39">
        <v>3.0</v>
      </c>
      <c r="B32" s="40" t="s">
        <v>3493</v>
      </c>
      <c r="C32" s="41"/>
    </row>
    <row r="33">
      <c r="A33" s="39">
        <v>4.0</v>
      </c>
      <c r="B33" s="40" t="s">
        <v>3494</v>
      </c>
      <c r="C33" s="41"/>
    </row>
    <row r="34">
      <c r="A34" s="43">
        <v>5.0</v>
      </c>
      <c r="B34" s="49" t="s">
        <v>3495</v>
      </c>
      <c r="C34" s="45"/>
    </row>
    <row r="35">
      <c r="A35" s="35"/>
      <c r="B35" s="35"/>
      <c r="C35" s="35"/>
    </row>
    <row r="36">
      <c r="A36" s="34" t="s">
        <v>760</v>
      </c>
    </row>
    <row r="37">
      <c r="A37" s="35"/>
      <c r="B37" s="35"/>
      <c r="C37" s="35"/>
    </row>
    <row r="38">
      <c r="A38" s="36" t="s">
        <v>749</v>
      </c>
      <c r="B38" s="37" t="s">
        <v>757</v>
      </c>
      <c r="C38" s="38"/>
    </row>
    <row r="39">
      <c r="A39" s="39">
        <v>1.0</v>
      </c>
      <c r="B39" s="40" t="s">
        <v>3496</v>
      </c>
      <c r="C39" s="41"/>
    </row>
    <row r="40">
      <c r="A40" s="39">
        <v>2.0</v>
      </c>
      <c r="B40" s="40" t="s">
        <v>3497</v>
      </c>
      <c r="C40" s="41"/>
    </row>
    <row r="41">
      <c r="A41" s="39">
        <v>3.0</v>
      </c>
      <c r="B41" s="40" t="s">
        <v>3498</v>
      </c>
      <c r="C41" s="41"/>
    </row>
    <row r="42">
      <c r="A42" s="39">
        <v>4.0</v>
      </c>
      <c r="B42" s="40" t="s">
        <v>3499</v>
      </c>
      <c r="C42" s="41"/>
    </row>
    <row r="43">
      <c r="A43" s="43">
        <v>5.0</v>
      </c>
      <c r="B43" s="49" t="s">
        <v>3500</v>
      </c>
      <c r="C43" s="45"/>
    </row>
    <row r="44">
      <c r="A44" s="35"/>
      <c r="B44" s="35"/>
      <c r="C44" s="35"/>
    </row>
    <row r="45">
      <c r="A45" s="34" t="s">
        <v>763</v>
      </c>
    </row>
    <row r="46">
      <c r="A46" s="35"/>
      <c r="B46" s="35"/>
      <c r="C46" s="35"/>
    </row>
    <row r="47">
      <c r="A47" s="36" t="s">
        <v>749</v>
      </c>
      <c r="B47" s="37" t="s">
        <v>757</v>
      </c>
      <c r="C47" s="38"/>
    </row>
    <row r="48">
      <c r="A48" s="39">
        <v>1.0</v>
      </c>
      <c r="B48" s="40" t="s">
        <v>3501</v>
      </c>
      <c r="C48" s="41"/>
    </row>
    <row r="49">
      <c r="A49" s="39">
        <v>2.0</v>
      </c>
      <c r="B49" s="40" t="s">
        <v>3502</v>
      </c>
      <c r="C49" s="41"/>
    </row>
    <row r="50">
      <c r="A50" s="39">
        <v>3.0</v>
      </c>
      <c r="B50" s="40" t="s">
        <v>3503</v>
      </c>
      <c r="C50" s="41"/>
    </row>
    <row r="51">
      <c r="A51" s="39">
        <v>4.0</v>
      </c>
      <c r="B51" s="40" t="s">
        <v>3504</v>
      </c>
      <c r="C51" s="41"/>
    </row>
    <row r="52">
      <c r="A52" s="39">
        <v>5.0</v>
      </c>
      <c r="B52" s="40" t="s">
        <v>3505</v>
      </c>
      <c r="C52" s="41"/>
    </row>
    <row r="53">
      <c r="A53" s="43">
        <v>6.0</v>
      </c>
      <c r="B53" s="49" t="s">
        <v>3506</v>
      </c>
      <c r="C53" s="45"/>
    </row>
  </sheetData>
  <mergeCells count="7">
    <mergeCell ref="A1:C1"/>
    <mergeCell ref="A11:C11"/>
    <mergeCell ref="A13:C13"/>
    <mergeCell ref="A15:C15"/>
    <mergeCell ref="A27:C27"/>
    <mergeCell ref="A36:C36"/>
    <mergeCell ref="A45:C45"/>
  </mergeCells>
  <hyperlinks>
    <hyperlink r:id="rId1" ref="B9"/>
  </hyperlinks>
  <drawing r:id="rId2"/>
</worksheet>
</file>

<file path=xl/worksheets/sheet10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2" max="2" width="87.63"/>
    <col customWidth="1" min="3" max="3" width="20.13"/>
  </cols>
  <sheetData>
    <row r="1">
      <c r="A1" s="34" t="s">
        <v>742</v>
      </c>
    </row>
    <row r="2">
      <c r="A2" s="35"/>
      <c r="B2" s="35"/>
      <c r="C2" s="35"/>
    </row>
    <row r="3">
      <c r="A3" s="36" t="s">
        <v>743</v>
      </c>
      <c r="B3" s="37" t="s">
        <v>744</v>
      </c>
      <c r="C3" s="38"/>
    </row>
    <row r="4">
      <c r="A4" s="39" t="s">
        <v>6</v>
      </c>
      <c r="B4" s="40" t="s">
        <v>461</v>
      </c>
      <c r="C4" s="41"/>
    </row>
    <row r="5">
      <c r="A5" s="39" t="s">
        <v>745</v>
      </c>
      <c r="B5" s="42">
        <v>46164.0</v>
      </c>
      <c r="C5" s="41"/>
    </row>
    <row r="6">
      <c r="A6" s="39" t="s">
        <v>0</v>
      </c>
      <c r="B6" s="40" t="s">
        <v>399</v>
      </c>
      <c r="C6" s="41"/>
    </row>
    <row r="7">
      <c r="A7" s="39" t="s">
        <v>7</v>
      </c>
      <c r="B7" s="40" t="s">
        <v>26</v>
      </c>
      <c r="C7" s="41"/>
    </row>
    <row r="8">
      <c r="A8" s="39" t="s">
        <v>746</v>
      </c>
      <c r="B8" s="40">
        <v>4.0</v>
      </c>
      <c r="C8" s="41"/>
    </row>
    <row r="9">
      <c r="A9" s="43" t="s">
        <v>8</v>
      </c>
      <c r="B9" s="44" t="s">
        <v>462</v>
      </c>
      <c r="C9" s="45"/>
    </row>
    <row r="10">
      <c r="A10" s="35"/>
      <c r="B10" s="35"/>
      <c r="C10" s="35"/>
    </row>
    <row r="11">
      <c r="A11" s="34" t="s">
        <v>747</v>
      </c>
    </row>
    <row r="12">
      <c r="A12" s="35"/>
      <c r="B12" s="35"/>
      <c r="C12" s="35"/>
    </row>
    <row r="13">
      <c r="A13" s="46" t="s">
        <v>3507</v>
      </c>
    </row>
    <row r="14">
      <c r="A14" s="35"/>
      <c r="B14" s="35"/>
      <c r="C14" s="35"/>
    </row>
    <row r="15">
      <c r="A15" s="34" t="s">
        <v>748</v>
      </c>
    </row>
    <row r="16">
      <c r="A16" s="35"/>
      <c r="B16" s="35"/>
      <c r="C16" s="35"/>
    </row>
    <row r="17">
      <c r="A17" s="36" t="s">
        <v>749</v>
      </c>
      <c r="B17" s="37" t="s">
        <v>750</v>
      </c>
      <c r="C17" s="47" t="s">
        <v>751</v>
      </c>
    </row>
    <row r="18">
      <c r="A18" s="39">
        <v>1.0</v>
      </c>
      <c r="B18" s="40" t="s">
        <v>3508</v>
      </c>
      <c r="C18" s="48" t="s">
        <v>753</v>
      </c>
    </row>
    <row r="19">
      <c r="A19" s="39">
        <v>2.0</v>
      </c>
      <c r="B19" s="40" t="s">
        <v>3509</v>
      </c>
      <c r="C19" s="48" t="s">
        <v>753</v>
      </c>
    </row>
    <row r="20">
      <c r="A20" s="39">
        <v>3.0</v>
      </c>
      <c r="B20" s="40" t="s">
        <v>3510</v>
      </c>
      <c r="C20" s="48" t="s">
        <v>753</v>
      </c>
    </row>
    <row r="21">
      <c r="A21" s="39">
        <v>4.0</v>
      </c>
      <c r="B21" s="40" t="s">
        <v>3511</v>
      </c>
      <c r="C21" s="48" t="s">
        <v>753</v>
      </c>
    </row>
    <row r="22">
      <c r="A22" s="39">
        <v>5.0</v>
      </c>
      <c r="B22" s="40" t="s">
        <v>3512</v>
      </c>
      <c r="C22" s="48" t="s">
        <v>753</v>
      </c>
    </row>
    <row r="23">
      <c r="A23" s="39">
        <v>6.0</v>
      </c>
      <c r="B23" s="40" t="s">
        <v>3513</v>
      </c>
      <c r="C23" s="48" t="s">
        <v>753</v>
      </c>
    </row>
    <row r="24">
      <c r="A24" s="39">
        <v>7.0</v>
      </c>
      <c r="B24" s="40" t="s">
        <v>3514</v>
      </c>
      <c r="C24" s="48" t="s">
        <v>753</v>
      </c>
    </row>
    <row r="25">
      <c r="A25" s="39">
        <v>8.0</v>
      </c>
      <c r="B25" s="40" t="s">
        <v>3515</v>
      </c>
      <c r="C25" s="48" t="s">
        <v>753</v>
      </c>
    </row>
    <row r="26">
      <c r="A26" s="39">
        <v>9.0</v>
      </c>
      <c r="B26" s="40" t="s">
        <v>3516</v>
      </c>
      <c r="C26" s="48" t="s">
        <v>753</v>
      </c>
    </row>
    <row r="27">
      <c r="A27" s="43">
        <v>10.0</v>
      </c>
      <c r="B27" s="49" t="s">
        <v>3517</v>
      </c>
      <c r="C27" s="50" t="s">
        <v>753</v>
      </c>
    </row>
    <row r="28">
      <c r="A28" s="35"/>
      <c r="B28" s="35"/>
      <c r="C28" s="35"/>
    </row>
    <row r="29">
      <c r="A29" s="34" t="s">
        <v>756</v>
      </c>
    </row>
    <row r="30">
      <c r="A30" s="35"/>
      <c r="B30" s="35"/>
      <c r="C30" s="35"/>
    </row>
    <row r="31">
      <c r="A31" s="36" t="s">
        <v>749</v>
      </c>
      <c r="B31" s="37" t="s">
        <v>757</v>
      </c>
      <c r="C31" s="38"/>
    </row>
    <row r="32">
      <c r="A32" s="39">
        <v>1.0</v>
      </c>
      <c r="B32" s="40" t="s">
        <v>3518</v>
      </c>
      <c r="C32" s="41"/>
    </row>
    <row r="33">
      <c r="A33" s="39">
        <v>2.0</v>
      </c>
      <c r="B33" s="40" t="s">
        <v>3519</v>
      </c>
      <c r="C33" s="41"/>
    </row>
    <row r="34">
      <c r="A34" s="43">
        <v>3.0</v>
      </c>
      <c r="B34" s="49" t="s">
        <v>3520</v>
      </c>
      <c r="C34" s="45"/>
    </row>
    <row r="35">
      <c r="A35" s="35"/>
      <c r="B35" s="35"/>
      <c r="C35" s="35"/>
    </row>
    <row r="36">
      <c r="A36" s="34" t="s">
        <v>760</v>
      </c>
    </row>
    <row r="37">
      <c r="A37" s="35"/>
      <c r="B37" s="35"/>
      <c r="C37" s="35"/>
    </row>
    <row r="38">
      <c r="A38" s="36" t="s">
        <v>749</v>
      </c>
      <c r="B38" s="37" t="s">
        <v>757</v>
      </c>
      <c r="C38" s="38"/>
    </row>
    <row r="39">
      <c r="A39" s="39">
        <v>1.0</v>
      </c>
      <c r="B39" s="40" t="s">
        <v>3521</v>
      </c>
      <c r="C39" s="41"/>
    </row>
    <row r="40">
      <c r="A40" s="39">
        <v>2.0</v>
      </c>
      <c r="B40" s="40" t="s">
        <v>3522</v>
      </c>
      <c r="C40" s="41"/>
    </row>
    <row r="41">
      <c r="A41" s="39">
        <v>3.0</v>
      </c>
      <c r="B41" s="40" t="s">
        <v>3523</v>
      </c>
      <c r="C41" s="41"/>
    </row>
    <row r="42">
      <c r="A42" s="39">
        <v>4.0</v>
      </c>
      <c r="B42" s="40" t="s">
        <v>3524</v>
      </c>
      <c r="C42" s="41"/>
    </row>
    <row r="43">
      <c r="A43" s="43">
        <v>5.0</v>
      </c>
      <c r="B43" s="49" t="s">
        <v>3525</v>
      </c>
      <c r="C43" s="45"/>
    </row>
    <row r="44">
      <c r="A44" s="35"/>
      <c r="B44" s="35"/>
      <c r="C44" s="35"/>
    </row>
    <row r="45">
      <c r="A45" s="34" t="s">
        <v>763</v>
      </c>
    </row>
    <row r="46">
      <c r="A46" s="35"/>
      <c r="B46" s="35"/>
      <c r="C46" s="35"/>
    </row>
    <row r="47">
      <c r="A47" s="36" t="s">
        <v>749</v>
      </c>
      <c r="B47" s="37" t="s">
        <v>757</v>
      </c>
      <c r="C47" s="38"/>
    </row>
    <row r="48">
      <c r="A48" s="39">
        <v>1.0</v>
      </c>
      <c r="B48" s="40" t="s">
        <v>3526</v>
      </c>
      <c r="C48" s="41"/>
    </row>
    <row r="49">
      <c r="A49" s="39">
        <v>2.0</v>
      </c>
      <c r="B49" s="40" t="s">
        <v>3527</v>
      </c>
      <c r="C49" s="41"/>
    </row>
    <row r="50">
      <c r="A50" s="39">
        <v>3.0</v>
      </c>
      <c r="B50" s="40" t="s">
        <v>3528</v>
      </c>
      <c r="C50" s="41"/>
    </row>
    <row r="51">
      <c r="A51" s="39">
        <v>4.0</v>
      </c>
      <c r="B51" s="40" t="s">
        <v>3529</v>
      </c>
      <c r="C51" s="41"/>
    </row>
    <row r="52">
      <c r="A52" s="39">
        <v>5.0</v>
      </c>
      <c r="B52" s="40" t="s">
        <v>3530</v>
      </c>
      <c r="C52" s="41"/>
    </row>
    <row r="53">
      <c r="A53" s="39">
        <v>6.0</v>
      </c>
      <c r="B53" s="40" t="s">
        <v>3531</v>
      </c>
      <c r="C53" s="41"/>
    </row>
    <row r="54">
      <c r="A54" s="43">
        <v>7.0</v>
      </c>
      <c r="B54" s="49" t="s">
        <v>3532</v>
      </c>
      <c r="C54" s="45"/>
    </row>
  </sheetData>
  <mergeCells count="7">
    <mergeCell ref="A1:C1"/>
    <mergeCell ref="A11:C11"/>
    <mergeCell ref="A13:C13"/>
    <mergeCell ref="A15:C15"/>
    <mergeCell ref="A29:C29"/>
    <mergeCell ref="A36:C36"/>
    <mergeCell ref="A45:C45"/>
  </mergeCells>
  <hyperlinks>
    <hyperlink r:id="rId1" ref="B9"/>
  </hyperlinks>
  <drawing r:id="rId2"/>
</worksheet>
</file>

<file path=xl/worksheets/sheet10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2" max="2" width="87.63"/>
    <col customWidth="1" min="3" max="3" width="20.13"/>
  </cols>
  <sheetData>
    <row r="1">
      <c r="A1" s="34" t="s">
        <v>742</v>
      </c>
    </row>
    <row r="2">
      <c r="A2" s="35"/>
      <c r="B2" s="35"/>
      <c r="C2" s="35"/>
    </row>
    <row r="3">
      <c r="A3" s="36" t="s">
        <v>743</v>
      </c>
      <c r="B3" s="37" t="s">
        <v>744</v>
      </c>
      <c r="C3" s="38"/>
    </row>
    <row r="4">
      <c r="A4" s="39" t="s">
        <v>6</v>
      </c>
      <c r="B4" s="40" t="s">
        <v>465</v>
      </c>
      <c r="C4" s="41"/>
    </row>
    <row r="5">
      <c r="A5" s="39" t="s">
        <v>745</v>
      </c>
      <c r="B5" s="42">
        <v>46155.0</v>
      </c>
      <c r="C5" s="41"/>
    </row>
    <row r="6">
      <c r="A6" s="39" t="s">
        <v>0</v>
      </c>
      <c r="B6" s="40" t="s">
        <v>399</v>
      </c>
      <c r="C6" s="41"/>
    </row>
    <row r="7">
      <c r="A7" s="39" t="s">
        <v>7</v>
      </c>
      <c r="B7" s="40" t="s">
        <v>35</v>
      </c>
      <c r="C7" s="41"/>
    </row>
    <row r="8">
      <c r="A8" s="39" t="s">
        <v>746</v>
      </c>
      <c r="B8" s="40">
        <v>2.0</v>
      </c>
      <c r="C8" s="41"/>
    </row>
    <row r="9">
      <c r="A9" s="43" t="s">
        <v>8</v>
      </c>
      <c r="B9" s="44" t="s">
        <v>466</v>
      </c>
      <c r="C9" s="45"/>
    </row>
    <row r="10">
      <c r="A10" s="35"/>
      <c r="B10" s="35"/>
      <c r="C10" s="35"/>
    </row>
    <row r="11">
      <c r="A11" s="34" t="s">
        <v>747</v>
      </c>
    </row>
    <row r="12">
      <c r="A12" s="35"/>
      <c r="B12" s="35"/>
      <c r="C12" s="35"/>
    </row>
    <row r="13">
      <c r="A13" s="46" t="s">
        <v>467</v>
      </c>
    </row>
    <row r="14">
      <c r="A14" s="35"/>
      <c r="B14" s="35"/>
      <c r="C14" s="35"/>
    </row>
    <row r="15">
      <c r="A15" s="34" t="s">
        <v>748</v>
      </c>
    </row>
    <row r="16">
      <c r="A16" s="35"/>
      <c r="B16" s="35"/>
      <c r="C16" s="35"/>
    </row>
    <row r="17">
      <c r="A17" s="36" t="s">
        <v>749</v>
      </c>
      <c r="B17" s="37" t="s">
        <v>750</v>
      </c>
      <c r="C17" s="47" t="s">
        <v>751</v>
      </c>
    </row>
    <row r="18">
      <c r="A18" s="39">
        <v>1.0</v>
      </c>
      <c r="B18" s="40" t="s">
        <v>3533</v>
      </c>
      <c r="C18" s="48" t="s">
        <v>1418</v>
      </c>
    </row>
    <row r="19">
      <c r="A19" s="39">
        <v>2.0</v>
      </c>
      <c r="B19" s="40" t="s">
        <v>3534</v>
      </c>
      <c r="C19" s="48" t="s">
        <v>1418</v>
      </c>
    </row>
    <row r="20">
      <c r="A20" s="39">
        <v>3.0</v>
      </c>
      <c r="B20" s="40" t="s">
        <v>3535</v>
      </c>
      <c r="C20" s="48" t="s">
        <v>3536</v>
      </c>
    </row>
    <row r="21">
      <c r="A21" s="43">
        <v>4.0</v>
      </c>
      <c r="B21" s="49" t="s">
        <v>3537</v>
      </c>
      <c r="C21" s="50" t="s">
        <v>753</v>
      </c>
    </row>
    <row r="22">
      <c r="A22" s="35"/>
      <c r="B22" s="35"/>
      <c r="C22" s="35"/>
    </row>
    <row r="23">
      <c r="A23" s="34" t="s">
        <v>756</v>
      </c>
    </row>
    <row r="24">
      <c r="A24" s="35"/>
      <c r="B24" s="35"/>
      <c r="C24" s="35"/>
    </row>
    <row r="25">
      <c r="A25" s="36" t="s">
        <v>749</v>
      </c>
      <c r="B25" s="37" t="s">
        <v>757</v>
      </c>
      <c r="C25" s="38"/>
    </row>
    <row r="26">
      <c r="A26" s="39">
        <v>1.0</v>
      </c>
      <c r="B26" s="40" t="s">
        <v>3538</v>
      </c>
      <c r="C26" s="41"/>
    </row>
    <row r="27">
      <c r="A27" s="39">
        <v>2.0</v>
      </c>
      <c r="B27" s="40" t="s">
        <v>3539</v>
      </c>
      <c r="C27" s="41"/>
    </row>
    <row r="28">
      <c r="A28" s="39">
        <v>3.0</v>
      </c>
      <c r="B28" s="40" t="s">
        <v>3540</v>
      </c>
      <c r="C28" s="41"/>
    </row>
    <row r="29">
      <c r="A29" s="43">
        <v>4.0</v>
      </c>
      <c r="B29" s="49" t="s">
        <v>3541</v>
      </c>
      <c r="C29" s="45"/>
    </row>
    <row r="30">
      <c r="A30" s="35"/>
      <c r="B30" s="35"/>
      <c r="C30" s="35"/>
    </row>
    <row r="31">
      <c r="A31" s="34" t="s">
        <v>760</v>
      </c>
    </row>
    <row r="32">
      <c r="A32" s="35"/>
      <c r="B32" s="35"/>
      <c r="C32" s="35"/>
    </row>
    <row r="33">
      <c r="A33" s="36" t="s">
        <v>749</v>
      </c>
      <c r="B33" s="37" t="s">
        <v>757</v>
      </c>
      <c r="C33" s="38"/>
    </row>
    <row r="34">
      <c r="A34" s="39">
        <v>1.0</v>
      </c>
      <c r="B34" s="40" t="s">
        <v>3542</v>
      </c>
      <c r="C34" s="41"/>
    </row>
    <row r="35">
      <c r="A35" s="43">
        <v>2.0</v>
      </c>
      <c r="B35" s="49" t="s">
        <v>3543</v>
      </c>
      <c r="C35" s="45"/>
    </row>
    <row r="36">
      <c r="A36" s="35"/>
      <c r="B36" s="35"/>
      <c r="C36" s="35"/>
    </row>
    <row r="37">
      <c r="A37" s="34" t="s">
        <v>763</v>
      </c>
    </row>
    <row r="38">
      <c r="A38" s="35"/>
      <c r="B38" s="35"/>
      <c r="C38" s="35"/>
    </row>
    <row r="39">
      <c r="A39" s="36" t="s">
        <v>749</v>
      </c>
      <c r="B39" s="37" t="s">
        <v>757</v>
      </c>
      <c r="C39" s="38"/>
    </row>
    <row r="40">
      <c r="A40" s="39">
        <v>1.0</v>
      </c>
      <c r="B40" s="40" t="s">
        <v>3544</v>
      </c>
      <c r="C40" s="41"/>
    </row>
    <row r="41">
      <c r="A41" s="39">
        <v>2.0</v>
      </c>
      <c r="B41" s="40" t="s">
        <v>3545</v>
      </c>
      <c r="C41" s="41"/>
    </row>
    <row r="42">
      <c r="A42" s="39">
        <v>3.0</v>
      </c>
      <c r="B42" s="40" t="s">
        <v>3546</v>
      </c>
      <c r="C42" s="41"/>
    </row>
    <row r="43">
      <c r="A43" s="39">
        <v>4.0</v>
      </c>
      <c r="B43" s="40" t="s">
        <v>3547</v>
      </c>
      <c r="C43" s="41"/>
    </row>
    <row r="44">
      <c r="A44" s="43">
        <v>5.0</v>
      </c>
      <c r="B44" s="49" t="s">
        <v>3548</v>
      </c>
      <c r="C44" s="45"/>
    </row>
  </sheetData>
  <mergeCells count="7">
    <mergeCell ref="A1:C1"/>
    <mergeCell ref="A11:C11"/>
    <mergeCell ref="A13:C13"/>
    <mergeCell ref="A15:C15"/>
    <mergeCell ref="A23:C23"/>
    <mergeCell ref="A31:C31"/>
    <mergeCell ref="A37:C37"/>
  </mergeCells>
  <hyperlinks>
    <hyperlink r:id="rId1" ref="B9"/>
  </hyperlinks>
  <drawing r:id="rId2"/>
</worksheet>
</file>

<file path=xl/worksheets/sheet10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2" max="2" width="87.63"/>
    <col customWidth="1" min="3" max="3" width="20.13"/>
  </cols>
  <sheetData>
    <row r="1">
      <c r="A1" s="34" t="s">
        <v>742</v>
      </c>
    </row>
    <row r="2">
      <c r="A2" s="35"/>
      <c r="B2" s="35"/>
      <c r="C2" s="35"/>
    </row>
    <row r="3">
      <c r="A3" s="36" t="s">
        <v>743</v>
      </c>
      <c r="B3" s="37" t="s">
        <v>744</v>
      </c>
      <c r="C3" s="38"/>
    </row>
    <row r="4">
      <c r="A4" s="39" t="s">
        <v>6</v>
      </c>
      <c r="B4" s="40" t="s">
        <v>472</v>
      </c>
      <c r="C4" s="41"/>
    </row>
    <row r="5">
      <c r="A5" s="39" t="s">
        <v>745</v>
      </c>
      <c r="B5" s="42">
        <v>46167.0</v>
      </c>
      <c r="C5" s="41"/>
    </row>
    <row r="6">
      <c r="A6" s="39" t="s">
        <v>0</v>
      </c>
      <c r="B6" s="40" t="s">
        <v>469</v>
      </c>
      <c r="C6" s="41"/>
    </row>
    <row r="7">
      <c r="A7" s="39" t="s">
        <v>7</v>
      </c>
      <c r="B7" s="40" t="s">
        <v>103</v>
      </c>
      <c r="C7" s="41"/>
    </row>
    <row r="8">
      <c r="A8" s="39" t="s">
        <v>746</v>
      </c>
      <c r="B8" s="40">
        <v>2.0</v>
      </c>
      <c r="C8" s="41"/>
    </row>
    <row r="9">
      <c r="A9" s="43" t="s">
        <v>8</v>
      </c>
      <c r="B9" s="44" t="s">
        <v>473</v>
      </c>
      <c r="C9" s="45"/>
    </row>
    <row r="10">
      <c r="A10" s="35"/>
      <c r="B10" s="35"/>
      <c r="C10" s="35"/>
    </row>
    <row r="11">
      <c r="A11" s="34" t="s">
        <v>747</v>
      </c>
    </row>
    <row r="12">
      <c r="A12" s="35"/>
      <c r="B12" s="35"/>
      <c r="C12" s="35"/>
    </row>
    <row r="13">
      <c r="A13" s="46" t="s">
        <v>474</v>
      </c>
    </row>
    <row r="14">
      <c r="A14" s="35"/>
      <c r="B14" s="35"/>
      <c r="C14" s="35"/>
    </row>
    <row r="15">
      <c r="A15" s="34" t="s">
        <v>748</v>
      </c>
    </row>
    <row r="16">
      <c r="A16" s="35"/>
      <c r="B16" s="35"/>
      <c r="C16" s="35"/>
    </row>
    <row r="17">
      <c r="A17" s="36" t="s">
        <v>749</v>
      </c>
      <c r="B17" s="37" t="s">
        <v>750</v>
      </c>
      <c r="C17" s="47" t="s">
        <v>751</v>
      </c>
    </row>
    <row r="18">
      <c r="A18" s="39">
        <v>1.0</v>
      </c>
      <c r="B18" s="40" t="s">
        <v>3549</v>
      </c>
      <c r="C18" s="48" t="s">
        <v>753</v>
      </c>
    </row>
    <row r="19">
      <c r="A19" s="39">
        <v>2.0</v>
      </c>
      <c r="B19" s="40" t="s">
        <v>3550</v>
      </c>
      <c r="C19" s="48" t="s">
        <v>753</v>
      </c>
    </row>
    <row r="20">
      <c r="A20" s="39">
        <v>3.0</v>
      </c>
      <c r="B20" s="40" t="s">
        <v>3551</v>
      </c>
      <c r="C20" s="48" t="s">
        <v>753</v>
      </c>
    </row>
    <row r="21">
      <c r="A21" s="39">
        <v>4.0</v>
      </c>
      <c r="B21" s="40" t="s">
        <v>3552</v>
      </c>
      <c r="C21" s="48" t="s">
        <v>753</v>
      </c>
    </row>
    <row r="22">
      <c r="A22" s="39">
        <v>5.0</v>
      </c>
      <c r="B22" s="40" t="s">
        <v>3553</v>
      </c>
      <c r="C22" s="48" t="s">
        <v>753</v>
      </c>
    </row>
    <row r="23">
      <c r="A23" s="39">
        <v>6.0</v>
      </c>
      <c r="B23" s="40" t="s">
        <v>3554</v>
      </c>
      <c r="C23" s="48" t="s">
        <v>753</v>
      </c>
    </row>
    <row r="24">
      <c r="A24" s="43">
        <v>7.0</v>
      </c>
      <c r="B24" s="49" t="s">
        <v>3555</v>
      </c>
      <c r="C24" s="50" t="s">
        <v>753</v>
      </c>
    </row>
    <row r="25">
      <c r="A25" s="35"/>
      <c r="B25" s="35"/>
      <c r="C25" s="35"/>
    </row>
    <row r="26">
      <c r="A26" s="34" t="s">
        <v>756</v>
      </c>
    </row>
    <row r="27">
      <c r="A27" s="35"/>
      <c r="B27" s="35"/>
      <c r="C27" s="35"/>
    </row>
    <row r="28">
      <c r="A28" s="36" t="s">
        <v>749</v>
      </c>
      <c r="B28" s="37" t="s">
        <v>757</v>
      </c>
      <c r="C28" s="38"/>
    </row>
    <row r="29">
      <c r="A29" s="39">
        <v>1.0</v>
      </c>
      <c r="B29" s="40" t="s">
        <v>3556</v>
      </c>
      <c r="C29" s="41"/>
    </row>
    <row r="30">
      <c r="A30" s="39">
        <v>2.0</v>
      </c>
      <c r="B30" s="40" t="s">
        <v>3557</v>
      </c>
      <c r="C30" s="41"/>
    </row>
    <row r="31">
      <c r="A31" s="39">
        <v>3.0</v>
      </c>
      <c r="B31" s="40" t="s">
        <v>3558</v>
      </c>
      <c r="C31" s="41"/>
    </row>
    <row r="32">
      <c r="A32" s="43">
        <v>4.0</v>
      </c>
      <c r="B32" s="49" t="s">
        <v>3559</v>
      </c>
      <c r="C32" s="45"/>
    </row>
    <row r="33">
      <c r="A33" s="35"/>
      <c r="B33" s="35"/>
      <c r="C33" s="35"/>
    </row>
    <row r="34">
      <c r="A34" s="34" t="s">
        <v>760</v>
      </c>
    </row>
    <row r="35">
      <c r="A35" s="35"/>
      <c r="B35" s="35"/>
      <c r="C35" s="35"/>
    </row>
    <row r="36">
      <c r="A36" s="36" t="s">
        <v>749</v>
      </c>
      <c r="B36" s="37" t="s">
        <v>757</v>
      </c>
      <c r="C36" s="38"/>
    </row>
    <row r="37">
      <c r="A37" s="39">
        <v>1.0</v>
      </c>
      <c r="B37" s="40" t="s">
        <v>3560</v>
      </c>
      <c r="C37" s="41"/>
    </row>
    <row r="38">
      <c r="A38" s="43">
        <v>2.0</v>
      </c>
      <c r="B38" s="49" t="s">
        <v>3561</v>
      </c>
      <c r="C38" s="45"/>
    </row>
    <row r="39">
      <c r="A39" s="35"/>
      <c r="B39" s="35"/>
      <c r="C39" s="35"/>
    </row>
    <row r="40">
      <c r="A40" s="34" t="s">
        <v>763</v>
      </c>
    </row>
    <row r="41">
      <c r="A41" s="35"/>
      <c r="B41" s="35"/>
      <c r="C41" s="35"/>
    </row>
    <row r="42">
      <c r="A42" s="36" t="s">
        <v>749</v>
      </c>
      <c r="B42" s="37" t="s">
        <v>757</v>
      </c>
      <c r="C42" s="38"/>
    </row>
    <row r="43">
      <c r="A43" s="39">
        <v>1.0</v>
      </c>
      <c r="B43" s="40" t="s">
        <v>3562</v>
      </c>
      <c r="C43" s="41"/>
    </row>
    <row r="44">
      <c r="A44" s="39">
        <v>2.0</v>
      </c>
      <c r="B44" s="40" t="s">
        <v>3563</v>
      </c>
      <c r="C44" s="41"/>
    </row>
    <row r="45">
      <c r="A45" s="43">
        <v>3.0</v>
      </c>
      <c r="B45" s="49" t="s">
        <v>3564</v>
      </c>
      <c r="C45" s="45"/>
    </row>
  </sheetData>
  <mergeCells count="7">
    <mergeCell ref="A1:C1"/>
    <mergeCell ref="A11:C11"/>
    <mergeCell ref="A13:C13"/>
    <mergeCell ref="A15:C15"/>
    <mergeCell ref="A26:C26"/>
    <mergeCell ref="A34:C34"/>
    <mergeCell ref="A40:C40"/>
  </mergeCells>
  <hyperlinks>
    <hyperlink r:id="rId1" ref="B9"/>
  </hyperlinks>
  <drawing r:id="rId2"/>
</worksheet>
</file>

<file path=xl/worksheets/sheet10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2" max="2" width="87.63"/>
    <col customWidth="1" min="3" max="3" width="20.13"/>
  </cols>
  <sheetData>
    <row r="1">
      <c r="A1" s="34" t="s">
        <v>742</v>
      </c>
    </row>
    <row r="2">
      <c r="A2" s="35"/>
      <c r="B2" s="35"/>
      <c r="C2" s="35"/>
    </row>
    <row r="3">
      <c r="A3" s="36" t="s">
        <v>743</v>
      </c>
      <c r="B3" s="37" t="s">
        <v>744</v>
      </c>
      <c r="C3" s="38"/>
    </row>
    <row r="4">
      <c r="A4" s="39" t="s">
        <v>6</v>
      </c>
      <c r="B4" s="40" t="s">
        <v>477</v>
      </c>
      <c r="C4" s="41"/>
    </row>
    <row r="5">
      <c r="A5" s="39" t="s">
        <v>745</v>
      </c>
      <c r="B5" s="42">
        <v>46167.0</v>
      </c>
      <c r="C5" s="41"/>
    </row>
    <row r="6">
      <c r="A6" s="39" t="s">
        <v>0</v>
      </c>
      <c r="B6" s="40" t="s">
        <v>469</v>
      </c>
      <c r="C6" s="41"/>
    </row>
    <row r="7">
      <c r="A7" s="39" t="s">
        <v>7</v>
      </c>
      <c r="B7" s="40" t="s">
        <v>478</v>
      </c>
      <c r="C7" s="41"/>
    </row>
    <row r="8">
      <c r="A8" s="39" t="s">
        <v>746</v>
      </c>
      <c r="B8" s="40">
        <v>4.0</v>
      </c>
      <c r="C8" s="41"/>
    </row>
    <row r="9">
      <c r="A9" s="43" t="s">
        <v>8</v>
      </c>
      <c r="B9" s="44" t="s">
        <v>479</v>
      </c>
      <c r="C9" s="45"/>
    </row>
    <row r="10">
      <c r="A10" s="35"/>
      <c r="B10" s="35"/>
      <c r="C10" s="35"/>
    </row>
    <row r="11">
      <c r="A11" s="34" t="s">
        <v>747</v>
      </c>
    </row>
    <row r="12">
      <c r="A12" s="35"/>
      <c r="B12" s="35"/>
      <c r="C12" s="35"/>
    </row>
    <row r="13">
      <c r="A13" s="46" t="s">
        <v>3565</v>
      </c>
    </row>
    <row r="14">
      <c r="A14" s="35"/>
      <c r="B14" s="35"/>
      <c r="C14" s="35"/>
    </row>
    <row r="15">
      <c r="A15" s="34" t="s">
        <v>748</v>
      </c>
    </row>
    <row r="16">
      <c r="A16" s="35"/>
      <c r="B16" s="35"/>
      <c r="C16" s="35"/>
    </row>
    <row r="17">
      <c r="A17" s="36" t="s">
        <v>749</v>
      </c>
      <c r="B17" s="37" t="s">
        <v>750</v>
      </c>
      <c r="C17" s="47" t="s">
        <v>751</v>
      </c>
    </row>
    <row r="18">
      <c r="A18" s="39">
        <v>1.0</v>
      </c>
      <c r="B18" s="40" t="s">
        <v>3566</v>
      </c>
      <c r="C18" s="48" t="s">
        <v>3567</v>
      </c>
    </row>
    <row r="19">
      <c r="A19" s="39">
        <v>2.0</v>
      </c>
      <c r="B19" s="40" t="s">
        <v>3568</v>
      </c>
      <c r="C19" s="48" t="s">
        <v>3567</v>
      </c>
    </row>
    <row r="20">
      <c r="A20" s="39">
        <v>3.0</v>
      </c>
      <c r="B20" s="40" t="s">
        <v>3569</v>
      </c>
      <c r="C20" s="75">
        <v>46167.0</v>
      </c>
    </row>
    <row r="21">
      <c r="A21" s="39">
        <v>4.0</v>
      </c>
      <c r="B21" s="40" t="s">
        <v>3570</v>
      </c>
      <c r="C21" s="48" t="s">
        <v>3571</v>
      </c>
    </row>
    <row r="22">
      <c r="A22" s="39">
        <v>5.0</v>
      </c>
      <c r="B22" s="40" t="s">
        <v>3572</v>
      </c>
      <c r="C22" s="48" t="s">
        <v>3573</v>
      </c>
    </row>
    <row r="23">
      <c r="A23" s="39">
        <v>6.0</v>
      </c>
      <c r="B23" s="40" t="s">
        <v>3574</v>
      </c>
      <c r="C23" s="75">
        <v>46168.0</v>
      </c>
    </row>
    <row r="24">
      <c r="A24" s="39">
        <v>7.0</v>
      </c>
      <c r="B24" s="40" t="s">
        <v>3575</v>
      </c>
      <c r="C24" s="48" t="s">
        <v>3576</v>
      </c>
    </row>
    <row r="25">
      <c r="A25" s="39">
        <v>8.0</v>
      </c>
      <c r="B25" s="40" t="s">
        <v>3577</v>
      </c>
      <c r="C25" s="48" t="s">
        <v>3571</v>
      </c>
    </row>
    <row r="26">
      <c r="A26" s="43">
        <v>9.0</v>
      </c>
      <c r="B26" s="49" t="s">
        <v>3578</v>
      </c>
      <c r="C26" s="80">
        <v>46167.0</v>
      </c>
    </row>
    <row r="27">
      <c r="A27" s="35"/>
      <c r="B27" s="35"/>
      <c r="C27" s="35"/>
    </row>
    <row r="28">
      <c r="A28" s="34" t="s">
        <v>756</v>
      </c>
    </row>
    <row r="29">
      <c r="A29" s="35"/>
      <c r="B29" s="35"/>
      <c r="C29" s="35"/>
    </row>
    <row r="30">
      <c r="A30" s="36" t="s">
        <v>749</v>
      </c>
      <c r="B30" s="37" t="s">
        <v>757</v>
      </c>
      <c r="C30" s="38"/>
    </row>
    <row r="31">
      <c r="A31" s="39">
        <v>1.0</v>
      </c>
      <c r="B31" s="40" t="s">
        <v>3579</v>
      </c>
      <c r="C31" s="41"/>
    </row>
    <row r="32">
      <c r="A32" s="39">
        <v>2.0</v>
      </c>
      <c r="B32" s="40" t="s">
        <v>3580</v>
      </c>
      <c r="C32" s="41"/>
    </row>
    <row r="33">
      <c r="A33" s="39">
        <v>3.0</v>
      </c>
      <c r="B33" s="40" t="s">
        <v>3581</v>
      </c>
      <c r="C33" s="41"/>
    </row>
    <row r="34">
      <c r="A34" s="39">
        <v>4.0</v>
      </c>
      <c r="B34" s="40" t="s">
        <v>3582</v>
      </c>
      <c r="C34" s="41"/>
    </row>
    <row r="35">
      <c r="A35" s="43">
        <v>5.0</v>
      </c>
      <c r="B35" s="49" t="s">
        <v>3583</v>
      </c>
      <c r="C35" s="45"/>
    </row>
    <row r="36">
      <c r="A36" s="35"/>
      <c r="B36" s="35"/>
      <c r="C36" s="35"/>
    </row>
    <row r="37">
      <c r="A37" s="34" t="s">
        <v>760</v>
      </c>
    </row>
    <row r="38">
      <c r="A38" s="35"/>
      <c r="B38" s="35"/>
      <c r="C38" s="35"/>
    </row>
    <row r="39">
      <c r="A39" s="36" t="s">
        <v>749</v>
      </c>
      <c r="B39" s="37" t="s">
        <v>757</v>
      </c>
      <c r="C39" s="38"/>
    </row>
    <row r="40">
      <c r="A40" s="39">
        <v>1.0</v>
      </c>
      <c r="B40" s="40" t="s">
        <v>3584</v>
      </c>
      <c r="C40" s="41"/>
    </row>
    <row r="41">
      <c r="A41" s="39">
        <v>2.0</v>
      </c>
      <c r="B41" s="40" t="s">
        <v>3585</v>
      </c>
      <c r="C41" s="41"/>
    </row>
    <row r="42">
      <c r="A42" s="39">
        <v>3.0</v>
      </c>
      <c r="B42" s="40" t="s">
        <v>3586</v>
      </c>
      <c r="C42" s="41"/>
    </row>
    <row r="43">
      <c r="A43" s="39">
        <v>4.0</v>
      </c>
      <c r="B43" s="40" t="s">
        <v>3587</v>
      </c>
      <c r="C43" s="41"/>
    </row>
    <row r="44">
      <c r="A44" s="43">
        <v>5.0</v>
      </c>
      <c r="B44" s="49" t="s">
        <v>3588</v>
      </c>
      <c r="C44" s="45"/>
    </row>
    <row r="45">
      <c r="A45" s="35"/>
      <c r="B45" s="35"/>
      <c r="C45" s="35"/>
    </row>
    <row r="46">
      <c r="A46" s="34" t="s">
        <v>763</v>
      </c>
    </row>
    <row r="47">
      <c r="A47" s="35"/>
      <c r="B47" s="35"/>
      <c r="C47" s="35"/>
    </row>
    <row r="48">
      <c r="A48" s="36" t="s">
        <v>749</v>
      </c>
      <c r="B48" s="37" t="s">
        <v>757</v>
      </c>
      <c r="C48" s="38"/>
    </row>
    <row r="49">
      <c r="A49" s="39">
        <v>1.0</v>
      </c>
      <c r="B49" s="40" t="s">
        <v>3589</v>
      </c>
      <c r="C49" s="41"/>
    </row>
    <row r="50">
      <c r="A50" s="39">
        <v>2.0</v>
      </c>
      <c r="B50" s="40" t="s">
        <v>3590</v>
      </c>
      <c r="C50" s="41"/>
    </row>
    <row r="51">
      <c r="A51" s="39">
        <v>3.0</v>
      </c>
      <c r="B51" s="40" t="s">
        <v>3591</v>
      </c>
      <c r="C51" s="41"/>
    </row>
    <row r="52">
      <c r="A52" s="39">
        <v>4.0</v>
      </c>
      <c r="B52" s="40" t="s">
        <v>3592</v>
      </c>
      <c r="C52" s="41"/>
    </row>
    <row r="53">
      <c r="A53" s="39">
        <v>5.0</v>
      </c>
      <c r="B53" s="40" t="s">
        <v>3593</v>
      </c>
      <c r="C53" s="41"/>
    </row>
    <row r="54">
      <c r="A54" s="39">
        <v>6.0</v>
      </c>
      <c r="B54" s="40" t="s">
        <v>3594</v>
      </c>
      <c r="C54" s="41"/>
    </row>
    <row r="55">
      <c r="A55" s="43">
        <v>7.0</v>
      </c>
      <c r="B55" s="49" t="s">
        <v>3595</v>
      </c>
      <c r="C55" s="45"/>
    </row>
  </sheetData>
  <mergeCells count="7">
    <mergeCell ref="A1:C1"/>
    <mergeCell ref="A11:C11"/>
    <mergeCell ref="A13:C13"/>
    <mergeCell ref="A15:C15"/>
    <mergeCell ref="A28:C28"/>
    <mergeCell ref="A37:C37"/>
    <mergeCell ref="A46:C46"/>
  </mergeCells>
  <hyperlinks>
    <hyperlink r:id="rId1" ref="B9"/>
  </hyperlinks>
  <drawing r:id="rId2"/>
</worksheet>
</file>

<file path=xl/worksheets/sheet10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2" max="2" width="87.63"/>
    <col customWidth="1" min="3" max="3" width="20.13"/>
  </cols>
  <sheetData>
    <row r="1">
      <c r="A1" s="34" t="s">
        <v>742</v>
      </c>
    </row>
    <row r="2">
      <c r="A2" s="35"/>
      <c r="B2" s="35"/>
      <c r="C2" s="35"/>
    </row>
    <row r="3">
      <c r="A3" s="36" t="s">
        <v>743</v>
      </c>
      <c r="B3" s="37" t="s">
        <v>744</v>
      </c>
      <c r="C3" s="38"/>
    </row>
    <row r="4">
      <c r="A4" s="39" t="s">
        <v>6</v>
      </c>
      <c r="B4" s="40" t="s">
        <v>484</v>
      </c>
      <c r="C4" s="41"/>
    </row>
    <row r="5">
      <c r="A5" s="39" t="s">
        <v>745</v>
      </c>
      <c r="B5" s="42">
        <v>46167.0</v>
      </c>
      <c r="C5" s="41"/>
    </row>
    <row r="6">
      <c r="A6" s="39" t="s">
        <v>0</v>
      </c>
      <c r="B6" s="40" t="s">
        <v>469</v>
      </c>
      <c r="C6" s="41"/>
    </row>
    <row r="7">
      <c r="A7" s="39" t="s">
        <v>7</v>
      </c>
      <c r="B7" s="40" t="s">
        <v>139</v>
      </c>
      <c r="C7" s="41"/>
    </row>
    <row r="8">
      <c r="A8" s="39" t="s">
        <v>746</v>
      </c>
      <c r="B8" s="40">
        <v>4.0</v>
      </c>
      <c r="C8" s="41"/>
    </row>
    <row r="9">
      <c r="A9" s="43" t="s">
        <v>8</v>
      </c>
      <c r="B9" s="44" t="s">
        <v>485</v>
      </c>
      <c r="C9" s="45"/>
    </row>
    <row r="10">
      <c r="A10" s="35"/>
      <c r="B10" s="35"/>
      <c r="C10" s="35"/>
    </row>
    <row r="11">
      <c r="A11" s="34" t="s">
        <v>747</v>
      </c>
    </row>
    <row r="12">
      <c r="A12" s="35"/>
      <c r="B12" s="35"/>
      <c r="C12" s="35"/>
    </row>
    <row r="13">
      <c r="A13" s="46" t="s">
        <v>3596</v>
      </c>
    </row>
    <row r="14">
      <c r="A14" s="35"/>
      <c r="B14" s="35"/>
      <c r="C14" s="35"/>
    </row>
    <row r="15">
      <c r="A15" s="34" t="s">
        <v>748</v>
      </c>
    </row>
    <row r="16">
      <c r="A16" s="35"/>
      <c r="B16" s="35"/>
      <c r="C16" s="35"/>
    </row>
    <row r="17">
      <c r="A17" s="36" t="s">
        <v>749</v>
      </c>
      <c r="B17" s="37" t="s">
        <v>750</v>
      </c>
      <c r="C17" s="47" t="s">
        <v>751</v>
      </c>
    </row>
    <row r="18">
      <c r="A18" s="39">
        <v>1.0</v>
      </c>
      <c r="B18" s="40" t="s">
        <v>3597</v>
      </c>
      <c r="C18" s="48" t="s">
        <v>753</v>
      </c>
    </row>
    <row r="19">
      <c r="A19" s="39">
        <v>2.0</v>
      </c>
      <c r="B19" s="40" t="s">
        <v>3598</v>
      </c>
      <c r="C19" s="48" t="s">
        <v>753</v>
      </c>
    </row>
    <row r="20">
      <c r="A20" s="39">
        <v>3.0</v>
      </c>
      <c r="B20" s="40" t="s">
        <v>3599</v>
      </c>
      <c r="C20" s="48" t="s">
        <v>753</v>
      </c>
    </row>
    <row r="21">
      <c r="A21" s="39">
        <v>4.0</v>
      </c>
      <c r="B21" s="40" t="s">
        <v>3600</v>
      </c>
      <c r="C21" s="48" t="s">
        <v>753</v>
      </c>
    </row>
    <row r="22">
      <c r="A22" s="39">
        <v>5.0</v>
      </c>
      <c r="B22" s="40" t="s">
        <v>3601</v>
      </c>
      <c r="C22" s="48" t="s">
        <v>753</v>
      </c>
    </row>
    <row r="23">
      <c r="A23" s="39">
        <v>6.0</v>
      </c>
      <c r="B23" s="40" t="s">
        <v>3602</v>
      </c>
      <c r="C23" s="48" t="s">
        <v>753</v>
      </c>
    </row>
    <row r="24">
      <c r="A24" s="39">
        <v>7.0</v>
      </c>
      <c r="B24" s="40" t="s">
        <v>3603</v>
      </c>
      <c r="C24" s="48" t="s">
        <v>753</v>
      </c>
    </row>
    <row r="25">
      <c r="A25" s="43">
        <v>8.0</v>
      </c>
      <c r="B25" s="49" t="s">
        <v>3604</v>
      </c>
      <c r="C25" s="50" t="s">
        <v>753</v>
      </c>
    </row>
    <row r="26">
      <c r="A26" s="35"/>
      <c r="B26" s="35"/>
      <c r="C26" s="35"/>
    </row>
    <row r="27">
      <c r="A27" s="34" t="s">
        <v>756</v>
      </c>
    </row>
    <row r="28">
      <c r="A28" s="35"/>
      <c r="B28" s="35"/>
      <c r="C28" s="35"/>
    </row>
    <row r="29">
      <c r="A29" s="36" t="s">
        <v>749</v>
      </c>
      <c r="B29" s="37" t="s">
        <v>757</v>
      </c>
      <c r="C29" s="38"/>
    </row>
    <row r="30">
      <c r="A30" s="39">
        <v>1.0</v>
      </c>
      <c r="B30" s="40" t="s">
        <v>3605</v>
      </c>
      <c r="C30" s="41"/>
    </row>
    <row r="31">
      <c r="A31" s="39">
        <v>2.0</v>
      </c>
      <c r="B31" s="40" t="s">
        <v>3606</v>
      </c>
      <c r="C31" s="41"/>
    </row>
    <row r="32">
      <c r="A32" s="43">
        <v>3.0</v>
      </c>
      <c r="B32" s="49" t="s">
        <v>3607</v>
      </c>
      <c r="C32" s="45"/>
    </row>
    <row r="33">
      <c r="A33" s="35"/>
      <c r="B33" s="35"/>
      <c r="C33" s="35"/>
    </row>
    <row r="34">
      <c r="A34" s="34" t="s">
        <v>760</v>
      </c>
    </row>
    <row r="35">
      <c r="A35" s="35"/>
      <c r="B35" s="35"/>
      <c r="C35" s="35"/>
    </row>
    <row r="36">
      <c r="A36" s="36" t="s">
        <v>749</v>
      </c>
      <c r="B36" s="37" t="s">
        <v>757</v>
      </c>
      <c r="C36" s="38"/>
    </row>
    <row r="37">
      <c r="A37" s="39">
        <v>1.0</v>
      </c>
      <c r="B37" s="40" t="s">
        <v>3608</v>
      </c>
      <c r="C37" s="41"/>
    </row>
    <row r="38">
      <c r="A38" s="39">
        <v>2.0</v>
      </c>
      <c r="B38" s="40" t="s">
        <v>3609</v>
      </c>
      <c r="C38" s="41"/>
    </row>
    <row r="39">
      <c r="A39" s="39">
        <v>3.0</v>
      </c>
      <c r="B39" s="40" t="s">
        <v>3610</v>
      </c>
      <c r="C39" s="41"/>
    </row>
    <row r="40">
      <c r="A40" s="43">
        <v>4.0</v>
      </c>
      <c r="B40" s="49" t="s">
        <v>3611</v>
      </c>
      <c r="C40" s="45"/>
    </row>
    <row r="41">
      <c r="A41" s="35"/>
      <c r="B41" s="35"/>
      <c r="C41" s="35"/>
    </row>
    <row r="42">
      <c r="A42" s="34" t="s">
        <v>763</v>
      </c>
    </row>
    <row r="43">
      <c r="A43" s="35"/>
      <c r="B43" s="35"/>
      <c r="C43" s="35"/>
    </row>
    <row r="44">
      <c r="A44" s="36" t="s">
        <v>749</v>
      </c>
      <c r="B44" s="37" t="s">
        <v>757</v>
      </c>
      <c r="C44" s="38"/>
    </row>
    <row r="45">
      <c r="A45" s="39">
        <v>1.0</v>
      </c>
      <c r="B45" s="40" t="s">
        <v>3612</v>
      </c>
      <c r="C45" s="41"/>
    </row>
    <row r="46">
      <c r="A46" s="39">
        <v>2.0</v>
      </c>
      <c r="B46" s="40" t="s">
        <v>3613</v>
      </c>
      <c r="C46" s="41"/>
    </row>
    <row r="47">
      <c r="A47" s="39">
        <v>3.0</v>
      </c>
      <c r="B47" s="40" t="s">
        <v>3614</v>
      </c>
      <c r="C47" s="41"/>
    </row>
    <row r="48">
      <c r="A48" s="39">
        <v>4.0</v>
      </c>
      <c r="B48" s="40" t="s">
        <v>3615</v>
      </c>
      <c r="C48" s="41"/>
    </row>
    <row r="49">
      <c r="A49" s="43">
        <v>5.0</v>
      </c>
      <c r="B49" s="49" t="s">
        <v>3616</v>
      </c>
      <c r="C49" s="45"/>
    </row>
  </sheetData>
  <mergeCells count="7">
    <mergeCell ref="A1:C1"/>
    <mergeCell ref="A11:C11"/>
    <mergeCell ref="A13:C13"/>
    <mergeCell ref="A15:C15"/>
    <mergeCell ref="A27:C27"/>
    <mergeCell ref="A34:C34"/>
    <mergeCell ref="A42:C42"/>
  </mergeCells>
  <hyperlinks>
    <hyperlink r:id="rId1" ref="B9"/>
  </hyperlinks>
  <drawing r:id="rId2"/>
</worksheet>
</file>

<file path=xl/worksheets/sheet10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2" max="2" width="87.63"/>
    <col customWidth="1" min="3" max="3" width="20.13"/>
  </cols>
  <sheetData>
    <row r="1">
      <c r="A1" s="34" t="s">
        <v>742</v>
      </c>
    </row>
    <row r="2">
      <c r="A2" s="35"/>
      <c r="B2" s="35"/>
      <c r="C2" s="35"/>
    </row>
    <row r="3">
      <c r="A3" s="36" t="s">
        <v>743</v>
      </c>
      <c r="B3" s="37" t="s">
        <v>744</v>
      </c>
      <c r="C3" s="38"/>
    </row>
    <row r="4">
      <c r="A4" s="39" t="s">
        <v>6</v>
      </c>
      <c r="B4" s="40" t="s">
        <v>489</v>
      </c>
      <c r="C4" s="41"/>
    </row>
    <row r="5">
      <c r="A5" s="39" t="s">
        <v>745</v>
      </c>
      <c r="B5" s="42">
        <v>46167.0</v>
      </c>
      <c r="C5" s="41"/>
    </row>
    <row r="6">
      <c r="A6" s="39" t="s">
        <v>0</v>
      </c>
      <c r="B6" s="40" t="s">
        <v>469</v>
      </c>
      <c r="C6" s="41"/>
    </row>
    <row r="7">
      <c r="A7" s="39" t="s">
        <v>7</v>
      </c>
      <c r="B7" s="40" t="s">
        <v>45</v>
      </c>
      <c r="C7" s="41"/>
    </row>
    <row r="8">
      <c r="A8" s="39" t="s">
        <v>746</v>
      </c>
      <c r="B8" s="40">
        <v>1.0</v>
      </c>
      <c r="C8" s="41"/>
    </row>
    <row r="9">
      <c r="A9" s="43" t="s">
        <v>8</v>
      </c>
      <c r="B9" s="44" t="s">
        <v>490</v>
      </c>
      <c r="C9" s="45"/>
    </row>
    <row r="10">
      <c r="A10" s="35"/>
      <c r="B10" s="35"/>
      <c r="C10" s="35"/>
    </row>
    <row r="11">
      <c r="A11" s="34" t="s">
        <v>747</v>
      </c>
    </row>
    <row r="12">
      <c r="A12" s="35"/>
      <c r="B12" s="35"/>
      <c r="C12" s="35"/>
    </row>
    <row r="13">
      <c r="A13" s="46" t="s">
        <v>491</v>
      </c>
    </row>
    <row r="14">
      <c r="A14" s="35"/>
      <c r="B14" s="35"/>
      <c r="C14" s="35"/>
    </row>
    <row r="15">
      <c r="A15" s="34" t="s">
        <v>748</v>
      </c>
    </row>
    <row r="16">
      <c r="A16" s="35"/>
      <c r="B16" s="35"/>
      <c r="C16" s="35"/>
    </row>
    <row r="17">
      <c r="A17" s="36" t="s">
        <v>749</v>
      </c>
      <c r="B17" s="37" t="s">
        <v>750</v>
      </c>
      <c r="C17" s="47" t="s">
        <v>751</v>
      </c>
    </row>
    <row r="18">
      <c r="A18" s="39">
        <v>1.0</v>
      </c>
      <c r="B18" s="40" t="s">
        <v>3617</v>
      </c>
      <c r="C18" s="48" t="s">
        <v>1418</v>
      </c>
    </row>
    <row r="19">
      <c r="A19" s="39">
        <v>2.0</v>
      </c>
      <c r="B19" s="40" t="s">
        <v>3618</v>
      </c>
      <c r="C19" s="48" t="s">
        <v>1418</v>
      </c>
    </row>
    <row r="20">
      <c r="A20" s="39">
        <v>3.0</v>
      </c>
      <c r="B20" s="40" t="s">
        <v>3619</v>
      </c>
      <c r="C20" s="48" t="s">
        <v>1418</v>
      </c>
    </row>
    <row r="21">
      <c r="A21" s="39">
        <v>4.0</v>
      </c>
      <c r="B21" s="40" t="s">
        <v>3620</v>
      </c>
      <c r="C21" s="48" t="s">
        <v>1418</v>
      </c>
    </row>
    <row r="22">
      <c r="A22" s="39">
        <v>5.0</v>
      </c>
      <c r="B22" s="40" t="s">
        <v>3621</v>
      </c>
      <c r="C22" s="48" t="s">
        <v>1418</v>
      </c>
    </row>
    <row r="23">
      <c r="A23" s="43">
        <v>6.0</v>
      </c>
      <c r="B23" s="49" t="s">
        <v>3622</v>
      </c>
      <c r="C23" s="50" t="s">
        <v>3623</v>
      </c>
    </row>
    <row r="24">
      <c r="A24" s="35"/>
      <c r="B24" s="35"/>
      <c r="C24" s="35"/>
    </row>
    <row r="25">
      <c r="A25" s="34" t="s">
        <v>756</v>
      </c>
    </row>
    <row r="26">
      <c r="A26" s="35"/>
      <c r="B26" s="35"/>
      <c r="C26" s="35"/>
    </row>
    <row r="27">
      <c r="A27" s="36" t="s">
        <v>749</v>
      </c>
      <c r="B27" s="37" t="s">
        <v>757</v>
      </c>
      <c r="C27" s="38"/>
    </row>
    <row r="28">
      <c r="A28" s="39">
        <v>1.0</v>
      </c>
      <c r="B28" s="40" t="s">
        <v>3624</v>
      </c>
      <c r="C28" s="41"/>
    </row>
    <row r="29">
      <c r="A29" s="39">
        <v>2.0</v>
      </c>
      <c r="B29" s="40" t="s">
        <v>3625</v>
      </c>
      <c r="C29" s="41"/>
    </row>
    <row r="30">
      <c r="A30" s="43">
        <v>3.0</v>
      </c>
      <c r="B30" s="49" t="s">
        <v>3626</v>
      </c>
      <c r="C30" s="45"/>
    </row>
    <row r="31">
      <c r="A31" s="35"/>
      <c r="B31" s="35"/>
      <c r="C31" s="35"/>
    </row>
    <row r="32">
      <c r="A32" s="34" t="s">
        <v>760</v>
      </c>
    </row>
    <row r="33">
      <c r="A33" s="35"/>
      <c r="B33" s="35"/>
      <c r="C33" s="35"/>
    </row>
    <row r="34">
      <c r="A34" s="36" t="s">
        <v>749</v>
      </c>
      <c r="B34" s="37" t="s">
        <v>757</v>
      </c>
      <c r="C34" s="38"/>
    </row>
    <row r="35">
      <c r="A35" s="39">
        <v>1.0</v>
      </c>
      <c r="B35" s="40" t="s">
        <v>3627</v>
      </c>
      <c r="C35" s="41"/>
    </row>
    <row r="36">
      <c r="A36" s="39">
        <v>2.0</v>
      </c>
      <c r="B36" s="40" t="s">
        <v>3628</v>
      </c>
      <c r="C36" s="41"/>
    </row>
    <row r="37">
      <c r="A37" s="43">
        <v>3.0</v>
      </c>
      <c r="B37" s="49" t="s">
        <v>3629</v>
      </c>
      <c r="C37" s="45"/>
    </row>
    <row r="38">
      <c r="A38" s="35"/>
      <c r="B38" s="35"/>
      <c r="C38" s="35"/>
    </row>
    <row r="39">
      <c r="A39" s="34" t="s">
        <v>763</v>
      </c>
    </row>
    <row r="40">
      <c r="A40" s="35"/>
      <c r="B40" s="35"/>
      <c r="C40" s="35"/>
    </row>
    <row r="41">
      <c r="A41" s="36" t="s">
        <v>749</v>
      </c>
      <c r="B41" s="37" t="s">
        <v>757</v>
      </c>
      <c r="C41" s="38"/>
    </row>
    <row r="42">
      <c r="A42" s="39">
        <v>1.0</v>
      </c>
      <c r="B42" s="40" t="s">
        <v>3630</v>
      </c>
      <c r="C42" s="41"/>
    </row>
    <row r="43">
      <c r="A43" s="39">
        <v>2.0</v>
      </c>
      <c r="B43" s="40" t="s">
        <v>3631</v>
      </c>
      <c r="C43" s="41"/>
    </row>
    <row r="44">
      <c r="A44" s="39">
        <v>3.0</v>
      </c>
      <c r="B44" s="40" t="s">
        <v>3632</v>
      </c>
      <c r="C44" s="41"/>
    </row>
    <row r="45">
      <c r="A45" s="39">
        <v>4.0</v>
      </c>
      <c r="B45" s="40" t="s">
        <v>3633</v>
      </c>
      <c r="C45" s="41"/>
    </row>
    <row r="46">
      <c r="A46" s="39">
        <v>5.0</v>
      </c>
      <c r="B46" s="40" t="s">
        <v>3634</v>
      </c>
      <c r="C46" s="41"/>
    </row>
    <row r="47">
      <c r="A47" s="39">
        <v>6.0</v>
      </c>
      <c r="B47" s="40" t="s">
        <v>899</v>
      </c>
      <c r="C47" s="41"/>
    </row>
    <row r="48">
      <c r="A48" s="43">
        <v>7.0</v>
      </c>
      <c r="B48" s="49" t="s">
        <v>3635</v>
      </c>
      <c r="C48" s="45"/>
    </row>
  </sheetData>
  <mergeCells count="7">
    <mergeCell ref="A1:C1"/>
    <mergeCell ref="A11:C11"/>
    <mergeCell ref="A13:C13"/>
    <mergeCell ref="A15:C15"/>
    <mergeCell ref="A25:C25"/>
    <mergeCell ref="A32:C32"/>
    <mergeCell ref="A39:C39"/>
  </mergeCells>
  <hyperlinks>
    <hyperlink r:id="rId1" ref="B9"/>
  </hyperlinks>
  <drawing r:id="rId2"/>
</worksheet>
</file>

<file path=xl/worksheets/sheet10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2" max="2" width="87.63"/>
    <col customWidth="1" min="3" max="3" width="20.13"/>
  </cols>
  <sheetData>
    <row r="1">
      <c r="A1" s="34" t="s">
        <v>742</v>
      </c>
    </row>
    <row r="2">
      <c r="A2" s="35"/>
      <c r="B2" s="35"/>
      <c r="C2" s="35"/>
    </row>
    <row r="3">
      <c r="A3" s="36" t="s">
        <v>743</v>
      </c>
      <c r="B3" s="37" t="s">
        <v>744</v>
      </c>
      <c r="C3" s="38"/>
    </row>
    <row r="4">
      <c r="A4" s="39" t="s">
        <v>6</v>
      </c>
      <c r="B4" s="40" t="s">
        <v>494</v>
      </c>
      <c r="C4" s="41"/>
    </row>
    <row r="5">
      <c r="A5" s="39" t="s">
        <v>745</v>
      </c>
      <c r="B5" s="42">
        <v>46167.0</v>
      </c>
      <c r="C5" s="41"/>
    </row>
    <row r="6">
      <c r="A6" s="39" t="s">
        <v>0</v>
      </c>
      <c r="B6" s="40" t="s">
        <v>469</v>
      </c>
      <c r="C6" s="41"/>
    </row>
    <row r="7">
      <c r="A7" s="39" t="s">
        <v>7</v>
      </c>
      <c r="B7" s="40" t="s">
        <v>139</v>
      </c>
      <c r="C7" s="41"/>
    </row>
    <row r="8">
      <c r="A8" s="39" t="s">
        <v>746</v>
      </c>
      <c r="B8" s="40">
        <v>4.0</v>
      </c>
      <c r="C8" s="41"/>
    </row>
    <row r="9">
      <c r="A9" s="43" t="s">
        <v>8</v>
      </c>
      <c r="B9" s="44" t="s">
        <v>495</v>
      </c>
      <c r="C9" s="45"/>
    </row>
    <row r="10">
      <c r="A10" s="35"/>
      <c r="B10" s="35"/>
      <c r="C10" s="35"/>
    </row>
    <row r="11">
      <c r="A11" s="34" t="s">
        <v>747</v>
      </c>
    </row>
    <row r="12">
      <c r="A12" s="35"/>
      <c r="B12" s="35"/>
      <c r="C12" s="35"/>
    </row>
    <row r="13">
      <c r="A13" s="46" t="s">
        <v>496</v>
      </c>
    </row>
    <row r="14">
      <c r="A14" s="35"/>
      <c r="B14" s="35"/>
      <c r="C14" s="35"/>
    </row>
    <row r="15">
      <c r="A15" s="34" t="s">
        <v>748</v>
      </c>
    </row>
    <row r="16">
      <c r="A16" s="35"/>
      <c r="B16" s="35"/>
      <c r="C16" s="35"/>
    </row>
    <row r="17">
      <c r="A17" s="36" t="s">
        <v>749</v>
      </c>
      <c r="B17" s="37" t="s">
        <v>750</v>
      </c>
      <c r="C17" s="47" t="s">
        <v>751</v>
      </c>
    </row>
    <row r="18">
      <c r="A18" s="39">
        <v>1.0</v>
      </c>
      <c r="B18" s="40" t="s">
        <v>3636</v>
      </c>
      <c r="C18" s="48" t="s">
        <v>753</v>
      </c>
    </row>
    <row r="19">
      <c r="A19" s="39">
        <v>2.0</v>
      </c>
      <c r="B19" s="40" t="s">
        <v>3637</v>
      </c>
      <c r="C19" s="48" t="s">
        <v>753</v>
      </c>
    </row>
    <row r="20">
      <c r="A20" s="39">
        <v>3.0</v>
      </c>
      <c r="B20" s="40" t="s">
        <v>3638</v>
      </c>
      <c r="C20" s="48" t="s">
        <v>753</v>
      </c>
    </row>
    <row r="21">
      <c r="A21" s="39">
        <v>4.0</v>
      </c>
      <c r="B21" s="40" t="s">
        <v>3639</v>
      </c>
      <c r="C21" s="48" t="s">
        <v>753</v>
      </c>
    </row>
    <row r="22">
      <c r="A22" s="39">
        <v>5.0</v>
      </c>
      <c r="B22" s="40" t="s">
        <v>3640</v>
      </c>
      <c r="C22" s="48" t="s">
        <v>753</v>
      </c>
    </row>
    <row r="23">
      <c r="A23" s="39">
        <v>6.0</v>
      </c>
      <c r="B23" s="40" t="s">
        <v>3641</v>
      </c>
      <c r="C23" s="48" t="s">
        <v>753</v>
      </c>
    </row>
    <row r="24">
      <c r="A24" s="39">
        <v>7.0</v>
      </c>
      <c r="B24" s="40" t="s">
        <v>3642</v>
      </c>
      <c r="C24" s="48" t="s">
        <v>753</v>
      </c>
    </row>
    <row r="25">
      <c r="A25" s="39">
        <v>8.0</v>
      </c>
      <c r="B25" s="40" t="s">
        <v>3643</v>
      </c>
      <c r="C25" s="48" t="s">
        <v>753</v>
      </c>
    </row>
    <row r="26">
      <c r="A26" s="39">
        <v>9.0</v>
      </c>
      <c r="B26" s="40" t="s">
        <v>3644</v>
      </c>
      <c r="C26" s="48" t="s">
        <v>753</v>
      </c>
    </row>
    <row r="27">
      <c r="A27" s="39">
        <v>10.0</v>
      </c>
      <c r="B27" s="40" t="s">
        <v>3645</v>
      </c>
      <c r="C27" s="48" t="s">
        <v>753</v>
      </c>
    </row>
    <row r="28">
      <c r="A28" s="39">
        <v>11.0</v>
      </c>
      <c r="B28" s="40" t="s">
        <v>3646</v>
      </c>
      <c r="C28" s="48" t="s">
        <v>753</v>
      </c>
    </row>
    <row r="29">
      <c r="A29" s="39">
        <v>12.0</v>
      </c>
      <c r="B29" s="40" t="s">
        <v>3647</v>
      </c>
      <c r="C29" s="48" t="s">
        <v>753</v>
      </c>
    </row>
    <row r="30">
      <c r="A30" s="39">
        <v>13.0</v>
      </c>
      <c r="B30" s="40" t="s">
        <v>3648</v>
      </c>
      <c r="C30" s="48" t="s">
        <v>753</v>
      </c>
    </row>
    <row r="31">
      <c r="A31" s="39">
        <v>14.0</v>
      </c>
      <c r="B31" s="40" t="s">
        <v>3649</v>
      </c>
      <c r="C31" s="48" t="s">
        <v>753</v>
      </c>
    </row>
    <row r="32">
      <c r="A32" s="39">
        <v>15.0</v>
      </c>
      <c r="B32" s="40" t="s">
        <v>3650</v>
      </c>
      <c r="C32" s="48" t="s">
        <v>753</v>
      </c>
    </row>
    <row r="33">
      <c r="A33" s="39">
        <v>16.0</v>
      </c>
      <c r="B33" s="40" t="s">
        <v>3651</v>
      </c>
      <c r="C33" s="48" t="s">
        <v>753</v>
      </c>
    </row>
    <row r="34">
      <c r="A34" s="39">
        <v>17.0</v>
      </c>
      <c r="B34" s="40" t="s">
        <v>3652</v>
      </c>
      <c r="C34" s="48" t="s">
        <v>753</v>
      </c>
    </row>
    <row r="35">
      <c r="A35" s="43">
        <v>18.0</v>
      </c>
      <c r="B35" s="49" t="s">
        <v>3653</v>
      </c>
      <c r="C35" s="50" t="s">
        <v>753</v>
      </c>
    </row>
    <row r="36">
      <c r="A36" s="35"/>
      <c r="B36" s="35"/>
      <c r="C36" s="35"/>
    </row>
    <row r="37">
      <c r="A37" s="34" t="s">
        <v>756</v>
      </c>
    </row>
    <row r="38">
      <c r="A38" s="35"/>
      <c r="B38" s="35"/>
      <c r="C38" s="35"/>
    </row>
    <row r="39">
      <c r="A39" s="36" t="s">
        <v>749</v>
      </c>
      <c r="B39" s="37" t="s">
        <v>757</v>
      </c>
      <c r="C39" s="38"/>
    </row>
    <row r="40">
      <c r="A40" s="39">
        <v>1.0</v>
      </c>
      <c r="B40" s="40" t="s">
        <v>3654</v>
      </c>
      <c r="C40" s="41"/>
    </row>
    <row r="41">
      <c r="A41" s="39">
        <v>2.0</v>
      </c>
      <c r="B41" s="40" t="s">
        <v>3655</v>
      </c>
      <c r="C41" s="41"/>
    </row>
    <row r="42">
      <c r="A42" s="39">
        <v>3.0</v>
      </c>
      <c r="B42" s="40" t="s">
        <v>3656</v>
      </c>
      <c r="C42" s="41"/>
    </row>
    <row r="43">
      <c r="A43" s="39">
        <v>4.0</v>
      </c>
      <c r="B43" s="40" t="s">
        <v>3657</v>
      </c>
      <c r="C43" s="41"/>
    </row>
    <row r="44">
      <c r="A44" s="39">
        <v>5.0</v>
      </c>
      <c r="B44" s="40" t="s">
        <v>3658</v>
      </c>
      <c r="C44" s="41"/>
    </row>
    <row r="45">
      <c r="A45" s="43">
        <v>6.0</v>
      </c>
      <c r="B45" s="49" t="s">
        <v>3659</v>
      </c>
      <c r="C45" s="45"/>
    </row>
    <row r="46">
      <c r="A46" s="35"/>
      <c r="B46" s="35"/>
      <c r="C46" s="35"/>
    </row>
    <row r="47">
      <c r="A47" s="34" t="s">
        <v>760</v>
      </c>
    </row>
    <row r="48">
      <c r="A48" s="35"/>
      <c r="B48" s="35"/>
      <c r="C48" s="35"/>
    </row>
    <row r="49">
      <c r="A49" s="36" t="s">
        <v>749</v>
      </c>
      <c r="B49" s="37" t="s">
        <v>757</v>
      </c>
      <c r="C49" s="38"/>
    </row>
    <row r="50">
      <c r="A50" s="39">
        <v>1.0</v>
      </c>
      <c r="B50" s="40" t="s">
        <v>3660</v>
      </c>
      <c r="C50" s="41"/>
    </row>
    <row r="51">
      <c r="A51" s="39">
        <v>2.0</v>
      </c>
      <c r="B51" s="40" t="s">
        <v>3661</v>
      </c>
      <c r="C51" s="41"/>
    </row>
    <row r="52">
      <c r="A52" s="39">
        <v>3.0</v>
      </c>
      <c r="B52" s="40" t="s">
        <v>3662</v>
      </c>
      <c r="C52" s="41"/>
    </row>
    <row r="53">
      <c r="A53" s="39">
        <v>4.0</v>
      </c>
      <c r="B53" s="40" t="s">
        <v>3663</v>
      </c>
      <c r="C53" s="41"/>
    </row>
    <row r="54">
      <c r="A54" s="43">
        <v>5.0</v>
      </c>
      <c r="B54" s="49" t="s">
        <v>3664</v>
      </c>
      <c r="C54" s="45"/>
    </row>
    <row r="55">
      <c r="A55" s="35"/>
      <c r="B55" s="35"/>
      <c r="C55" s="35"/>
    </row>
    <row r="56">
      <c r="A56" s="34" t="s">
        <v>763</v>
      </c>
    </row>
    <row r="57">
      <c r="A57" s="35"/>
      <c r="B57" s="35"/>
      <c r="C57" s="35"/>
    </row>
    <row r="58">
      <c r="A58" s="36" t="s">
        <v>749</v>
      </c>
      <c r="B58" s="37" t="s">
        <v>757</v>
      </c>
      <c r="C58" s="38"/>
    </row>
    <row r="59">
      <c r="A59" s="39">
        <v>1.0</v>
      </c>
      <c r="B59" s="40" t="s">
        <v>3665</v>
      </c>
      <c r="C59" s="41"/>
    </row>
    <row r="60">
      <c r="A60" s="39">
        <v>2.0</v>
      </c>
      <c r="B60" s="40" t="s">
        <v>3666</v>
      </c>
      <c r="C60" s="41"/>
    </row>
    <row r="61">
      <c r="A61" s="39">
        <v>3.0</v>
      </c>
      <c r="B61" s="40" t="s">
        <v>3667</v>
      </c>
      <c r="C61" s="41"/>
    </row>
    <row r="62">
      <c r="A62" s="39">
        <v>4.0</v>
      </c>
      <c r="B62" s="40" t="s">
        <v>3668</v>
      </c>
      <c r="C62" s="41"/>
    </row>
    <row r="63">
      <c r="A63" s="39">
        <v>5.0</v>
      </c>
      <c r="B63" s="40" t="s">
        <v>3669</v>
      </c>
      <c r="C63" s="41"/>
    </row>
    <row r="64">
      <c r="A64" s="39">
        <v>6.0</v>
      </c>
      <c r="B64" s="40" t="s">
        <v>3670</v>
      </c>
      <c r="C64" s="41"/>
    </row>
    <row r="65">
      <c r="A65" s="43">
        <v>7.0</v>
      </c>
      <c r="B65" s="49" t="s">
        <v>3671</v>
      </c>
      <c r="C65" s="45"/>
    </row>
  </sheetData>
  <mergeCells count="7">
    <mergeCell ref="A1:C1"/>
    <mergeCell ref="A11:C11"/>
    <mergeCell ref="A13:C13"/>
    <mergeCell ref="A15:C15"/>
    <mergeCell ref="A37:C37"/>
    <mergeCell ref="A47:C47"/>
    <mergeCell ref="A56:C56"/>
  </mergeCells>
  <hyperlinks>
    <hyperlink r:id="rId1" ref="B9"/>
  </hyperlinks>
  <drawing r:id="rId2"/>
</worksheet>
</file>

<file path=xl/worksheets/sheet10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2" max="2" width="87.63"/>
    <col customWidth="1" min="3" max="3" width="20.13"/>
  </cols>
  <sheetData>
    <row r="1">
      <c r="A1" s="34" t="s">
        <v>742</v>
      </c>
    </row>
    <row r="2">
      <c r="A2" s="35"/>
      <c r="B2" s="35"/>
      <c r="C2" s="35"/>
    </row>
    <row r="3">
      <c r="A3" s="36" t="s">
        <v>743</v>
      </c>
      <c r="B3" s="37" t="s">
        <v>744</v>
      </c>
      <c r="C3" s="38"/>
    </row>
    <row r="4">
      <c r="A4" s="39" t="s">
        <v>6</v>
      </c>
      <c r="B4" s="40" t="s">
        <v>498</v>
      </c>
      <c r="C4" s="41"/>
    </row>
    <row r="5">
      <c r="A5" s="39" t="s">
        <v>745</v>
      </c>
      <c r="B5" s="42">
        <v>46168.0</v>
      </c>
      <c r="C5" s="41"/>
    </row>
    <row r="6">
      <c r="A6" s="39" t="s">
        <v>0</v>
      </c>
      <c r="B6" s="40" t="s">
        <v>469</v>
      </c>
      <c r="C6" s="41"/>
    </row>
    <row r="7">
      <c r="A7" s="39" t="s">
        <v>7</v>
      </c>
      <c r="B7" s="40" t="s">
        <v>147</v>
      </c>
      <c r="C7" s="41"/>
    </row>
    <row r="8">
      <c r="A8" s="39" t="s">
        <v>746</v>
      </c>
      <c r="B8" s="40">
        <v>2.0</v>
      </c>
      <c r="C8" s="41"/>
    </row>
    <row r="9">
      <c r="A9" s="43" t="s">
        <v>8</v>
      </c>
      <c r="B9" s="44" t="s">
        <v>499</v>
      </c>
      <c r="C9" s="45"/>
    </row>
    <row r="10">
      <c r="A10" s="35"/>
      <c r="B10" s="35"/>
      <c r="C10" s="35"/>
    </row>
    <row r="11">
      <c r="A11" s="34" t="s">
        <v>747</v>
      </c>
    </row>
    <row r="12">
      <c r="A12" s="35"/>
      <c r="B12" s="35"/>
      <c r="C12" s="35"/>
    </row>
    <row r="13">
      <c r="A13" s="46" t="s">
        <v>3672</v>
      </c>
    </row>
    <row r="14">
      <c r="A14" s="35"/>
      <c r="B14" s="35"/>
      <c r="C14" s="35"/>
    </row>
    <row r="15">
      <c r="A15" s="34" t="s">
        <v>748</v>
      </c>
    </row>
    <row r="16">
      <c r="A16" s="35"/>
      <c r="B16" s="35"/>
      <c r="C16" s="35"/>
    </row>
    <row r="17">
      <c r="A17" s="36" t="s">
        <v>749</v>
      </c>
      <c r="B17" s="37" t="s">
        <v>750</v>
      </c>
      <c r="C17" s="47" t="s">
        <v>751</v>
      </c>
    </row>
    <row r="18">
      <c r="A18" s="39">
        <v>1.0</v>
      </c>
      <c r="B18" s="40" t="s">
        <v>3673</v>
      </c>
      <c r="C18" s="48" t="s">
        <v>753</v>
      </c>
    </row>
    <row r="19">
      <c r="A19" s="39">
        <v>2.0</v>
      </c>
      <c r="B19" s="40" t="s">
        <v>3674</v>
      </c>
      <c r="C19" s="48" t="s">
        <v>753</v>
      </c>
    </row>
    <row r="20">
      <c r="A20" s="39">
        <v>3.0</v>
      </c>
      <c r="B20" s="40" t="s">
        <v>3675</v>
      </c>
      <c r="C20" s="48" t="s">
        <v>753</v>
      </c>
    </row>
    <row r="21">
      <c r="A21" s="39">
        <v>4.0</v>
      </c>
      <c r="B21" s="40" t="s">
        <v>3676</v>
      </c>
      <c r="C21" s="48" t="s">
        <v>753</v>
      </c>
    </row>
    <row r="22">
      <c r="A22" s="39">
        <v>5.0</v>
      </c>
      <c r="B22" s="40" t="s">
        <v>3677</v>
      </c>
      <c r="C22" s="48" t="s">
        <v>753</v>
      </c>
    </row>
    <row r="23">
      <c r="A23" s="39">
        <v>6.0</v>
      </c>
      <c r="B23" s="40" t="s">
        <v>3678</v>
      </c>
      <c r="C23" s="48" t="s">
        <v>753</v>
      </c>
    </row>
    <row r="24">
      <c r="A24" s="39">
        <v>7.0</v>
      </c>
      <c r="B24" s="40" t="s">
        <v>3679</v>
      </c>
      <c r="C24" s="48" t="s">
        <v>753</v>
      </c>
    </row>
    <row r="25">
      <c r="A25" s="39">
        <v>8.0</v>
      </c>
      <c r="B25" s="40" t="s">
        <v>3680</v>
      </c>
      <c r="C25" s="48" t="s">
        <v>753</v>
      </c>
    </row>
    <row r="26">
      <c r="A26" s="39">
        <v>9.0</v>
      </c>
      <c r="B26" s="40" t="s">
        <v>3681</v>
      </c>
      <c r="C26" s="48" t="s">
        <v>753</v>
      </c>
    </row>
    <row r="27">
      <c r="A27" s="39">
        <v>10.0</v>
      </c>
      <c r="B27" s="40" t="s">
        <v>3682</v>
      </c>
      <c r="C27" s="48" t="s">
        <v>753</v>
      </c>
    </row>
    <row r="28">
      <c r="A28" s="39">
        <v>11.0</v>
      </c>
      <c r="B28" s="40" t="s">
        <v>3683</v>
      </c>
      <c r="C28" s="48" t="s">
        <v>753</v>
      </c>
    </row>
    <row r="29">
      <c r="A29" s="39">
        <v>12.0</v>
      </c>
      <c r="B29" s="40" t="s">
        <v>3684</v>
      </c>
      <c r="C29" s="48" t="s">
        <v>753</v>
      </c>
    </row>
    <row r="30">
      <c r="A30" s="39">
        <v>13.0</v>
      </c>
      <c r="B30" s="40" t="s">
        <v>3685</v>
      </c>
      <c r="C30" s="48" t="s">
        <v>753</v>
      </c>
    </row>
    <row r="31">
      <c r="A31" s="39">
        <v>14.0</v>
      </c>
      <c r="B31" s="40" t="s">
        <v>3686</v>
      </c>
      <c r="C31" s="48" t="s">
        <v>753</v>
      </c>
    </row>
    <row r="32">
      <c r="A32" s="39">
        <v>15.0</v>
      </c>
      <c r="B32" s="40" t="s">
        <v>3687</v>
      </c>
      <c r="C32" s="48" t="s">
        <v>753</v>
      </c>
    </row>
    <row r="33">
      <c r="A33" s="43">
        <v>16.0</v>
      </c>
      <c r="B33" s="49" t="s">
        <v>3688</v>
      </c>
      <c r="C33" s="50" t="s">
        <v>753</v>
      </c>
    </row>
    <row r="34">
      <c r="A34" s="35"/>
      <c r="B34" s="35"/>
      <c r="C34" s="35"/>
    </row>
    <row r="35">
      <c r="A35" s="34" t="s">
        <v>756</v>
      </c>
    </row>
    <row r="36">
      <c r="A36" s="35"/>
      <c r="B36" s="35"/>
      <c r="C36" s="35"/>
    </row>
    <row r="37">
      <c r="A37" s="36" t="s">
        <v>749</v>
      </c>
      <c r="B37" s="37" t="s">
        <v>757</v>
      </c>
      <c r="C37" s="38"/>
    </row>
    <row r="38">
      <c r="A38" s="39">
        <v>1.0</v>
      </c>
      <c r="B38" s="40" t="s">
        <v>3689</v>
      </c>
      <c r="C38" s="41"/>
    </row>
    <row r="39">
      <c r="A39" s="39">
        <v>2.0</v>
      </c>
      <c r="B39" s="40" t="s">
        <v>3690</v>
      </c>
      <c r="C39" s="41"/>
    </row>
    <row r="40">
      <c r="A40" s="39">
        <v>3.0</v>
      </c>
      <c r="B40" s="40" t="s">
        <v>3691</v>
      </c>
      <c r="C40" s="41"/>
    </row>
    <row r="41">
      <c r="A41" s="43">
        <v>4.0</v>
      </c>
      <c r="B41" s="49" t="s">
        <v>3692</v>
      </c>
      <c r="C41" s="45"/>
    </row>
    <row r="42">
      <c r="A42" s="35"/>
      <c r="B42" s="35"/>
      <c r="C42" s="35"/>
    </row>
    <row r="43">
      <c r="A43" s="34" t="s">
        <v>760</v>
      </c>
    </row>
    <row r="44">
      <c r="A44" s="35"/>
      <c r="B44" s="35"/>
      <c r="C44" s="35"/>
    </row>
    <row r="45">
      <c r="A45" s="36" t="s">
        <v>749</v>
      </c>
      <c r="B45" s="37" t="s">
        <v>757</v>
      </c>
      <c r="C45" s="38"/>
    </row>
    <row r="46">
      <c r="A46" s="39">
        <v>1.0</v>
      </c>
      <c r="B46" s="40" t="s">
        <v>3693</v>
      </c>
      <c r="C46" s="41"/>
    </row>
    <row r="47">
      <c r="A47" s="39">
        <v>2.0</v>
      </c>
      <c r="B47" s="40" t="s">
        <v>3694</v>
      </c>
      <c r="C47" s="41"/>
    </row>
    <row r="48">
      <c r="A48" s="43">
        <v>3.0</v>
      </c>
      <c r="B48" s="49" t="s">
        <v>3695</v>
      </c>
      <c r="C48" s="45"/>
    </row>
    <row r="49">
      <c r="A49" s="35"/>
      <c r="B49" s="35"/>
      <c r="C49" s="35"/>
    </row>
    <row r="50">
      <c r="A50" s="34" t="s">
        <v>763</v>
      </c>
    </row>
    <row r="51">
      <c r="A51" s="35"/>
      <c r="B51" s="35"/>
      <c r="C51" s="35"/>
    </row>
    <row r="52">
      <c r="A52" s="36" t="s">
        <v>749</v>
      </c>
      <c r="B52" s="37" t="s">
        <v>757</v>
      </c>
      <c r="C52" s="38"/>
    </row>
    <row r="53">
      <c r="A53" s="39">
        <v>1.0</v>
      </c>
      <c r="B53" s="40" t="s">
        <v>3696</v>
      </c>
      <c r="C53" s="41"/>
    </row>
    <row r="54">
      <c r="A54" s="39">
        <v>2.0</v>
      </c>
      <c r="B54" s="40" t="s">
        <v>3697</v>
      </c>
      <c r="C54" s="41"/>
    </row>
    <row r="55">
      <c r="A55" s="39">
        <v>3.0</v>
      </c>
      <c r="B55" s="40" t="s">
        <v>3698</v>
      </c>
      <c r="C55" s="41"/>
    </row>
    <row r="56">
      <c r="A56" s="39">
        <v>4.0</v>
      </c>
      <c r="B56" s="40" t="s">
        <v>3699</v>
      </c>
      <c r="C56" s="41"/>
    </row>
    <row r="57">
      <c r="A57" s="39">
        <v>5.0</v>
      </c>
      <c r="B57" s="40" t="s">
        <v>3700</v>
      </c>
      <c r="C57" s="41"/>
    </row>
    <row r="58">
      <c r="A58" s="39">
        <v>6.0</v>
      </c>
      <c r="B58" s="40" t="s">
        <v>3701</v>
      </c>
      <c r="C58" s="41"/>
    </row>
    <row r="59">
      <c r="A59" s="39">
        <v>7.0</v>
      </c>
      <c r="B59" s="40" t="s">
        <v>3702</v>
      </c>
      <c r="C59" s="41"/>
    </row>
    <row r="60">
      <c r="A60" s="43">
        <v>8.0</v>
      </c>
      <c r="B60" s="49" t="s">
        <v>3703</v>
      </c>
      <c r="C60" s="45"/>
    </row>
  </sheetData>
  <mergeCells count="7">
    <mergeCell ref="A1:C1"/>
    <mergeCell ref="A11:C11"/>
    <mergeCell ref="A13:C13"/>
    <mergeCell ref="A15:C15"/>
    <mergeCell ref="A35:C35"/>
    <mergeCell ref="A43:C43"/>
    <mergeCell ref="A50:C50"/>
  </mergeCells>
  <hyperlinks>
    <hyperlink r:id="rId1" ref="B9"/>
  </hyperlinks>
  <drawing r:id="rId2"/>
</worksheet>
</file>

<file path=xl/worksheets/sheet10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2" max="2" width="87.63"/>
    <col customWidth="1" min="3" max="3" width="20.13"/>
  </cols>
  <sheetData>
    <row r="1">
      <c r="A1" s="34" t="s">
        <v>742</v>
      </c>
    </row>
    <row r="2">
      <c r="A2" s="35"/>
      <c r="B2" s="35"/>
      <c r="C2" s="35"/>
    </row>
    <row r="3">
      <c r="A3" s="36" t="s">
        <v>743</v>
      </c>
      <c r="B3" s="37" t="s">
        <v>744</v>
      </c>
      <c r="C3" s="38"/>
    </row>
    <row r="4">
      <c r="A4" s="39" t="s">
        <v>6</v>
      </c>
      <c r="B4" s="40" t="s">
        <v>502</v>
      </c>
      <c r="C4" s="41"/>
    </row>
    <row r="5">
      <c r="A5" s="39" t="s">
        <v>745</v>
      </c>
      <c r="B5" s="42">
        <v>46168.0</v>
      </c>
      <c r="C5" s="41"/>
    </row>
    <row r="6">
      <c r="A6" s="39" t="s">
        <v>0</v>
      </c>
      <c r="B6" s="40" t="s">
        <v>469</v>
      </c>
      <c r="C6" s="41"/>
    </row>
    <row r="7">
      <c r="A7" s="39" t="s">
        <v>7</v>
      </c>
      <c r="B7" s="40" t="s">
        <v>68</v>
      </c>
      <c r="C7" s="41"/>
    </row>
    <row r="8">
      <c r="A8" s="39" t="s">
        <v>746</v>
      </c>
      <c r="B8" s="40">
        <v>3.0</v>
      </c>
      <c r="C8" s="41"/>
    </row>
    <row r="9">
      <c r="A9" s="43" t="s">
        <v>8</v>
      </c>
      <c r="B9" s="44" t="s">
        <v>503</v>
      </c>
      <c r="C9" s="45"/>
    </row>
    <row r="10">
      <c r="A10" s="35"/>
      <c r="B10" s="35"/>
      <c r="C10" s="35"/>
    </row>
    <row r="11">
      <c r="A11" s="34" t="s">
        <v>747</v>
      </c>
    </row>
    <row r="12">
      <c r="A12" s="35"/>
      <c r="B12" s="35"/>
      <c r="C12" s="35"/>
    </row>
    <row r="13">
      <c r="A13" s="46" t="s">
        <v>3704</v>
      </c>
    </row>
    <row r="14">
      <c r="A14" s="35"/>
      <c r="B14" s="35"/>
      <c r="C14" s="35"/>
    </row>
    <row r="15">
      <c r="A15" s="34" t="s">
        <v>748</v>
      </c>
    </row>
    <row r="16">
      <c r="A16" s="35"/>
      <c r="B16" s="35"/>
      <c r="C16" s="35"/>
    </row>
    <row r="17">
      <c r="A17" s="36" t="s">
        <v>749</v>
      </c>
      <c r="B17" s="37" t="s">
        <v>750</v>
      </c>
      <c r="C17" s="47" t="s">
        <v>751</v>
      </c>
    </row>
    <row r="18">
      <c r="A18" s="39">
        <v>1.0</v>
      </c>
      <c r="B18" s="40" t="s">
        <v>3705</v>
      </c>
      <c r="C18" s="48" t="s">
        <v>753</v>
      </c>
    </row>
    <row r="19">
      <c r="A19" s="39">
        <v>2.0</v>
      </c>
      <c r="B19" s="40" t="s">
        <v>3706</v>
      </c>
      <c r="C19" s="48" t="s">
        <v>753</v>
      </c>
    </row>
    <row r="20">
      <c r="A20" s="39">
        <v>3.0</v>
      </c>
      <c r="B20" s="40" t="s">
        <v>3707</v>
      </c>
      <c r="C20" s="48" t="s">
        <v>753</v>
      </c>
    </row>
    <row r="21">
      <c r="A21" s="39">
        <v>4.0</v>
      </c>
      <c r="B21" s="40" t="s">
        <v>3708</v>
      </c>
      <c r="C21" s="48" t="s">
        <v>753</v>
      </c>
    </row>
    <row r="22">
      <c r="A22" s="39">
        <v>5.0</v>
      </c>
      <c r="B22" s="40" t="s">
        <v>3709</v>
      </c>
      <c r="C22" s="48" t="s">
        <v>753</v>
      </c>
    </row>
    <row r="23">
      <c r="A23" s="39">
        <v>6.0</v>
      </c>
      <c r="B23" s="40" t="s">
        <v>3710</v>
      </c>
      <c r="C23" s="48" t="s">
        <v>753</v>
      </c>
    </row>
    <row r="24">
      <c r="A24" s="39">
        <v>7.0</v>
      </c>
      <c r="B24" s="40" t="s">
        <v>3711</v>
      </c>
      <c r="C24" s="48" t="s">
        <v>753</v>
      </c>
    </row>
    <row r="25">
      <c r="A25" s="39">
        <v>8.0</v>
      </c>
      <c r="B25" s="40" t="s">
        <v>3712</v>
      </c>
      <c r="C25" s="48" t="s">
        <v>753</v>
      </c>
    </row>
    <row r="26">
      <c r="A26" s="39">
        <v>9.0</v>
      </c>
      <c r="B26" s="40" t="s">
        <v>3713</v>
      </c>
      <c r="C26" s="48" t="s">
        <v>753</v>
      </c>
    </row>
    <row r="27">
      <c r="A27" s="39">
        <v>10.0</v>
      </c>
      <c r="B27" s="40" t="s">
        <v>3714</v>
      </c>
      <c r="C27" s="48" t="s">
        <v>753</v>
      </c>
    </row>
    <row r="28">
      <c r="A28" s="39">
        <v>11.0</v>
      </c>
      <c r="B28" s="40" t="s">
        <v>3715</v>
      </c>
      <c r="C28" s="48" t="s">
        <v>753</v>
      </c>
    </row>
    <row r="29">
      <c r="A29" s="39">
        <v>12.0</v>
      </c>
      <c r="B29" s="40" t="s">
        <v>3716</v>
      </c>
      <c r="C29" s="48" t="s">
        <v>753</v>
      </c>
    </row>
    <row r="30">
      <c r="A30" s="39">
        <v>13.0</v>
      </c>
      <c r="B30" s="40" t="s">
        <v>3717</v>
      </c>
      <c r="C30" s="48" t="s">
        <v>753</v>
      </c>
    </row>
    <row r="31">
      <c r="A31" s="39">
        <v>14.0</v>
      </c>
      <c r="B31" s="40" t="s">
        <v>3718</v>
      </c>
      <c r="C31" s="48" t="s">
        <v>753</v>
      </c>
    </row>
    <row r="32">
      <c r="A32" s="39">
        <v>15.0</v>
      </c>
      <c r="B32" s="40" t="s">
        <v>3719</v>
      </c>
      <c r="C32" s="48" t="s">
        <v>753</v>
      </c>
    </row>
    <row r="33">
      <c r="A33" s="39">
        <v>16.0</v>
      </c>
      <c r="B33" s="40" t="s">
        <v>3720</v>
      </c>
      <c r="C33" s="48" t="s">
        <v>753</v>
      </c>
    </row>
    <row r="34">
      <c r="A34" s="39">
        <v>17.0</v>
      </c>
      <c r="B34" s="40" t="s">
        <v>3721</v>
      </c>
      <c r="C34" s="48" t="s">
        <v>753</v>
      </c>
    </row>
    <row r="35">
      <c r="A35" s="39">
        <v>18.0</v>
      </c>
      <c r="B35" s="40" t="s">
        <v>3722</v>
      </c>
      <c r="C35" s="48" t="s">
        <v>753</v>
      </c>
    </row>
    <row r="36">
      <c r="A36" s="39">
        <v>19.0</v>
      </c>
      <c r="B36" s="40" t="s">
        <v>3723</v>
      </c>
      <c r="C36" s="48" t="s">
        <v>753</v>
      </c>
    </row>
    <row r="37">
      <c r="A37" s="39">
        <v>20.0</v>
      </c>
      <c r="B37" s="40" t="s">
        <v>3724</v>
      </c>
      <c r="C37" s="48" t="s">
        <v>753</v>
      </c>
    </row>
    <row r="38">
      <c r="A38" s="39">
        <v>21.0</v>
      </c>
      <c r="B38" s="40" t="s">
        <v>3725</v>
      </c>
      <c r="C38" s="48" t="s">
        <v>753</v>
      </c>
    </row>
    <row r="39">
      <c r="A39" s="39">
        <v>22.0</v>
      </c>
      <c r="B39" s="40" t="s">
        <v>3726</v>
      </c>
      <c r="C39" s="48" t="s">
        <v>753</v>
      </c>
    </row>
    <row r="40">
      <c r="A40" s="39">
        <v>23.0</v>
      </c>
      <c r="B40" s="40" t="s">
        <v>3727</v>
      </c>
      <c r="C40" s="48" t="s">
        <v>753</v>
      </c>
    </row>
    <row r="41">
      <c r="A41" s="39">
        <v>24.0</v>
      </c>
      <c r="B41" s="40" t="s">
        <v>3728</v>
      </c>
      <c r="C41" s="48" t="s">
        <v>753</v>
      </c>
    </row>
    <row r="42">
      <c r="A42" s="39">
        <v>25.0</v>
      </c>
      <c r="B42" s="40" t="s">
        <v>3729</v>
      </c>
      <c r="C42" s="48" t="s">
        <v>753</v>
      </c>
    </row>
    <row r="43">
      <c r="A43" s="39">
        <v>26.0</v>
      </c>
      <c r="B43" s="40" t="s">
        <v>3730</v>
      </c>
      <c r="C43" s="48" t="s">
        <v>753</v>
      </c>
    </row>
    <row r="44">
      <c r="A44" s="39">
        <v>27.0</v>
      </c>
      <c r="B44" s="40" t="s">
        <v>3731</v>
      </c>
      <c r="C44" s="48" t="s">
        <v>753</v>
      </c>
    </row>
    <row r="45">
      <c r="A45" s="39">
        <v>28.0</v>
      </c>
      <c r="B45" s="40" t="s">
        <v>3732</v>
      </c>
      <c r="C45" s="48" t="s">
        <v>753</v>
      </c>
    </row>
    <row r="46">
      <c r="A46" s="43">
        <v>29.0</v>
      </c>
      <c r="B46" s="49" t="s">
        <v>3733</v>
      </c>
      <c r="C46" s="50" t="s">
        <v>753</v>
      </c>
    </row>
    <row r="47">
      <c r="A47" s="35"/>
      <c r="B47" s="35"/>
      <c r="C47" s="35"/>
    </row>
    <row r="48">
      <c r="A48" s="34" t="s">
        <v>756</v>
      </c>
    </row>
    <row r="49">
      <c r="A49" s="35"/>
      <c r="B49" s="35"/>
      <c r="C49" s="35"/>
    </row>
    <row r="50">
      <c r="A50" s="36" t="s">
        <v>749</v>
      </c>
      <c r="B50" s="37" t="s">
        <v>757</v>
      </c>
      <c r="C50" s="38"/>
    </row>
    <row r="51">
      <c r="A51" s="39">
        <v>1.0</v>
      </c>
      <c r="B51" s="40" t="s">
        <v>3734</v>
      </c>
      <c r="C51" s="41"/>
    </row>
    <row r="52">
      <c r="A52" s="39">
        <v>2.0</v>
      </c>
      <c r="B52" s="40" t="s">
        <v>3735</v>
      </c>
      <c r="C52" s="41"/>
    </row>
    <row r="53">
      <c r="A53" s="39">
        <v>3.0</v>
      </c>
      <c r="B53" s="40" t="s">
        <v>3736</v>
      </c>
      <c r="C53" s="41"/>
    </row>
    <row r="54">
      <c r="A54" s="43">
        <v>4.0</v>
      </c>
      <c r="B54" s="49" t="s">
        <v>3737</v>
      </c>
      <c r="C54" s="45"/>
    </row>
    <row r="55">
      <c r="A55" s="35"/>
      <c r="B55" s="35"/>
      <c r="C55" s="35"/>
    </row>
    <row r="56">
      <c r="A56" s="34" t="s">
        <v>760</v>
      </c>
    </row>
    <row r="57">
      <c r="A57" s="35"/>
      <c r="B57" s="35"/>
      <c r="C57" s="35"/>
    </row>
    <row r="58">
      <c r="A58" s="36" t="s">
        <v>749</v>
      </c>
      <c r="B58" s="37" t="s">
        <v>757</v>
      </c>
      <c r="C58" s="38"/>
    </row>
    <row r="59">
      <c r="A59" s="39">
        <v>1.0</v>
      </c>
      <c r="B59" s="40" t="s">
        <v>3738</v>
      </c>
      <c r="C59" s="41"/>
    </row>
    <row r="60">
      <c r="A60" s="39">
        <v>2.0</v>
      </c>
      <c r="B60" s="40" t="s">
        <v>3739</v>
      </c>
      <c r="C60" s="41"/>
    </row>
    <row r="61">
      <c r="A61" s="43">
        <v>3.0</v>
      </c>
      <c r="B61" s="49" t="s">
        <v>3740</v>
      </c>
      <c r="C61" s="45"/>
    </row>
    <row r="62">
      <c r="A62" s="35"/>
      <c r="B62" s="35"/>
      <c r="C62" s="35"/>
    </row>
    <row r="63">
      <c r="A63" s="34" t="s">
        <v>763</v>
      </c>
    </row>
    <row r="64">
      <c r="A64" s="35"/>
      <c r="B64" s="35"/>
      <c r="C64" s="35"/>
    </row>
    <row r="65">
      <c r="A65" s="36" t="s">
        <v>749</v>
      </c>
      <c r="B65" s="37" t="s">
        <v>757</v>
      </c>
      <c r="C65" s="38"/>
    </row>
    <row r="66">
      <c r="A66" s="39">
        <v>1.0</v>
      </c>
      <c r="B66" s="40" t="s">
        <v>3741</v>
      </c>
      <c r="C66" s="41"/>
    </row>
    <row r="67">
      <c r="A67" s="39">
        <v>2.0</v>
      </c>
      <c r="B67" s="40" t="s">
        <v>3742</v>
      </c>
      <c r="C67" s="41"/>
    </row>
    <row r="68">
      <c r="A68" s="39">
        <v>3.0</v>
      </c>
      <c r="B68" s="40" t="s">
        <v>3743</v>
      </c>
      <c r="C68" s="41"/>
    </row>
    <row r="69">
      <c r="A69" s="39">
        <v>4.0</v>
      </c>
      <c r="B69" s="40" t="s">
        <v>3744</v>
      </c>
      <c r="C69" s="41"/>
    </row>
    <row r="70">
      <c r="A70" s="39">
        <v>5.0</v>
      </c>
      <c r="B70" s="40" t="s">
        <v>3745</v>
      </c>
      <c r="C70" s="41"/>
    </row>
    <row r="71">
      <c r="A71" s="39">
        <v>6.0</v>
      </c>
      <c r="B71" s="40" t="s">
        <v>899</v>
      </c>
      <c r="C71" s="41"/>
    </row>
    <row r="72">
      <c r="A72" s="43">
        <v>7.0</v>
      </c>
      <c r="B72" s="49" t="s">
        <v>3746</v>
      </c>
      <c r="C72" s="45"/>
    </row>
  </sheetData>
  <mergeCells count="7">
    <mergeCell ref="A1:C1"/>
    <mergeCell ref="A11:C11"/>
    <mergeCell ref="A13:C13"/>
    <mergeCell ref="A15:C15"/>
    <mergeCell ref="A48:C48"/>
    <mergeCell ref="A56:C56"/>
    <mergeCell ref="A63:C63"/>
  </mergeCells>
  <hyperlinks>
    <hyperlink r:id="rId1" ref="B9"/>
  </hyperlinks>
  <drawing r:id="rId2"/>
</worksheet>
</file>

<file path=xl/worksheets/sheet10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2" max="2" width="87.63"/>
    <col customWidth="1" min="3" max="3" width="20.13"/>
  </cols>
  <sheetData>
    <row r="1">
      <c r="A1" s="34" t="s">
        <v>742</v>
      </c>
    </row>
    <row r="2">
      <c r="A2" s="35"/>
      <c r="B2" s="35"/>
      <c r="C2" s="35"/>
    </row>
    <row r="3">
      <c r="A3" s="36" t="s">
        <v>743</v>
      </c>
      <c r="B3" s="37" t="s">
        <v>744</v>
      </c>
      <c r="C3" s="38"/>
    </row>
    <row r="4">
      <c r="A4" s="39" t="s">
        <v>6</v>
      </c>
      <c r="B4" s="40" t="s">
        <v>507</v>
      </c>
      <c r="C4" s="41"/>
    </row>
    <row r="5">
      <c r="A5" s="39" t="s">
        <v>745</v>
      </c>
      <c r="B5" s="42">
        <v>46169.0</v>
      </c>
      <c r="C5" s="41"/>
    </row>
    <row r="6">
      <c r="A6" s="39" t="s">
        <v>0</v>
      </c>
      <c r="B6" s="40" t="s">
        <v>469</v>
      </c>
      <c r="C6" s="41"/>
    </row>
    <row r="7">
      <c r="A7" s="39" t="s">
        <v>7</v>
      </c>
      <c r="B7" s="40" t="s">
        <v>377</v>
      </c>
      <c r="C7" s="41"/>
    </row>
    <row r="8">
      <c r="A8" s="39" t="s">
        <v>746</v>
      </c>
      <c r="B8" s="40">
        <v>2.0</v>
      </c>
      <c r="C8" s="41"/>
    </row>
    <row r="9">
      <c r="A9" s="43" t="s">
        <v>8</v>
      </c>
      <c r="B9" s="44" t="s">
        <v>508</v>
      </c>
      <c r="C9" s="45"/>
    </row>
    <row r="10">
      <c r="A10" s="35"/>
      <c r="B10" s="35"/>
      <c r="C10" s="35"/>
    </row>
    <row r="11">
      <c r="A11" s="34" t="s">
        <v>747</v>
      </c>
    </row>
    <row r="12">
      <c r="A12" s="35"/>
      <c r="B12" s="35"/>
      <c r="C12" s="35"/>
    </row>
    <row r="13">
      <c r="A13" s="46" t="s">
        <v>3747</v>
      </c>
    </row>
    <row r="14">
      <c r="A14" s="35"/>
      <c r="B14" s="35"/>
      <c r="C14" s="35"/>
    </row>
    <row r="15">
      <c r="A15" s="34" t="s">
        <v>748</v>
      </c>
    </row>
    <row r="16">
      <c r="A16" s="35"/>
      <c r="B16" s="35"/>
      <c r="C16" s="35"/>
    </row>
    <row r="17">
      <c r="A17" s="36" t="s">
        <v>749</v>
      </c>
      <c r="B17" s="37" t="s">
        <v>750</v>
      </c>
      <c r="C17" s="47" t="s">
        <v>751</v>
      </c>
    </row>
    <row r="18">
      <c r="A18" s="39">
        <v>1.0</v>
      </c>
      <c r="B18" s="40" t="s">
        <v>3748</v>
      </c>
      <c r="C18" s="48" t="s">
        <v>753</v>
      </c>
    </row>
    <row r="19">
      <c r="A19" s="39">
        <v>2.0</v>
      </c>
      <c r="B19" s="40" t="s">
        <v>3749</v>
      </c>
      <c r="C19" s="48" t="s">
        <v>753</v>
      </c>
    </row>
    <row r="20">
      <c r="A20" s="39">
        <v>3.0</v>
      </c>
      <c r="B20" s="40" t="s">
        <v>3750</v>
      </c>
      <c r="C20" s="48" t="s">
        <v>753</v>
      </c>
    </row>
    <row r="21">
      <c r="A21" s="39">
        <v>4.0</v>
      </c>
      <c r="B21" s="40" t="s">
        <v>3751</v>
      </c>
      <c r="C21" s="48" t="s">
        <v>753</v>
      </c>
    </row>
    <row r="22">
      <c r="A22" s="39">
        <v>5.0</v>
      </c>
      <c r="B22" s="40" t="s">
        <v>3752</v>
      </c>
      <c r="C22" s="48" t="s">
        <v>753</v>
      </c>
    </row>
    <row r="23">
      <c r="A23" s="39">
        <v>6.0</v>
      </c>
      <c r="B23" s="40" t="s">
        <v>3753</v>
      </c>
      <c r="C23" s="48" t="s">
        <v>753</v>
      </c>
    </row>
    <row r="24">
      <c r="A24" s="39">
        <v>7.0</v>
      </c>
      <c r="B24" s="40" t="s">
        <v>3754</v>
      </c>
      <c r="C24" s="48" t="s">
        <v>753</v>
      </c>
    </row>
    <row r="25">
      <c r="A25" s="43">
        <v>8.0</v>
      </c>
      <c r="B25" s="49" t="s">
        <v>3755</v>
      </c>
      <c r="C25" s="50" t="s">
        <v>3756</v>
      </c>
    </row>
    <row r="26">
      <c r="A26" s="35"/>
      <c r="B26" s="35"/>
      <c r="C26" s="35"/>
    </row>
    <row r="27">
      <c r="A27" s="34" t="s">
        <v>756</v>
      </c>
    </row>
    <row r="28">
      <c r="A28" s="35"/>
      <c r="B28" s="35"/>
      <c r="C28" s="35"/>
    </row>
    <row r="29">
      <c r="A29" s="36" t="s">
        <v>749</v>
      </c>
      <c r="B29" s="37" t="s">
        <v>757</v>
      </c>
      <c r="C29" s="38"/>
    </row>
    <row r="30">
      <c r="A30" s="39">
        <v>1.0</v>
      </c>
      <c r="B30" s="40" t="s">
        <v>3757</v>
      </c>
      <c r="C30" s="41"/>
    </row>
    <row r="31">
      <c r="A31" s="39">
        <v>2.0</v>
      </c>
      <c r="B31" s="40" t="s">
        <v>3758</v>
      </c>
      <c r="C31" s="41"/>
    </row>
    <row r="32">
      <c r="A32" s="39">
        <v>3.0</v>
      </c>
      <c r="B32" s="40" t="s">
        <v>3759</v>
      </c>
      <c r="C32" s="41"/>
    </row>
    <row r="33">
      <c r="A33" s="43">
        <v>4.0</v>
      </c>
      <c r="B33" s="49" t="s">
        <v>3760</v>
      </c>
      <c r="C33" s="45"/>
    </row>
    <row r="34">
      <c r="A34" s="35"/>
      <c r="B34" s="35"/>
      <c r="C34" s="35"/>
    </row>
    <row r="35">
      <c r="A35" s="34" t="s">
        <v>760</v>
      </c>
    </row>
    <row r="36">
      <c r="A36" s="35"/>
      <c r="B36" s="35"/>
      <c r="C36" s="35"/>
    </row>
    <row r="37">
      <c r="A37" s="36" t="s">
        <v>749</v>
      </c>
      <c r="B37" s="37" t="s">
        <v>757</v>
      </c>
      <c r="C37" s="38"/>
    </row>
    <row r="38">
      <c r="A38" s="39">
        <v>1.0</v>
      </c>
      <c r="B38" s="40" t="s">
        <v>3761</v>
      </c>
      <c r="C38" s="41"/>
    </row>
    <row r="39">
      <c r="A39" s="39">
        <v>2.0</v>
      </c>
      <c r="B39" s="40" t="s">
        <v>3762</v>
      </c>
      <c r="C39" s="41"/>
    </row>
    <row r="40">
      <c r="A40" s="39">
        <v>3.0</v>
      </c>
      <c r="B40" s="40" t="s">
        <v>3763</v>
      </c>
      <c r="C40" s="41"/>
    </row>
    <row r="41">
      <c r="A41" s="43">
        <v>4.0</v>
      </c>
      <c r="B41" s="49" t="s">
        <v>3764</v>
      </c>
      <c r="C41" s="45"/>
    </row>
    <row r="42">
      <c r="A42" s="35"/>
      <c r="B42" s="35"/>
      <c r="C42" s="35"/>
    </row>
    <row r="43">
      <c r="A43" s="34" t="s">
        <v>763</v>
      </c>
    </row>
    <row r="44">
      <c r="A44" s="35"/>
      <c r="B44" s="35"/>
      <c r="C44" s="35"/>
    </row>
    <row r="45">
      <c r="A45" s="36" t="s">
        <v>749</v>
      </c>
      <c r="B45" s="37" t="s">
        <v>757</v>
      </c>
      <c r="C45" s="38"/>
    </row>
    <row r="46">
      <c r="A46" s="39">
        <v>1.0</v>
      </c>
      <c r="B46" s="40" t="s">
        <v>3765</v>
      </c>
      <c r="C46" s="41"/>
    </row>
    <row r="47">
      <c r="A47" s="39">
        <v>2.0</v>
      </c>
      <c r="B47" s="40" t="s">
        <v>3766</v>
      </c>
      <c r="C47" s="41"/>
    </row>
    <row r="48">
      <c r="A48" s="39">
        <v>3.0</v>
      </c>
      <c r="B48" s="40" t="s">
        <v>3767</v>
      </c>
      <c r="C48" s="41"/>
    </row>
    <row r="49">
      <c r="A49" s="39">
        <v>4.0</v>
      </c>
      <c r="B49" s="40" t="s">
        <v>3768</v>
      </c>
      <c r="C49" s="41"/>
    </row>
    <row r="50">
      <c r="A50" s="39">
        <v>5.0</v>
      </c>
      <c r="B50" s="40" t="s">
        <v>3769</v>
      </c>
      <c r="C50" s="41"/>
    </row>
    <row r="51">
      <c r="A51" s="39">
        <v>6.0</v>
      </c>
      <c r="B51" s="40" t="s">
        <v>3770</v>
      </c>
      <c r="C51" s="41"/>
    </row>
    <row r="52">
      <c r="A52" s="39">
        <v>7.0</v>
      </c>
      <c r="B52" s="40" t="s">
        <v>899</v>
      </c>
      <c r="C52" s="41"/>
    </row>
    <row r="53">
      <c r="A53" s="43">
        <v>8.0</v>
      </c>
      <c r="B53" s="49" t="s">
        <v>3771</v>
      </c>
      <c r="C53" s="45"/>
    </row>
  </sheetData>
  <mergeCells count="7">
    <mergeCell ref="A1:C1"/>
    <mergeCell ref="A11:C11"/>
    <mergeCell ref="A13:C13"/>
    <mergeCell ref="A15:C15"/>
    <mergeCell ref="A27:C27"/>
    <mergeCell ref="A35:C35"/>
    <mergeCell ref="A43:C43"/>
  </mergeCells>
  <hyperlinks>
    <hyperlink r:id="rId1" ref="B9"/>
  </hyperlinks>
  <drawing r:id="rId2"/>
</worksheet>
</file>

<file path=xl/worksheets/sheet1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2" max="2" width="87.63"/>
    <col customWidth="1" min="3" max="3" width="20.13"/>
  </cols>
  <sheetData>
    <row r="1">
      <c r="A1" s="34" t="s">
        <v>742</v>
      </c>
    </row>
    <row r="2">
      <c r="A2" s="35"/>
      <c r="B2" s="35"/>
      <c r="C2" s="35"/>
    </row>
    <row r="3">
      <c r="A3" s="36" t="s">
        <v>743</v>
      </c>
      <c r="B3" s="37" t="s">
        <v>744</v>
      </c>
      <c r="C3" s="38"/>
    </row>
    <row r="4">
      <c r="A4" s="39" t="s">
        <v>6</v>
      </c>
      <c r="B4" s="40" t="s">
        <v>512</v>
      </c>
      <c r="C4" s="41"/>
    </row>
    <row r="5">
      <c r="A5" s="39" t="s">
        <v>745</v>
      </c>
      <c r="B5" s="42">
        <v>46169.0</v>
      </c>
      <c r="C5" s="41"/>
    </row>
    <row r="6">
      <c r="A6" s="39" t="s">
        <v>0</v>
      </c>
      <c r="B6" s="40" t="s">
        <v>469</v>
      </c>
      <c r="C6" s="41"/>
    </row>
    <row r="7">
      <c r="A7" s="39" t="s">
        <v>7</v>
      </c>
      <c r="B7" s="40" t="s">
        <v>92</v>
      </c>
      <c r="C7" s="41"/>
    </row>
    <row r="8">
      <c r="A8" s="39" t="s">
        <v>746</v>
      </c>
      <c r="B8" s="40">
        <v>4.0</v>
      </c>
      <c r="C8" s="41"/>
    </row>
    <row r="9">
      <c r="A9" s="43" t="s">
        <v>8</v>
      </c>
      <c r="B9" s="44" t="s">
        <v>513</v>
      </c>
      <c r="C9" s="45"/>
    </row>
    <row r="10">
      <c r="A10" s="35"/>
      <c r="B10" s="35"/>
      <c r="C10" s="35"/>
    </row>
    <row r="11">
      <c r="A11" s="34" t="s">
        <v>747</v>
      </c>
    </row>
    <row r="12">
      <c r="A12" s="35"/>
      <c r="B12" s="35"/>
      <c r="C12" s="35"/>
    </row>
    <row r="13">
      <c r="A13" s="46" t="s">
        <v>514</v>
      </c>
    </row>
    <row r="14">
      <c r="A14" s="35"/>
      <c r="B14" s="35"/>
      <c r="C14" s="35"/>
    </row>
    <row r="15">
      <c r="A15" s="34" t="s">
        <v>748</v>
      </c>
    </row>
    <row r="16">
      <c r="A16" s="35"/>
      <c r="B16" s="35"/>
      <c r="C16" s="35"/>
    </row>
    <row r="17">
      <c r="A17" s="36" t="s">
        <v>749</v>
      </c>
      <c r="B17" s="37" t="s">
        <v>750</v>
      </c>
      <c r="C17" s="47" t="s">
        <v>751</v>
      </c>
    </row>
    <row r="18">
      <c r="A18" s="39">
        <v>1.0</v>
      </c>
      <c r="B18" s="40" t="s">
        <v>3772</v>
      </c>
      <c r="C18" s="48" t="s">
        <v>3035</v>
      </c>
    </row>
    <row r="19">
      <c r="A19" s="39">
        <v>2.0</v>
      </c>
      <c r="B19" s="40" t="s">
        <v>3773</v>
      </c>
      <c r="C19" s="48" t="s">
        <v>3035</v>
      </c>
    </row>
    <row r="20">
      <c r="A20" s="39">
        <v>3.0</v>
      </c>
      <c r="B20" s="40" t="s">
        <v>3774</v>
      </c>
      <c r="C20" s="48" t="s">
        <v>753</v>
      </c>
    </row>
    <row r="21">
      <c r="A21" s="39">
        <v>4.0</v>
      </c>
      <c r="B21" s="40" t="s">
        <v>3775</v>
      </c>
      <c r="C21" s="48" t="s">
        <v>3035</v>
      </c>
    </row>
    <row r="22">
      <c r="A22" s="43">
        <v>5.0</v>
      </c>
      <c r="B22" s="49" t="s">
        <v>3776</v>
      </c>
      <c r="C22" s="50" t="s">
        <v>3035</v>
      </c>
    </row>
    <row r="23">
      <c r="A23" s="35"/>
      <c r="B23" s="35"/>
      <c r="C23" s="35"/>
    </row>
    <row r="24">
      <c r="A24" s="34" t="s">
        <v>756</v>
      </c>
    </row>
    <row r="25">
      <c r="A25" s="35"/>
      <c r="B25" s="35"/>
      <c r="C25" s="35"/>
    </row>
    <row r="26">
      <c r="A26" s="36" t="s">
        <v>749</v>
      </c>
      <c r="B26" s="37" t="s">
        <v>757</v>
      </c>
      <c r="C26" s="38"/>
    </row>
    <row r="27">
      <c r="A27" s="39">
        <v>1.0</v>
      </c>
      <c r="B27" s="40" t="s">
        <v>3777</v>
      </c>
      <c r="C27" s="41"/>
    </row>
    <row r="28">
      <c r="A28" s="39">
        <v>2.0</v>
      </c>
      <c r="B28" s="40" t="s">
        <v>3778</v>
      </c>
      <c r="C28" s="41"/>
    </row>
    <row r="29">
      <c r="A29" s="43">
        <v>3.0</v>
      </c>
      <c r="B29" s="49" t="s">
        <v>3779</v>
      </c>
      <c r="C29" s="45"/>
    </row>
    <row r="30">
      <c r="A30" s="35"/>
      <c r="B30" s="35"/>
      <c r="C30" s="35"/>
    </row>
    <row r="31">
      <c r="A31" s="34" t="s">
        <v>760</v>
      </c>
    </row>
    <row r="32">
      <c r="A32" s="35"/>
      <c r="B32" s="35"/>
      <c r="C32" s="35"/>
    </row>
    <row r="33">
      <c r="A33" s="36" t="s">
        <v>749</v>
      </c>
      <c r="B33" s="37" t="s">
        <v>757</v>
      </c>
      <c r="C33" s="38"/>
    </row>
    <row r="34">
      <c r="A34" s="39">
        <v>1.0</v>
      </c>
      <c r="B34" s="40" t="s">
        <v>3780</v>
      </c>
      <c r="C34" s="41"/>
    </row>
    <row r="35">
      <c r="A35" s="39">
        <v>2.0</v>
      </c>
      <c r="B35" s="40" t="s">
        <v>3781</v>
      </c>
      <c r="C35" s="41"/>
    </row>
    <row r="36">
      <c r="A36" s="39">
        <v>3.0</v>
      </c>
      <c r="B36" s="40" t="s">
        <v>3782</v>
      </c>
      <c r="C36" s="41"/>
    </row>
    <row r="37">
      <c r="A37" s="43">
        <v>4.0</v>
      </c>
      <c r="B37" s="49" t="s">
        <v>3783</v>
      </c>
      <c r="C37" s="45"/>
    </row>
    <row r="38">
      <c r="A38" s="35"/>
      <c r="B38" s="35"/>
      <c r="C38" s="35"/>
    </row>
    <row r="39">
      <c r="A39" s="34" t="s">
        <v>763</v>
      </c>
    </row>
    <row r="40">
      <c r="A40" s="35"/>
      <c r="B40" s="35"/>
      <c r="C40" s="35"/>
    </row>
    <row r="41">
      <c r="A41" s="36" t="s">
        <v>749</v>
      </c>
      <c r="B41" s="37" t="s">
        <v>757</v>
      </c>
      <c r="C41" s="38"/>
    </row>
    <row r="42">
      <c r="A42" s="39">
        <v>1.0</v>
      </c>
      <c r="B42" s="40" t="s">
        <v>3784</v>
      </c>
      <c r="C42" s="41"/>
    </row>
    <row r="43">
      <c r="A43" s="39">
        <v>2.0</v>
      </c>
      <c r="B43" s="40" t="s">
        <v>3785</v>
      </c>
      <c r="C43" s="41"/>
    </row>
    <row r="44">
      <c r="A44" s="39">
        <v>3.0</v>
      </c>
      <c r="B44" s="40" t="s">
        <v>3786</v>
      </c>
      <c r="C44" s="41"/>
    </row>
    <row r="45">
      <c r="A45" s="39">
        <v>4.0</v>
      </c>
      <c r="B45" s="40" t="s">
        <v>3787</v>
      </c>
      <c r="C45" s="41"/>
    </row>
    <row r="46">
      <c r="A46" s="43">
        <v>5.0</v>
      </c>
      <c r="B46" s="49" t="s">
        <v>3788</v>
      </c>
      <c r="C46" s="45"/>
    </row>
  </sheetData>
  <mergeCells count="7">
    <mergeCell ref="A1:C1"/>
    <mergeCell ref="A11:C11"/>
    <mergeCell ref="A13:C13"/>
    <mergeCell ref="A15:C15"/>
    <mergeCell ref="A24:C24"/>
    <mergeCell ref="A31:C31"/>
    <mergeCell ref="A39:C39"/>
  </mergeCells>
  <hyperlinks>
    <hyperlink r:id="rId1" ref="B9"/>
  </hyperlinks>
  <drawing r:id="rId2"/>
</worksheet>
</file>

<file path=xl/worksheets/sheet1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2" max="2" width="87.63"/>
    <col customWidth="1" min="3" max="3" width="20.13"/>
  </cols>
  <sheetData>
    <row r="1">
      <c r="A1" s="34" t="s">
        <v>742</v>
      </c>
    </row>
    <row r="2">
      <c r="A2" s="35"/>
      <c r="B2" s="35"/>
      <c r="C2" s="35"/>
    </row>
    <row r="3">
      <c r="A3" s="36" t="s">
        <v>743</v>
      </c>
      <c r="B3" s="37" t="s">
        <v>744</v>
      </c>
      <c r="C3" s="38"/>
    </row>
    <row r="4">
      <c r="A4" s="39" t="s">
        <v>6</v>
      </c>
      <c r="B4" s="40" t="s">
        <v>517</v>
      </c>
      <c r="C4" s="41"/>
    </row>
    <row r="5">
      <c r="A5" s="39" t="s">
        <v>745</v>
      </c>
      <c r="B5" s="42">
        <v>46169.0</v>
      </c>
      <c r="C5" s="41"/>
    </row>
    <row r="6">
      <c r="A6" s="39" t="s">
        <v>0</v>
      </c>
      <c r="B6" s="40" t="s">
        <v>469</v>
      </c>
      <c r="C6" s="41"/>
    </row>
    <row r="7">
      <c r="A7" s="39" t="s">
        <v>7</v>
      </c>
      <c r="B7" s="40" t="s">
        <v>518</v>
      </c>
      <c r="C7" s="41"/>
    </row>
    <row r="8">
      <c r="A8" s="39" t="s">
        <v>746</v>
      </c>
      <c r="B8" s="40">
        <v>5.0</v>
      </c>
      <c r="C8" s="41"/>
    </row>
    <row r="9">
      <c r="A9" s="43" t="s">
        <v>8</v>
      </c>
      <c r="B9" s="44" t="s">
        <v>519</v>
      </c>
      <c r="C9" s="45"/>
    </row>
    <row r="10">
      <c r="A10" s="35"/>
      <c r="B10" s="35"/>
      <c r="C10" s="35"/>
    </row>
    <row r="11">
      <c r="A11" s="34" t="s">
        <v>747</v>
      </c>
    </row>
    <row r="12">
      <c r="A12" s="35"/>
      <c r="B12" s="35"/>
      <c r="C12" s="35"/>
    </row>
    <row r="13">
      <c r="A13" s="46" t="s">
        <v>520</v>
      </c>
    </row>
    <row r="14">
      <c r="A14" s="35"/>
      <c r="B14" s="35"/>
      <c r="C14" s="35"/>
    </row>
    <row r="15">
      <c r="A15" s="34" t="s">
        <v>748</v>
      </c>
    </row>
    <row r="16">
      <c r="A16" s="35"/>
      <c r="B16" s="35"/>
      <c r="C16" s="35"/>
    </row>
    <row r="17">
      <c r="A17" s="36" t="s">
        <v>749</v>
      </c>
      <c r="B17" s="37" t="s">
        <v>750</v>
      </c>
      <c r="C17" s="47" t="s">
        <v>751</v>
      </c>
    </row>
    <row r="18">
      <c r="A18" s="39">
        <v>1.0</v>
      </c>
      <c r="B18" s="40" t="s">
        <v>3789</v>
      </c>
      <c r="C18" s="48" t="s">
        <v>1418</v>
      </c>
    </row>
    <row r="19">
      <c r="A19" s="39">
        <v>2.0</v>
      </c>
      <c r="B19" s="40" t="s">
        <v>3790</v>
      </c>
      <c r="C19" s="48" t="s">
        <v>1418</v>
      </c>
    </row>
    <row r="20">
      <c r="A20" s="39">
        <v>3.0</v>
      </c>
      <c r="B20" s="40" t="s">
        <v>3791</v>
      </c>
      <c r="C20" s="48" t="s">
        <v>1418</v>
      </c>
    </row>
    <row r="21">
      <c r="A21" s="39">
        <v>4.0</v>
      </c>
      <c r="B21" s="40" t="s">
        <v>3792</v>
      </c>
      <c r="C21" s="48" t="s">
        <v>3793</v>
      </c>
    </row>
    <row r="22">
      <c r="A22" s="39">
        <v>5.0</v>
      </c>
      <c r="B22" s="40" t="s">
        <v>3794</v>
      </c>
      <c r="C22" s="48" t="s">
        <v>1418</v>
      </c>
    </row>
    <row r="23">
      <c r="A23" s="39">
        <v>6.0</v>
      </c>
      <c r="B23" s="40" t="s">
        <v>3795</v>
      </c>
      <c r="C23" s="48" t="s">
        <v>1418</v>
      </c>
    </row>
    <row r="24">
      <c r="A24" s="39">
        <v>7.0</v>
      </c>
      <c r="B24" s="40" t="s">
        <v>3796</v>
      </c>
      <c r="C24" s="48" t="s">
        <v>1418</v>
      </c>
    </row>
    <row r="25">
      <c r="A25" s="39">
        <v>8.0</v>
      </c>
      <c r="B25" s="40" t="s">
        <v>3797</v>
      </c>
      <c r="C25" s="48" t="s">
        <v>3793</v>
      </c>
    </row>
    <row r="26">
      <c r="A26" s="39">
        <v>9.0</v>
      </c>
      <c r="B26" s="40" t="s">
        <v>3798</v>
      </c>
      <c r="C26" s="48" t="s">
        <v>3799</v>
      </c>
    </row>
    <row r="27">
      <c r="A27" s="43">
        <v>10.0</v>
      </c>
      <c r="B27" s="49" t="s">
        <v>3800</v>
      </c>
      <c r="C27" s="50" t="s">
        <v>1418</v>
      </c>
    </row>
    <row r="28">
      <c r="A28" s="35"/>
      <c r="B28" s="35"/>
      <c r="C28" s="35"/>
    </row>
    <row r="29">
      <c r="A29" s="34" t="s">
        <v>756</v>
      </c>
    </row>
    <row r="30">
      <c r="A30" s="35"/>
      <c r="B30" s="35"/>
      <c r="C30" s="35"/>
    </row>
    <row r="31">
      <c r="A31" s="36" t="s">
        <v>749</v>
      </c>
      <c r="B31" s="37" t="s">
        <v>757</v>
      </c>
      <c r="C31" s="38"/>
    </row>
    <row r="32">
      <c r="A32" s="39">
        <v>1.0</v>
      </c>
      <c r="B32" s="40" t="s">
        <v>3801</v>
      </c>
      <c r="C32" s="41"/>
    </row>
    <row r="33">
      <c r="A33" s="39">
        <v>2.0</v>
      </c>
      <c r="B33" s="40" t="s">
        <v>3802</v>
      </c>
      <c r="C33" s="41"/>
    </row>
    <row r="34">
      <c r="A34" s="39">
        <v>3.0</v>
      </c>
      <c r="B34" s="40" t="s">
        <v>3803</v>
      </c>
      <c r="C34" s="41"/>
    </row>
    <row r="35">
      <c r="A35" s="39">
        <v>4.0</v>
      </c>
      <c r="B35" s="40" t="s">
        <v>3804</v>
      </c>
      <c r="C35" s="41"/>
    </row>
    <row r="36">
      <c r="A36" s="43">
        <v>5.0</v>
      </c>
      <c r="B36" s="49" t="s">
        <v>3805</v>
      </c>
      <c r="C36" s="45"/>
    </row>
    <row r="37">
      <c r="A37" s="35"/>
      <c r="B37" s="35"/>
      <c r="C37" s="35"/>
    </row>
    <row r="38">
      <c r="A38" s="34" t="s">
        <v>760</v>
      </c>
    </row>
    <row r="39">
      <c r="A39" s="35"/>
      <c r="B39" s="35"/>
      <c r="C39" s="35"/>
    </row>
    <row r="40">
      <c r="A40" s="36" t="s">
        <v>749</v>
      </c>
      <c r="B40" s="37" t="s">
        <v>757</v>
      </c>
      <c r="C40" s="38"/>
    </row>
    <row r="41">
      <c r="A41" s="39">
        <v>1.0</v>
      </c>
      <c r="B41" s="40" t="s">
        <v>3806</v>
      </c>
      <c r="C41" s="41"/>
    </row>
    <row r="42">
      <c r="A42" s="39">
        <v>2.0</v>
      </c>
      <c r="B42" s="40" t="s">
        <v>3807</v>
      </c>
      <c r="C42" s="41"/>
    </row>
    <row r="43">
      <c r="A43" s="39">
        <v>3.0</v>
      </c>
      <c r="B43" s="40" t="s">
        <v>3808</v>
      </c>
      <c r="C43" s="41"/>
    </row>
    <row r="44">
      <c r="A44" s="39">
        <v>4.0</v>
      </c>
      <c r="B44" s="40" t="s">
        <v>3809</v>
      </c>
      <c r="C44" s="41"/>
    </row>
    <row r="45">
      <c r="A45" s="43">
        <v>5.0</v>
      </c>
      <c r="B45" s="49" t="s">
        <v>3810</v>
      </c>
      <c r="C45" s="45"/>
    </row>
    <row r="46">
      <c r="A46" s="35"/>
      <c r="B46" s="35"/>
      <c r="C46" s="35"/>
    </row>
    <row r="47">
      <c r="A47" s="34" t="s">
        <v>763</v>
      </c>
    </row>
    <row r="48">
      <c r="A48" s="35"/>
      <c r="B48" s="35"/>
      <c r="C48" s="35"/>
    </row>
    <row r="49">
      <c r="A49" s="36" t="s">
        <v>749</v>
      </c>
      <c r="B49" s="37" t="s">
        <v>757</v>
      </c>
      <c r="C49" s="38"/>
    </row>
    <row r="50">
      <c r="A50" s="39">
        <v>1.0</v>
      </c>
      <c r="B50" s="40" t="s">
        <v>3811</v>
      </c>
      <c r="C50" s="41"/>
    </row>
    <row r="51">
      <c r="A51" s="39">
        <v>2.0</v>
      </c>
      <c r="B51" s="40" t="s">
        <v>3812</v>
      </c>
      <c r="C51" s="41"/>
    </row>
    <row r="52">
      <c r="A52" s="39">
        <v>3.0</v>
      </c>
      <c r="B52" s="40" t="s">
        <v>3813</v>
      </c>
      <c r="C52" s="41"/>
    </row>
    <row r="53">
      <c r="A53" s="39">
        <v>4.0</v>
      </c>
      <c r="B53" s="40" t="s">
        <v>3814</v>
      </c>
      <c r="C53" s="41"/>
    </row>
    <row r="54">
      <c r="A54" s="39">
        <v>5.0</v>
      </c>
      <c r="B54" s="40" t="s">
        <v>3815</v>
      </c>
      <c r="C54" s="41"/>
    </row>
    <row r="55">
      <c r="A55" s="39">
        <v>6.0</v>
      </c>
      <c r="B55" s="40" t="s">
        <v>3816</v>
      </c>
      <c r="C55" s="41"/>
    </row>
    <row r="56">
      <c r="A56" s="39">
        <v>7.0</v>
      </c>
      <c r="B56" s="40" t="s">
        <v>3817</v>
      </c>
      <c r="C56" s="41"/>
    </row>
    <row r="57">
      <c r="A57" s="43">
        <v>8.0</v>
      </c>
      <c r="B57" s="49" t="s">
        <v>3818</v>
      </c>
      <c r="C57" s="45"/>
    </row>
  </sheetData>
  <mergeCells count="7">
    <mergeCell ref="A1:C1"/>
    <mergeCell ref="A11:C11"/>
    <mergeCell ref="A13:C13"/>
    <mergeCell ref="A15:C15"/>
    <mergeCell ref="A29:C29"/>
    <mergeCell ref="A38:C38"/>
    <mergeCell ref="A47:C47"/>
  </mergeCells>
  <hyperlinks>
    <hyperlink r:id="rId1" ref="B9"/>
  </hyperlinks>
  <drawing r:id="rId2"/>
</worksheet>
</file>

<file path=xl/worksheets/sheet1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2" max="2" width="87.63"/>
    <col customWidth="1" min="3" max="3" width="20.13"/>
  </cols>
  <sheetData>
    <row r="1">
      <c r="A1" s="34" t="s">
        <v>742</v>
      </c>
    </row>
    <row r="2">
      <c r="A2" s="35"/>
      <c r="B2" s="35"/>
      <c r="C2" s="35"/>
    </row>
    <row r="3">
      <c r="A3" s="36" t="s">
        <v>743</v>
      </c>
      <c r="B3" s="37" t="s">
        <v>744</v>
      </c>
      <c r="C3" s="38"/>
    </row>
    <row r="4">
      <c r="A4" s="39" t="s">
        <v>6</v>
      </c>
      <c r="B4" s="40" t="s">
        <v>522</v>
      </c>
      <c r="C4" s="41"/>
    </row>
    <row r="5">
      <c r="A5" s="39" t="s">
        <v>745</v>
      </c>
      <c r="B5" s="42">
        <v>46169.0</v>
      </c>
      <c r="C5" s="41"/>
    </row>
    <row r="6">
      <c r="A6" s="39" t="s">
        <v>0</v>
      </c>
      <c r="B6" s="40" t="s">
        <v>469</v>
      </c>
      <c r="C6" s="41"/>
    </row>
    <row r="7">
      <c r="A7" s="39" t="s">
        <v>7</v>
      </c>
      <c r="B7" s="40" t="s">
        <v>26</v>
      </c>
      <c r="C7" s="41"/>
    </row>
    <row r="8">
      <c r="A8" s="39" t="s">
        <v>746</v>
      </c>
      <c r="B8" s="40">
        <v>4.0</v>
      </c>
      <c r="C8" s="41"/>
    </row>
    <row r="9">
      <c r="A9" s="43" t="s">
        <v>8</v>
      </c>
      <c r="B9" s="44" t="s">
        <v>523</v>
      </c>
      <c r="C9" s="45"/>
    </row>
    <row r="10">
      <c r="A10" s="35"/>
      <c r="B10" s="35"/>
      <c r="C10" s="35"/>
    </row>
    <row r="11">
      <c r="A11" s="34" t="s">
        <v>747</v>
      </c>
    </row>
    <row r="12">
      <c r="A12" s="35"/>
      <c r="B12" s="35"/>
      <c r="C12" s="35"/>
    </row>
    <row r="13">
      <c r="A13" s="46" t="s">
        <v>3819</v>
      </c>
    </row>
    <row r="14">
      <c r="A14" s="35"/>
      <c r="B14" s="35"/>
      <c r="C14" s="35"/>
    </row>
    <row r="15">
      <c r="A15" s="34" t="s">
        <v>748</v>
      </c>
    </row>
    <row r="16">
      <c r="A16" s="35"/>
      <c r="B16" s="35"/>
      <c r="C16" s="35"/>
    </row>
    <row r="17">
      <c r="A17" s="36" t="s">
        <v>749</v>
      </c>
      <c r="B17" s="37" t="s">
        <v>750</v>
      </c>
      <c r="C17" s="47" t="s">
        <v>751</v>
      </c>
    </row>
    <row r="18">
      <c r="A18" s="39">
        <v>1.0</v>
      </c>
      <c r="B18" s="40" t="s">
        <v>3820</v>
      </c>
      <c r="C18" s="48" t="s">
        <v>1418</v>
      </c>
    </row>
    <row r="19">
      <c r="A19" s="39">
        <v>2.0</v>
      </c>
      <c r="B19" s="40" t="s">
        <v>3821</v>
      </c>
      <c r="C19" s="48" t="s">
        <v>3822</v>
      </c>
    </row>
    <row r="20">
      <c r="A20" s="39">
        <v>3.0</v>
      </c>
      <c r="B20" s="40" t="s">
        <v>3823</v>
      </c>
      <c r="C20" s="48" t="s">
        <v>1418</v>
      </c>
    </row>
    <row r="21">
      <c r="A21" s="39">
        <v>4.0</v>
      </c>
      <c r="B21" s="40" t="s">
        <v>3824</v>
      </c>
      <c r="C21" s="48" t="s">
        <v>1418</v>
      </c>
    </row>
    <row r="22">
      <c r="A22" s="39">
        <v>5.0</v>
      </c>
      <c r="B22" s="40" t="s">
        <v>3825</v>
      </c>
      <c r="C22" s="48" t="s">
        <v>1418</v>
      </c>
    </row>
    <row r="23">
      <c r="A23" s="43">
        <v>6.0</v>
      </c>
      <c r="B23" s="49" t="s">
        <v>3826</v>
      </c>
      <c r="C23" s="50" t="s">
        <v>753</v>
      </c>
    </row>
    <row r="24">
      <c r="A24" s="35"/>
      <c r="B24" s="35"/>
      <c r="C24" s="35"/>
    </row>
    <row r="25">
      <c r="A25" s="34" t="s">
        <v>756</v>
      </c>
    </row>
    <row r="26">
      <c r="A26" s="35"/>
      <c r="B26" s="35"/>
      <c r="C26" s="35"/>
    </row>
    <row r="27">
      <c r="A27" s="36" t="s">
        <v>749</v>
      </c>
      <c r="B27" s="37" t="s">
        <v>757</v>
      </c>
      <c r="C27" s="38"/>
    </row>
    <row r="28">
      <c r="A28" s="39">
        <v>1.0</v>
      </c>
      <c r="B28" s="40" t="s">
        <v>3827</v>
      </c>
      <c r="C28" s="41"/>
    </row>
    <row r="29">
      <c r="A29" s="39">
        <v>2.0</v>
      </c>
      <c r="B29" s="40" t="s">
        <v>3828</v>
      </c>
      <c r="C29" s="41"/>
    </row>
    <row r="30">
      <c r="A30" s="43">
        <v>3.0</v>
      </c>
      <c r="B30" s="49" t="s">
        <v>3829</v>
      </c>
      <c r="C30" s="45"/>
    </row>
    <row r="31">
      <c r="A31" s="35"/>
      <c r="B31" s="35"/>
      <c r="C31" s="35"/>
    </row>
    <row r="32">
      <c r="A32" s="34" t="s">
        <v>760</v>
      </c>
    </row>
    <row r="33">
      <c r="A33" s="35"/>
      <c r="B33" s="35"/>
      <c r="C33" s="35"/>
    </row>
    <row r="34">
      <c r="A34" s="36" t="s">
        <v>749</v>
      </c>
      <c r="B34" s="37" t="s">
        <v>757</v>
      </c>
      <c r="C34" s="38"/>
    </row>
    <row r="35">
      <c r="A35" s="43">
        <v>1.0</v>
      </c>
      <c r="B35" s="49" t="s">
        <v>3830</v>
      </c>
      <c r="C35" s="45"/>
    </row>
    <row r="36">
      <c r="A36" s="35"/>
      <c r="B36" s="35"/>
      <c r="C36" s="35"/>
    </row>
    <row r="37">
      <c r="A37" s="34" t="s">
        <v>763</v>
      </c>
    </row>
    <row r="38">
      <c r="A38" s="35"/>
      <c r="B38" s="35"/>
      <c r="C38" s="35"/>
    </row>
    <row r="39">
      <c r="A39" s="36" t="s">
        <v>749</v>
      </c>
      <c r="B39" s="37" t="s">
        <v>757</v>
      </c>
      <c r="C39" s="38"/>
    </row>
    <row r="40">
      <c r="A40" s="39">
        <v>1.0</v>
      </c>
      <c r="B40" s="40" t="s">
        <v>3831</v>
      </c>
      <c r="C40" s="41"/>
    </row>
    <row r="41">
      <c r="A41" s="39">
        <v>2.0</v>
      </c>
      <c r="B41" s="40" t="s">
        <v>3832</v>
      </c>
      <c r="C41" s="41"/>
    </row>
    <row r="42">
      <c r="A42" s="39">
        <v>3.0</v>
      </c>
      <c r="B42" s="40" t="s">
        <v>3833</v>
      </c>
      <c r="C42" s="41"/>
    </row>
    <row r="43">
      <c r="A43" s="39">
        <v>4.0</v>
      </c>
      <c r="B43" s="40" t="s">
        <v>3834</v>
      </c>
      <c r="C43" s="41"/>
    </row>
    <row r="44">
      <c r="A44" s="43">
        <v>5.0</v>
      </c>
      <c r="B44" s="49" t="s">
        <v>3835</v>
      </c>
      <c r="C44" s="45"/>
    </row>
  </sheetData>
  <mergeCells count="7">
    <mergeCell ref="A1:C1"/>
    <mergeCell ref="A11:C11"/>
    <mergeCell ref="A13:C13"/>
    <mergeCell ref="A15:C15"/>
    <mergeCell ref="A25:C25"/>
    <mergeCell ref="A32:C32"/>
    <mergeCell ref="A37:C37"/>
  </mergeCells>
  <hyperlinks>
    <hyperlink r:id="rId1" ref="B9"/>
  </hyperlinks>
  <drawing r:id="rId2"/>
</worksheet>
</file>

<file path=xl/worksheets/sheet1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2" max="2" width="87.63"/>
    <col customWidth="1" min="3" max="3" width="20.13"/>
  </cols>
  <sheetData>
    <row r="1">
      <c r="A1" s="34" t="s">
        <v>742</v>
      </c>
    </row>
    <row r="2">
      <c r="A2" s="35"/>
      <c r="B2" s="35"/>
      <c r="C2" s="35"/>
    </row>
    <row r="3">
      <c r="A3" s="36" t="s">
        <v>743</v>
      </c>
      <c r="B3" s="37" t="s">
        <v>744</v>
      </c>
      <c r="C3" s="38"/>
    </row>
    <row r="4">
      <c r="A4" s="39" t="s">
        <v>6</v>
      </c>
      <c r="B4" s="40" t="s">
        <v>526</v>
      </c>
      <c r="C4" s="41"/>
    </row>
    <row r="5">
      <c r="A5" s="39" t="s">
        <v>745</v>
      </c>
      <c r="B5" s="42">
        <v>46170.0</v>
      </c>
      <c r="C5" s="41"/>
    </row>
    <row r="6">
      <c r="A6" s="39" t="s">
        <v>0</v>
      </c>
      <c r="B6" s="40" t="s">
        <v>469</v>
      </c>
      <c r="C6" s="41"/>
    </row>
    <row r="7">
      <c r="A7" s="39" t="s">
        <v>7</v>
      </c>
      <c r="B7" s="40" t="s">
        <v>429</v>
      </c>
      <c r="C7" s="41"/>
    </row>
    <row r="8">
      <c r="A8" s="39" t="s">
        <v>746</v>
      </c>
      <c r="B8" s="40">
        <v>3.0</v>
      </c>
      <c r="C8" s="41"/>
    </row>
    <row r="9">
      <c r="A9" s="43" t="s">
        <v>8</v>
      </c>
      <c r="B9" s="44" t="s">
        <v>527</v>
      </c>
      <c r="C9" s="45"/>
    </row>
    <row r="10">
      <c r="A10" s="35"/>
      <c r="B10" s="35"/>
      <c r="C10" s="35"/>
    </row>
    <row r="11">
      <c r="A11" s="34" t="s">
        <v>747</v>
      </c>
    </row>
    <row r="12">
      <c r="A12" s="35"/>
      <c r="B12" s="35"/>
      <c r="C12" s="35"/>
    </row>
    <row r="13">
      <c r="A13" s="46" t="s">
        <v>528</v>
      </c>
    </row>
    <row r="14">
      <c r="A14" s="35"/>
      <c r="B14" s="35"/>
      <c r="C14" s="35"/>
    </row>
    <row r="15">
      <c r="A15" s="34" t="s">
        <v>748</v>
      </c>
    </row>
    <row r="16">
      <c r="A16" s="35"/>
      <c r="B16" s="35"/>
      <c r="C16" s="35"/>
    </row>
    <row r="17">
      <c r="A17" s="36" t="s">
        <v>749</v>
      </c>
      <c r="B17" s="37" t="s">
        <v>750</v>
      </c>
      <c r="C17" s="47" t="s">
        <v>751</v>
      </c>
    </row>
    <row r="18">
      <c r="A18" s="39">
        <v>1.0</v>
      </c>
      <c r="B18" s="40" t="s">
        <v>3836</v>
      </c>
      <c r="C18" s="48" t="s">
        <v>753</v>
      </c>
    </row>
    <row r="19">
      <c r="A19" s="39">
        <v>2.0</v>
      </c>
      <c r="B19" s="40" t="s">
        <v>3837</v>
      </c>
      <c r="C19" s="48" t="s">
        <v>3838</v>
      </c>
    </row>
    <row r="20">
      <c r="A20" s="39">
        <v>3.0</v>
      </c>
      <c r="B20" s="40" t="s">
        <v>3839</v>
      </c>
      <c r="C20" s="48" t="s">
        <v>3840</v>
      </c>
    </row>
    <row r="21">
      <c r="A21" s="43">
        <v>4.0</v>
      </c>
      <c r="B21" s="49" t="s">
        <v>3841</v>
      </c>
      <c r="C21" s="50" t="s">
        <v>753</v>
      </c>
    </row>
    <row r="22">
      <c r="A22" s="35"/>
      <c r="B22" s="35"/>
      <c r="C22" s="35"/>
    </row>
    <row r="23">
      <c r="A23" s="34" t="s">
        <v>756</v>
      </c>
    </row>
    <row r="24">
      <c r="A24" s="35"/>
      <c r="B24" s="35"/>
      <c r="C24" s="35"/>
    </row>
    <row r="25">
      <c r="A25" s="36" t="s">
        <v>749</v>
      </c>
      <c r="B25" s="37" t="s">
        <v>757</v>
      </c>
      <c r="C25" s="38"/>
    </row>
    <row r="26">
      <c r="A26" s="39">
        <v>1.0</v>
      </c>
      <c r="B26" s="40" t="s">
        <v>3842</v>
      </c>
      <c r="C26" s="41"/>
    </row>
    <row r="27">
      <c r="A27" s="39">
        <v>2.0</v>
      </c>
      <c r="B27" s="40" t="s">
        <v>3843</v>
      </c>
      <c r="C27" s="41"/>
    </row>
    <row r="28">
      <c r="A28" s="39">
        <v>3.0</v>
      </c>
      <c r="B28" s="40" t="s">
        <v>3844</v>
      </c>
      <c r="C28" s="41"/>
    </row>
    <row r="29">
      <c r="A29" s="43">
        <v>4.0</v>
      </c>
      <c r="B29" s="49" t="s">
        <v>3845</v>
      </c>
      <c r="C29" s="45"/>
    </row>
    <row r="30">
      <c r="A30" s="35"/>
      <c r="B30" s="35"/>
      <c r="C30" s="35"/>
    </row>
    <row r="31">
      <c r="A31" s="34" t="s">
        <v>760</v>
      </c>
    </row>
    <row r="32">
      <c r="A32" s="35"/>
      <c r="B32" s="35"/>
      <c r="C32" s="35"/>
    </row>
    <row r="33">
      <c r="A33" s="36" t="s">
        <v>749</v>
      </c>
      <c r="B33" s="37" t="s">
        <v>757</v>
      </c>
      <c r="C33" s="38"/>
    </row>
    <row r="34">
      <c r="A34" s="39">
        <v>1.0</v>
      </c>
      <c r="B34" s="40" t="s">
        <v>3846</v>
      </c>
      <c r="C34" s="41"/>
    </row>
    <row r="35">
      <c r="A35" s="43">
        <v>2.0</v>
      </c>
      <c r="B35" s="49" t="s">
        <v>3847</v>
      </c>
      <c r="C35" s="45"/>
    </row>
    <row r="36">
      <c r="A36" s="35"/>
      <c r="B36" s="35"/>
      <c r="C36" s="35"/>
    </row>
    <row r="37">
      <c r="A37" s="34" t="s">
        <v>763</v>
      </c>
    </row>
    <row r="38">
      <c r="A38" s="35"/>
      <c r="B38" s="35"/>
      <c r="C38" s="35"/>
    </row>
    <row r="39">
      <c r="A39" s="36" t="s">
        <v>749</v>
      </c>
      <c r="B39" s="37" t="s">
        <v>757</v>
      </c>
      <c r="C39" s="38"/>
    </row>
    <row r="40">
      <c r="A40" s="39">
        <v>1.0</v>
      </c>
      <c r="B40" s="40" t="s">
        <v>3848</v>
      </c>
      <c r="C40" s="41"/>
    </row>
    <row r="41">
      <c r="A41" s="39">
        <v>2.0</v>
      </c>
      <c r="B41" s="40" t="s">
        <v>3849</v>
      </c>
      <c r="C41" s="41"/>
    </row>
    <row r="42">
      <c r="A42" s="39">
        <v>3.0</v>
      </c>
      <c r="B42" s="40" t="s">
        <v>3850</v>
      </c>
      <c r="C42" s="41"/>
    </row>
    <row r="43">
      <c r="A43" s="43">
        <v>4.0</v>
      </c>
      <c r="B43" s="49" t="s">
        <v>3851</v>
      </c>
      <c r="C43" s="45"/>
    </row>
  </sheetData>
  <mergeCells count="7">
    <mergeCell ref="A1:C1"/>
    <mergeCell ref="A11:C11"/>
    <mergeCell ref="A13:C13"/>
    <mergeCell ref="A15:C15"/>
    <mergeCell ref="A23:C23"/>
    <mergeCell ref="A31:C31"/>
    <mergeCell ref="A37:C37"/>
  </mergeCells>
  <hyperlinks>
    <hyperlink r:id="rId1" ref="B9"/>
  </hyperlinks>
  <drawing r:id="rId2"/>
</worksheet>
</file>

<file path=xl/worksheets/sheet1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2" max="2" width="87.63"/>
    <col customWidth="1" min="3" max="3" width="20.13"/>
  </cols>
  <sheetData>
    <row r="1">
      <c r="A1" s="34" t="s">
        <v>742</v>
      </c>
    </row>
    <row r="2">
      <c r="A2" s="35"/>
      <c r="B2" s="35"/>
      <c r="C2" s="35"/>
    </row>
    <row r="3">
      <c r="A3" s="36" t="s">
        <v>743</v>
      </c>
      <c r="B3" s="37" t="s">
        <v>744</v>
      </c>
      <c r="C3" s="38"/>
    </row>
    <row r="4">
      <c r="A4" s="39" t="s">
        <v>6</v>
      </c>
      <c r="B4" s="40" t="s">
        <v>530</v>
      </c>
      <c r="C4" s="41"/>
    </row>
    <row r="5">
      <c r="A5" s="39" t="s">
        <v>745</v>
      </c>
      <c r="B5" s="42">
        <v>46170.0</v>
      </c>
      <c r="C5" s="41"/>
    </row>
    <row r="6">
      <c r="A6" s="39" t="s">
        <v>0</v>
      </c>
      <c r="B6" s="40" t="s">
        <v>469</v>
      </c>
      <c r="C6" s="41"/>
    </row>
    <row r="7">
      <c r="A7" s="39" t="s">
        <v>7</v>
      </c>
      <c r="B7" s="40" t="s">
        <v>134</v>
      </c>
      <c r="C7" s="41"/>
    </row>
    <row r="8">
      <c r="A8" s="39" t="s">
        <v>746</v>
      </c>
      <c r="B8" s="40">
        <v>2.0</v>
      </c>
      <c r="C8" s="41"/>
    </row>
    <row r="9">
      <c r="A9" s="43" t="s">
        <v>8</v>
      </c>
      <c r="B9" s="44" t="s">
        <v>531</v>
      </c>
      <c r="C9" s="45"/>
    </row>
    <row r="10">
      <c r="A10" s="35"/>
      <c r="B10" s="35"/>
      <c r="C10" s="35"/>
    </row>
    <row r="11">
      <c r="A11" s="34" t="s">
        <v>747</v>
      </c>
    </row>
    <row r="12">
      <c r="A12" s="35"/>
      <c r="B12" s="35"/>
      <c r="C12" s="35"/>
    </row>
    <row r="13">
      <c r="A13" s="46" t="s">
        <v>532</v>
      </c>
    </row>
    <row r="14">
      <c r="A14" s="35"/>
      <c r="B14" s="35"/>
      <c r="C14" s="35"/>
    </row>
    <row r="15">
      <c r="A15" s="34" t="s">
        <v>748</v>
      </c>
    </row>
    <row r="16">
      <c r="A16" s="35"/>
      <c r="B16" s="35"/>
      <c r="C16" s="35"/>
    </row>
    <row r="17">
      <c r="A17" s="36" t="s">
        <v>749</v>
      </c>
      <c r="B17" s="37" t="s">
        <v>750</v>
      </c>
      <c r="C17" s="47" t="s">
        <v>751</v>
      </c>
    </row>
    <row r="18">
      <c r="A18" s="39">
        <v>1.0</v>
      </c>
      <c r="B18" s="40" t="s">
        <v>3852</v>
      </c>
      <c r="C18" s="48" t="s">
        <v>1418</v>
      </c>
    </row>
    <row r="19">
      <c r="A19" s="39">
        <v>2.0</v>
      </c>
      <c r="B19" s="40" t="s">
        <v>3853</v>
      </c>
      <c r="C19" s="48" t="s">
        <v>1418</v>
      </c>
    </row>
    <row r="20">
      <c r="A20" s="39">
        <v>3.0</v>
      </c>
      <c r="B20" s="40" t="s">
        <v>3854</v>
      </c>
      <c r="C20" s="48" t="s">
        <v>1418</v>
      </c>
    </row>
    <row r="21">
      <c r="A21" s="43">
        <v>4.0</v>
      </c>
      <c r="B21" s="49" t="s">
        <v>3855</v>
      </c>
      <c r="C21" s="50" t="s">
        <v>1418</v>
      </c>
    </row>
    <row r="22">
      <c r="A22" s="35"/>
      <c r="B22" s="35"/>
      <c r="C22" s="35"/>
    </row>
    <row r="23">
      <c r="A23" s="34" t="s">
        <v>756</v>
      </c>
    </row>
    <row r="24">
      <c r="A24" s="35"/>
      <c r="B24" s="35"/>
      <c r="C24" s="35"/>
    </row>
    <row r="25">
      <c r="A25" s="36" t="s">
        <v>749</v>
      </c>
      <c r="B25" s="37" t="s">
        <v>757</v>
      </c>
      <c r="C25" s="38"/>
    </row>
    <row r="26">
      <c r="A26" s="43">
        <v>1.0</v>
      </c>
      <c r="B26" s="49" t="s">
        <v>1060</v>
      </c>
      <c r="C26" s="45"/>
    </row>
    <row r="27">
      <c r="A27" s="35"/>
      <c r="B27" s="35"/>
      <c r="C27" s="35"/>
    </row>
    <row r="28">
      <c r="A28" s="34" t="s">
        <v>760</v>
      </c>
    </row>
    <row r="29">
      <c r="A29" s="35"/>
      <c r="B29" s="35"/>
      <c r="C29" s="35"/>
    </row>
    <row r="30">
      <c r="A30" s="36" t="s">
        <v>749</v>
      </c>
      <c r="B30" s="37" t="s">
        <v>757</v>
      </c>
      <c r="C30" s="38"/>
    </row>
    <row r="31">
      <c r="A31" s="39">
        <v>1.0</v>
      </c>
      <c r="B31" s="40" t="s">
        <v>3856</v>
      </c>
      <c r="C31" s="41"/>
    </row>
    <row r="32">
      <c r="A32" s="39">
        <v>2.0</v>
      </c>
      <c r="B32" s="40" t="s">
        <v>3857</v>
      </c>
      <c r="C32" s="41"/>
    </row>
    <row r="33">
      <c r="A33" s="43">
        <v>3.0</v>
      </c>
      <c r="B33" s="49" t="s">
        <v>3858</v>
      </c>
      <c r="C33" s="45"/>
    </row>
    <row r="34">
      <c r="A34" s="35"/>
      <c r="B34" s="35"/>
      <c r="C34" s="35"/>
    </row>
    <row r="35">
      <c r="A35" s="34" t="s">
        <v>763</v>
      </c>
    </row>
    <row r="36">
      <c r="A36" s="35"/>
      <c r="B36" s="35"/>
      <c r="C36" s="35"/>
    </row>
    <row r="37">
      <c r="A37" s="36" t="s">
        <v>749</v>
      </c>
      <c r="B37" s="37" t="s">
        <v>757</v>
      </c>
      <c r="C37" s="38"/>
    </row>
    <row r="38">
      <c r="A38" s="39">
        <v>1.0</v>
      </c>
      <c r="B38" s="40" t="s">
        <v>3859</v>
      </c>
      <c r="C38" s="41"/>
    </row>
    <row r="39">
      <c r="A39" s="39">
        <v>2.0</v>
      </c>
      <c r="B39" s="40" t="s">
        <v>3860</v>
      </c>
      <c r="C39" s="41"/>
    </row>
    <row r="40">
      <c r="A40" s="39">
        <v>3.0</v>
      </c>
      <c r="B40" s="40" t="s">
        <v>3861</v>
      </c>
      <c r="C40" s="41"/>
    </row>
    <row r="41">
      <c r="A41" s="43">
        <v>4.0</v>
      </c>
      <c r="B41" s="49" t="s">
        <v>3862</v>
      </c>
      <c r="C41" s="45"/>
    </row>
  </sheetData>
  <mergeCells count="7">
    <mergeCell ref="A1:C1"/>
    <mergeCell ref="A11:C11"/>
    <mergeCell ref="A13:C13"/>
    <mergeCell ref="A15:C15"/>
    <mergeCell ref="A23:C23"/>
    <mergeCell ref="A28:C28"/>
    <mergeCell ref="A35:C35"/>
  </mergeCells>
  <hyperlinks>
    <hyperlink r:id="rId1" ref="B9"/>
  </hyperlinks>
  <drawing r:id="rId2"/>
</worksheet>
</file>

<file path=xl/worksheets/sheet1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2" max="2" width="87.63"/>
    <col customWidth="1" min="3" max="3" width="20.13"/>
  </cols>
  <sheetData>
    <row r="1">
      <c r="A1" s="34" t="s">
        <v>742</v>
      </c>
    </row>
    <row r="2">
      <c r="A2" s="35"/>
      <c r="B2" s="35"/>
      <c r="C2" s="35"/>
    </row>
    <row r="3">
      <c r="A3" s="36" t="s">
        <v>743</v>
      </c>
      <c r="B3" s="37" t="s">
        <v>744</v>
      </c>
      <c r="C3" s="38"/>
    </row>
    <row r="4">
      <c r="A4" s="39" t="s">
        <v>6</v>
      </c>
      <c r="B4" s="40" t="s">
        <v>535</v>
      </c>
      <c r="C4" s="41"/>
    </row>
    <row r="5">
      <c r="A5" s="39" t="s">
        <v>745</v>
      </c>
      <c r="B5" s="42">
        <v>46171.0</v>
      </c>
      <c r="C5" s="41"/>
    </row>
    <row r="6">
      <c r="A6" s="39" t="s">
        <v>0</v>
      </c>
      <c r="B6" s="40" t="s">
        <v>469</v>
      </c>
      <c r="C6" s="41"/>
    </row>
    <row r="7">
      <c r="A7" s="39" t="s">
        <v>7</v>
      </c>
      <c r="B7" s="40" t="s">
        <v>21</v>
      </c>
      <c r="C7" s="41"/>
    </row>
    <row r="8">
      <c r="A8" s="39" t="s">
        <v>746</v>
      </c>
      <c r="B8" s="40">
        <v>5.0</v>
      </c>
      <c r="C8" s="41"/>
    </row>
    <row r="9">
      <c r="A9" s="43" t="s">
        <v>8</v>
      </c>
      <c r="B9" s="44" t="s">
        <v>536</v>
      </c>
      <c r="C9" s="45"/>
    </row>
    <row r="10">
      <c r="A10" s="35"/>
      <c r="B10" s="35"/>
      <c r="C10" s="35"/>
    </row>
    <row r="11">
      <c r="A11" s="34" t="s">
        <v>747</v>
      </c>
    </row>
    <row r="12">
      <c r="A12" s="35"/>
      <c r="B12" s="35"/>
      <c r="C12" s="35"/>
    </row>
    <row r="13">
      <c r="A13" s="46" t="s">
        <v>3863</v>
      </c>
    </row>
    <row r="14">
      <c r="A14" s="35"/>
      <c r="B14" s="35"/>
      <c r="C14" s="35"/>
    </row>
    <row r="15">
      <c r="A15" s="34" t="s">
        <v>748</v>
      </c>
    </row>
    <row r="16">
      <c r="A16" s="35"/>
      <c r="B16" s="35"/>
      <c r="C16" s="35"/>
    </row>
    <row r="17">
      <c r="A17" s="36" t="s">
        <v>749</v>
      </c>
      <c r="B17" s="37" t="s">
        <v>750</v>
      </c>
      <c r="C17" s="47" t="s">
        <v>751</v>
      </c>
    </row>
    <row r="18">
      <c r="A18" s="39">
        <v>1.0</v>
      </c>
      <c r="B18" s="40" t="s">
        <v>3864</v>
      </c>
      <c r="C18" s="48" t="s">
        <v>3865</v>
      </c>
    </row>
    <row r="19">
      <c r="A19" s="39">
        <v>2.0</v>
      </c>
      <c r="B19" s="40" t="s">
        <v>3866</v>
      </c>
      <c r="C19" s="48" t="s">
        <v>753</v>
      </c>
    </row>
    <row r="20">
      <c r="A20" s="39">
        <v>3.0</v>
      </c>
      <c r="B20" s="40" t="s">
        <v>3867</v>
      </c>
      <c r="C20" s="48" t="s">
        <v>3868</v>
      </c>
    </row>
    <row r="21">
      <c r="A21" s="39">
        <v>4.0</v>
      </c>
      <c r="B21" s="40" t="s">
        <v>3869</v>
      </c>
      <c r="C21" s="48" t="s">
        <v>3870</v>
      </c>
    </row>
    <row r="22">
      <c r="A22" s="39">
        <v>5.0</v>
      </c>
      <c r="B22" s="40" t="s">
        <v>3871</v>
      </c>
      <c r="C22" s="48" t="s">
        <v>753</v>
      </c>
    </row>
    <row r="23">
      <c r="A23" s="39">
        <v>6.0</v>
      </c>
      <c r="B23" s="40" t="s">
        <v>3872</v>
      </c>
      <c r="C23" s="48" t="s">
        <v>753</v>
      </c>
    </row>
    <row r="24">
      <c r="A24" s="39">
        <v>7.0</v>
      </c>
      <c r="B24" s="40" t="s">
        <v>3873</v>
      </c>
      <c r="C24" s="48" t="s">
        <v>3874</v>
      </c>
    </row>
    <row r="25">
      <c r="A25" s="43">
        <v>8.0</v>
      </c>
      <c r="B25" s="49" t="s">
        <v>3875</v>
      </c>
      <c r="C25" s="50" t="s">
        <v>753</v>
      </c>
    </row>
    <row r="26">
      <c r="A26" s="35"/>
      <c r="B26" s="35"/>
      <c r="C26" s="35"/>
    </row>
    <row r="27">
      <c r="A27" s="34" t="s">
        <v>756</v>
      </c>
    </row>
    <row r="28">
      <c r="A28" s="35"/>
      <c r="B28" s="35"/>
      <c r="C28" s="35"/>
    </row>
    <row r="29">
      <c r="A29" s="36" t="s">
        <v>749</v>
      </c>
      <c r="B29" s="37" t="s">
        <v>757</v>
      </c>
      <c r="C29" s="38"/>
    </row>
    <row r="30">
      <c r="A30" s="39">
        <v>1.0</v>
      </c>
      <c r="B30" s="40" t="s">
        <v>3876</v>
      </c>
      <c r="C30" s="41"/>
    </row>
    <row r="31">
      <c r="A31" s="39">
        <v>2.0</v>
      </c>
      <c r="B31" s="40" t="s">
        <v>3877</v>
      </c>
      <c r="C31" s="41"/>
    </row>
    <row r="32">
      <c r="A32" s="39">
        <v>3.0</v>
      </c>
      <c r="B32" s="40" t="s">
        <v>3878</v>
      </c>
      <c r="C32" s="41"/>
    </row>
    <row r="33">
      <c r="A33" s="39">
        <v>4.0</v>
      </c>
      <c r="B33" s="40" t="s">
        <v>3879</v>
      </c>
      <c r="C33" s="41"/>
    </row>
    <row r="34">
      <c r="A34" s="43">
        <v>5.0</v>
      </c>
      <c r="B34" s="49" t="s">
        <v>3880</v>
      </c>
      <c r="C34" s="45"/>
    </row>
    <row r="35">
      <c r="A35" s="35"/>
      <c r="B35" s="35"/>
      <c r="C35" s="35"/>
    </row>
    <row r="36">
      <c r="A36" s="34" t="s">
        <v>760</v>
      </c>
    </row>
    <row r="37">
      <c r="A37" s="35"/>
      <c r="B37" s="35"/>
      <c r="C37" s="35"/>
    </row>
    <row r="38">
      <c r="A38" s="36" t="s">
        <v>749</v>
      </c>
      <c r="B38" s="37" t="s">
        <v>757</v>
      </c>
      <c r="C38" s="38"/>
    </row>
    <row r="39">
      <c r="A39" s="39">
        <v>1.0</v>
      </c>
      <c r="B39" s="40" t="s">
        <v>3881</v>
      </c>
      <c r="C39" s="41"/>
    </row>
    <row r="40">
      <c r="A40" s="39">
        <v>2.0</v>
      </c>
      <c r="B40" s="40" t="s">
        <v>3882</v>
      </c>
      <c r="C40" s="41"/>
    </row>
    <row r="41">
      <c r="A41" s="39">
        <v>3.0</v>
      </c>
      <c r="B41" s="40" t="s">
        <v>3883</v>
      </c>
      <c r="C41" s="41"/>
    </row>
    <row r="42">
      <c r="A42" s="43">
        <v>4.0</v>
      </c>
      <c r="B42" s="49" t="s">
        <v>3884</v>
      </c>
      <c r="C42" s="45"/>
    </row>
    <row r="43">
      <c r="A43" s="35"/>
      <c r="B43" s="35"/>
      <c r="C43" s="35"/>
    </row>
    <row r="44">
      <c r="A44" s="34" t="s">
        <v>763</v>
      </c>
    </row>
    <row r="45">
      <c r="A45" s="35"/>
      <c r="B45" s="35"/>
      <c r="C45" s="35"/>
    </row>
    <row r="46">
      <c r="A46" s="36" t="s">
        <v>749</v>
      </c>
      <c r="B46" s="37" t="s">
        <v>757</v>
      </c>
      <c r="C46" s="38"/>
    </row>
    <row r="47">
      <c r="A47" s="39">
        <v>1.0</v>
      </c>
      <c r="B47" s="40" t="s">
        <v>3885</v>
      </c>
      <c r="C47" s="41"/>
    </row>
    <row r="48">
      <c r="A48" s="39">
        <v>2.0</v>
      </c>
      <c r="B48" s="40" t="s">
        <v>3886</v>
      </c>
      <c r="C48" s="41"/>
    </row>
    <row r="49">
      <c r="A49" s="39">
        <v>3.0</v>
      </c>
      <c r="B49" s="40" t="s">
        <v>3887</v>
      </c>
      <c r="C49" s="41"/>
    </row>
    <row r="50">
      <c r="A50" s="39">
        <v>4.0</v>
      </c>
      <c r="B50" s="40" t="s">
        <v>3888</v>
      </c>
      <c r="C50" s="41"/>
    </row>
    <row r="51">
      <c r="A51" s="39">
        <v>5.0</v>
      </c>
      <c r="B51" s="40" t="s">
        <v>3889</v>
      </c>
      <c r="C51" s="41"/>
    </row>
    <row r="52">
      <c r="A52" s="39">
        <v>6.0</v>
      </c>
      <c r="B52" s="40" t="s">
        <v>3890</v>
      </c>
      <c r="C52" s="41"/>
    </row>
    <row r="53">
      <c r="A53" s="39">
        <v>7.0</v>
      </c>
      <c r="B53" s="40" t="s">
        <v>899</v>
      </c>
      <c r="C53" s="41"/>
    </row>
    <row r="54">
      <c r="A54" s="43">
        <v>8.0</v>
      </c>
      <c r="B54" s="49" t="s">
        <v>3891</v>
      </c>
      <c r="C54" s="45"/>
    </row>
  </sheetData>
  <mergeCells count="7">
    <mergeCell ref="A1:C1"/>
    <mergeCell ref="A11:C11"/>
    <mergeCell ref="A13:C13"/>
    <mergeCell ref="A15:C15"/>
    <mergeCell ref="A27:C27"/>
    <mergeCell ref="A36:C36"/>
    <mergeCell ref="A44:C44"/>
  </mergeCells>
  <hyperlinks>
    <hyperlink r:id="rId1" ref="B9"/>
  </hyperlinks>
  <drawing r:id="rId2"/>
</worksheet>
</file>

<file path=xl/worksheets/sheet1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2" max="2" width="87.63"/>
    <col customWidth="1" min="3" max="3" width="20.13"/>
  </cols>
  <sheetData>
    <row r="1">
      <c r="A1" s="34" t="s">
        <v>742</v>
      </c>
    </row>
    <row r="2">
      <c r="A2" s="35"/>
      <c r="B2" s="35"/>
      <c r="C2" s="35"/>
    </row>
    <row r="3">
      <c r="A3" s="36" t="s">
        <v>743</v>
      </c>
      <c r="B3" s="37" t="s">
        <v>744</v>
      </c>
      <c r="C3" s="38"/>
    </row>
    <row r="4">
      <c r="A4" s="39" t="s">
        <v>6</v>
      </c>
      <c r="B4" s="40" t="s">
        <v>540</v>
      </c>
      <c r="C4" s="41"/>
    </row>
    <row r="5">
      <c r="A5" s="39" t="s">
        <v>745</v>
      </c>
      <c r="B5" s="42">
        <v>46171.0</v>
      </c>
      <c r="C5" s="41"/>
    </row>
    <row r="6">
      <c r="A6" s="39" t="s">
        <v>0</v>
      </c>
      <c r="B6" s="40" t="s">
        <v>469</v>
      </c>
      <c r="C6" s="41"/>
    </row>
    <row r="7">
      <c r="A7" s="39" t="s">
        <v>7</v>
      </c>
      <c r="B7" s="40" t="s">
        <v>35</v>
      </c>
      <c r="C7" s="41"/>
    </row>
    <row r="8">
      <c r="A8" s="39" t="s">
        <v>746</v>
      </c>
      <c r="B8" s="40">
        <v>3.0</v>
      </c>
      <c r="C8" s="41"/>
    </row>
    <row r="9">
      <c r="A9" s="43" t="s">
        <v>8</v>
      </c>
      <c r="B9" s="44" t="s">
        <v>541</v>
      </c>
      <c r="C9" s="45"/>
    </row>
    <row r="10">
      <c r="A10" s="35"/>
      <c r="B10" s="35"/>
      <c r="C10" s="35"/>
    </row>
    <row r="11">
      <c r="A11" s="34" t="s">
        <v>747</v>
      </c>
    </row>
    <row r="12">
      <c r="A12" s="35"/>
      <c r="B12" s="35"/>
      <c r="C12" s="35"/>
    </row>
    <row r="13">
      <c r="A13" s="46" t="s">
        <v>3892</v>
      </c>
    </row>
    <row r="14">
      <c r="A14" s="35"/>
      <c r="B14" s="35"/>
      <c r="C14" s="35"/>
    </row>
    <row r="15">
      <c r="A15" s="34" t="s">
        <v>748</v>
      </c>
    </row>
    <row r="16">
      <c r="A16" s="35"/>
      <c r="B16" s="35"/>
      <c r="C16" s="35"/>
    </row>
    <row r="17">
      <c r="A17" s="36" t="s">
        <v>749</v>
      </c>
      <c r="B17" s="37" t="s">
        <v>750</v>
      </c>
      <c r="C17" s="47" t="s">
        <v>751</v>
      </c>
    </row>
    <row r="18">
      <c r="A18" s="39">
        <v>1.0</v>
      </c>
      <c r="B18" s="40" t="s">
        <v>3893</v>
      </c>
      <c r="C18" s="48" t="s">
        <v>753</v>
      </c>
    </row>
    <row r="19">
      <c r="A19" s="39">
        <v>2.0</v>
      </c>
      <c r="B19" s="40" t="s">
        <v>3894</v>
      </c>
      <c r="C19" s="48" t="s">
        <v>753</v>
      </c>
    </row>
    <row r="20">
      <c r="A20" s="39">
        <v>3.0</v>
      </c>
      <c r="B20" s="40" t="s">
        <v>3895</v>
      </c>
      <c r="C20" s="48" t="s">
        <v>753</v>
      </c>
    </row>
    <row r="21">
      <c r="A21" s="39">
        <v>4.0</v>
      </c>
      <c r="B21" s="40" t="s">
        <v>3896</v>
      </c>
      <c r="C21" s="48" t="s">
        <v>753</v>
      </c>
    </row>
    <row r="22">
      <c r="A22" s="39">
        <v>5.0</v>
      </c>
      <c r="B22" s="40" t="s">
        <v>3897</v>
      </c>
      <c r="C22" s="48" t="s">
        <v>753</v>
      </c>
    </row>
    <row r="23">
      <c r="A23" s="39">
        <v>6.0</v>
      </c>
      <c r="B23" s="40" t="s">
        <v>3898</v>
      </c>
      <c r="C23" s="48" t="s">
        <v>753</v>
      </c>
    </row>
    <row r="24">
      <c r="A24" s="43">
        <v>7.0</v>
      </c>
      <c r="B24" s="49" t="s">
        <v>3899</v>
      </c>
      <c r="C24" s="50" t="s">
        <v>3900</v>
      </c>
    </row>
    <row r="25">
      <c r="A25" s="35"/>
      <c r="B25" s="35"/>
      <c r="C25" s="35"/>
    </row>
    <row r="26">
      <c r="A26" s="34" t="s">
        <v>756</v>
      </c>
    </row>
    <row r="27">
      <c r="A27" s="35"/>
      <c r="B27" s="35"/>
      <c r="C27" s="35"/>
    </row>
    <row r="28">
      <c r="A28" s="36" t="s">
        <v>749</v>
      </c>
      <c r="B28" s="37" t="s">
        <v>757</v>
      </c>
      <c r="C28" s="38"/>
    </row>
    <row r="29">
      <c r="A29" s="39">
        <v>1.0</v>
      </c>
      <c r="B29" s="40" t="s">
        <v>3901</v>
      </c>
      <c r="C29" s="41"/>
    </row>
    <row r="30">
      <c r="A30" s="39">
        <v>2.0</v>
      </c>
      <c r="B30" s="40" t="s">
        <v>3902</v>
      </c>
      <c r="C30" s="41"/>
    </row>
    <row r="31">
      <c r="A31" s="39">
        <v>3.0</v>
      </c>
      <c r="B31" s="40" t="s">
        <v>3903</v>
      </c>
      <c r="C31" s="41"/>
    </row>
    <row r="32">
      <c r="A32" s="43">
        <v>4.0</v>
      </c>
      <c r="B32" s="49" t="s">
        <v>3904</v>
      </c>
      <c r="C32" s="45"/>
    </row>
    <row r="33">
      <c r="A33" s="35"/>
      <c r="B33" s="35"/>
      <c r="C33" s="35"/>
    </row>
    <row r="34">
      <c r="A34" s="34" t="s">
        <v>760</v>
      </c>
    </row>
    <row r="35">
      <c r="A35" s="35"/>
      <c r="B35" s="35"/>
      <c r="C35" s="35"/>
    </row>
    <row r="36">
      <c r="A36" s="36" t="s">
        <v>749</v>
      </c>
      <c r="B36" s="37" t="s">
        <v>757</v>
      </c>
      <c r="C36" s="38"/>
    </row>
    <row r="37">
      <c r="A37" s="39">
        <v>1.0</v>
      </c>
      <c r="B37" s="40" t="s">
        <v>3905</v>
      </c>
      <c r="C37" s="41"/>
    </row>
    <row r="38">
      <c r="A38" s="39">
        <v>2.0</v>
      </c>
      <c r="B38" s="40" t="s">
        <v>3906</v>
      </c>
      <c r="C38" s="41"/>
    </row>
    <row r="39">
      <c r="A39" s="43">
        <v>3.0</v>
      </c>
      <c r="B39" s="49" t="s">
        <v>3907</v>
      </c>
      <c r="C39" s="45"/>
    </row>
    <row r="40">
      <c r="A40" s="35"/>
      <c r="B40" s="35"/>
      <c r="C40" s="35"/>
    </row>
    <row r="41">
      <c r="A41" s="34" t="s">
        <v>763</v>
      </c>
    </row>
    <row r="42">
      <c r="A42" s="35"/>
      <c r="B42" s="35"/>
      <c r="C42" s="35"/>
    </row>
    <row r="43">
      <c r="A43" s="36" t="s">
        <v>749</v>
      </c>
      <c r="B43" s="37" t="s">
        <v>757</v>
      </c>
      <c r="C43" s="38"/>
    </row>
    <row r="44">
      <c r="A44" s="39">
        <v>1.0</v>
      </c>
      <c r="B44" s="40" t="s">
        <v>3908</v>
      </c>
      <c r="C44" s="41"/>
    </row>
    <row r="45">
      <c r="A45" s="39">
        <v>2.0</v>
      </c>
      <c r="B45" s="40" t="s">
        <v>3909</v>
      </c>
      <c r="C45" s="41"/>
    </row>
    <row r="46">
      <c r="A46" s="39">
        <v>3.0</v>
      </c>
      <c r="B46" s="40" t="s">
        <v>3910</v>
      </c>
      <c r="C46" s="41"/>
    </row>
    <row r="47">
      <c r="A47" s="39">
        <v>4.0</v>
      </c>
      <c r="B47" s="40" t="s">
        <v>3911</v>
      </c>
      <c r="C47" s="41"/>
    </row>
    <row r="48">
      <c r="A48" s="39">
        <v>5.0</v>
      </c>
      <c r="B48" s="40" t="s">
        <v>3912</v>
      </c>
      <c r="C48" s="41"/>
    </row>
    <row r="49">
      <c r="A49" s="43">
        <v>6.0</v>
      </c>
      <c r="B49" s="49" t="s">
        <v>3913</v>
      </c>
      <c r="C49" s="45"/>
    </row>
  </sheetData>
  <mergeCells count="7">
    <mergeCell ref="A1:C1"/>
    <mergeCell ref="A11:C11"/>
    <mergeCell ref="A13:C13"/>
    <mergeCell ref="A15:C15"/>
    <mergeCell ref="A26:C26"/>
    <mergeCell ref="A34:C34"/>
    <mergeCell ref="A41:C41"/>
  </mergeCells>
  <hyperlinks>
    <hyperlink r:id="rId1" ref="B9"/>
  </hyperlinks>
  <drawing r:id="rId2"/>
</worksheet>
</file>

<file path=xl/worksheets/sheet1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2" max="2" width="87.63"/>
    <col customWidth="1" min="3" max="3" width="20.13"/>
  </cols>
  <sheetData>
    <row r="1">
      <c r="A1" s="34" t="s">
        <v>742</v>
      </c>
    </row>
    <row r="2">
      <c r="A2" s="35"/>
      <c r="B2" s="35"/>
      <c r="C2" s="35"/>
    </row>
    <row r="3">
      <c r="A3" s="36" t="s">
        <v>743</v>
      </c>
      <c r="B3" s="37" t="s">
        <v>744</v>
      </c>
      <c r="C3" s="38"/>
    </row>
    <row r="4">
      <c r="A4" s="39" t="s">
        <v>6</v>
      </c>
      <c r="B4" s="40" t="s">
        <v>545</v>
      </c>
      <c r="C4" s="41"/>
    </row>
    <row r="5">
      <c r="A5" s="39" t="s">
        <v>745</v>
      </c>
      <c r="B5" s="42">
        <v>46171.0</v>
      </c>
      <c r="C5" s="41"/>
    </row>
    <row r="6">
      <c r="A6" s="39" t="s">
        <v>0</v>
      </c>
      <c r="B6" s="40" t="s">
        <v>469</v>
      </c>
      <c r="C6" s="41"/>
    </row>
    <row r="7">
      <c r="A7" s="39" t="s">
        <v>7</v>
      </c>
      <c r="B7" s="40" t="s">
        <v>92</v>
      </c>
      <c r="C7" s="41"/>
    </row>
    <row r="8">
      <c r="A8" s="39" t="s">
        <v>746</v>
      </c>
      <c r="B8" s="40">
        <v>2.0</v>
      </c>
      <c r="C8" s="41"/>
    </row>
    <row r="9">
      <c r="A9" s="43" t="s">
        <v>8</v>
      </c>
      <c r="B9" s="44" t="s">
        <v>546</v>
      </c>
      <c r="C9" s="45"/>
    </row>
    <row r="10">
      <c r="A10" s="35"/>
      <c r="B10" s="35"/>
      <c r="C10" s="35"/>
    </row>
    <row r="11">
      <c r="A11" s="34" t="s">
        <v>747</v>
      </c>
    </row>
    <row r="12">
      <c r="A12" s="35"/>
      <c r="B12" s="35"/>
      <c r="C12" s="35"/>
    </row>
    <row r="13">
      <c r="A13" s="46" t="s">
        <v>547</v>
      </c>
    </row>
    <row r="14">
      <c r="A14" s="35"/>
      <c r="B14" s="35"/>
      <c r="C14" s="35"/>
    </row>
    <row r="15">
      <c r="A15" s="34" t="s">
        <v>748</v>
      </c>
    </row>
    <row r="16">
      <c r="A16" s="35"/>
      <c r="B16" s="35"/>
      <c r="C16" s="35"/>
    </row>
    <row r="17">
      <c r="A17" s="36" t="s">
        <v>749</v>
      </c>
      <c r="B17" s="37" t="s">
        <v>750</v>
      </c>
      <c r="C17" s="47" t="s">
        <v>751</v>
      </c>
    </row>
    <row r="18">
      <c r="A18" s="39">
        <v>1.0</v>
      </c>
      <c r="B18" s="40" t="s">
        <v>3914</v>
      </c>
      <c r="C18" s="48" t="s">
        <v>753</v>
      </c>
    </row>
    <row r="19">
      <c r="A19" s="39">
        <v>2.0</v>
      </c>
      <c r="B19" s="40" t="s">
        <v>3915</v>
      </c>
      <c r="C19" s="48" t="s">
        <v>753</v>
      </c>
    </row>
    <row r="20">
      <c r="A20" s="39">
        <v>3.0</v>
      </c>
      <c r="B20" s="40" t="s">
        <v>3916</v>
      </c>
      <c r="C20" s="48" t="s">
        <v>753</v>
      </c>
    </row>
    <row r="21">
      <c r="A21" s="39">
        <v>4.0</v>
      </c>
      <c r="B21" s="40" t="s">
        <v>3917</v>
      </c>
      <c r="C21" s="48" t="s">
        <v>3918</v>
      </c>
    </row>
    <row r="22">
      <c r="A22" s="39">
        <v>5.0</v>
      </c>
      <c r="B22" s="40" t="s">
        <v>3919</v>
      </c>
      <c r="C22" s="48" t="s">
        <v>753</v>
      </c>
    </row>
    <row r="23">
      <c r="A23" s="39">
        <v>6.0</v>
      </c>
      <c r="B23" s="40" t="s">
        <v>3920</v>
      </c>
      <c r="C23" s="48" t="s">
        <v>3921</v>
      </c>
    </row>
    <row r="24">
      <c r="A24" s="43">
        <v>7.0</v>
      </c>
      <c r="B24" s="49" t="s">
        <v>3922</v>
      </c>
      <c r="C24" s="50" t="s">
        <v>753</v>
      </c>
    </row>
    <row r="25">
      <c r="A25" s="35"/>
      <c r="B25" s="35"/>
      <c r="C25" s="35"/>
    </row>
    <row r="26">
      <c r="A26" s="34" t="s">
        <v>756</v>
      </c>
    </row>
    <row r="27">
      <c r="A27" s="35"/>
      <c r="B27" s="35"/>
      <c r="C27" s="35"/>
    </row>
    <row r="28">
      <c r="A28" s="36" t="s">
        <v>749</v>
      </c>
      <c r="B28" s="37" t="s">
        <v>757</v>
      </c>
      <c r="C28" s="38"/>
    </row>
    <row r="29">
      <c r="A29" s="39">
        <v>1.0</v>
      </c>
      <c r="B29" s="40" t="s">
        <v>3923</v>
      </c>
      <c r="C29" s="41"/>
    </row>
    <row r="30">
      <c r="A30" s="39">
        <v>2.0</v>
      </c>
      <c r="B30" s="40" t="s">
        <v>3924</v>
      </c>
      <c r="C30" s="41"/>
    </row>
    <row r="31">
      <c r="A31" s="39">
        <v>3.0</v>
      </c>
      <c r="B31" s="40" t="s">
        <v>3925</v>
      </c>
      <c r="C31" s="41"/>
    </row>
    <row r="32">
      <c r="A32" s="43">
        <v>4.0</v>
      </c>
      <c r="B32" s="49" t="s">
        <v>3926</v>
      </c>
      <c r="C32" s="45"/>
    </row>
    <row r="33">
      <c r="A33" s="35"/>
      <c r="B33" s="35"/>
      <c r="C33" s="35"/>
    </row>
    <row r="34">
      <c r="A34" s="34" t="s">
        <v>760</v>
      </c>
    </row>
    <row r="35">
      <c r="A35" s="35"/>
      <c r="B35" s="35"/>
      <c r="C35" s="35"/>
    </row>
    <row r="36">
      <c r="A36" s="36" t="s">
        <v>749</v>
      </c>
      <c r="B36" s="37" t="s">
        <v>757</v>
      </c>
      <c r="C36" s="38"/>
    </row>
    <row r="37">
      <c r="A37" s="39">
        <v>1.0</v>
      </c>
      <c r="B37" s="40" t="s">
        <v>3927</v>
      </c>
      <c r="C37" s="41"/>
    </row>
    <row r="38">
      <c r="A38" s="39">
        <v>2.0</v>
      </c>
      <c r="B38" s="40" t="s">
        <v>3928</v>
      </c>
      <c r="C38" s="41"/>
    </row>
    <row r="39">
      <c r="A39" s="43">
        <v>3.0</v>
      </c>
      <c r="B39" s="49" t="s">
        <v>3929</v>
      </c>
      <c r="C39" s="45"/>
    </row>
    <row r="40">
      <c r="A40" s="35"/>
      <c r="B40" s="35"/>
      <c r="C40" s="35"/>
    </row>
    <row r="41">
      <c r="A41" s="34" t="s">
        <v>763</v>
      </c>
    </row>
    <row r="42">
      <c r="A42" s="35"/>
      <c r="B42" s="35"/>
      <c r="C42" s="35"/>
    </row>
    <row r="43">
      <c r="A43" s="36" t="s">
        <v>749</v>
      </c>
      <c r="B43" s="37" t="s">
        <v>757</v>
      </c>
      <c r="C43" s="38"/>
    </row>
    <row r="44">
      <c r="A44" s="39">
        <v>1.0</v>
      </c>
      <c r="B44" s="40" t="s">
        <v>3930</v>
      </c>
      <c r="C44" s="41"/>
    </row>
    <row r="45">
      <c r="A45" s="39">
        <v>2.0</v>
      </c>
      <c r="B45" s="40" t="s">
        <v>3931</v>
      </c>
      <c r="C45" s="41"/>
    </row>
    <row r="46">
      <c r="A46" s="39">
        <v>3.0</v>
      </c>
      <c r="B46" s="40" t="s">
        <v>3932</v>
      </c>
      <c r="C46" s="41"/>
    </row>
    <row r="47">
      <c r="A47" s="39">
        <v>4.0</v>
      </c>
      <c r="B47" s="40" t="s">
        <v>3933</v>
      </c>
      <c r="C47" s="41"/>
    </row>
    <row r="48">
      <c r="A48" s="39">
        <v>5.0</v>
      </c>
      <c r="B48" s="40" t="s">
        <v>3934</v>
      </c>
      <c r="C48" s="41"/>
    </row>
    <row r="49">
      <c r="A49" s="43">
        <v>6.0</v>
      </c>
      <c r="B49" s="49" t="s">
        <v>3935</v>
      </c>
      <c r="C49" s="45"/>
    </row>
  </sheetData>
  <mergeCells count="7">
    <mergeCell ref="A1:C1"/>
    <mergeCell ref="A11:C11"/>
    <mergeCell ref="A13:C13"/>
    <mergeCell ref="A15:C15"/>
    <mergeCell ref="A26:C26"/>
    <mergeCell ref="A34:C34"/>
    <mergeCell ref="A41:C41"/>
  </mergeCells>
  <hyperlinks>
    <hyperlink r:id="rId1" ref="B9"/>
  </hyperlinks>
  <drawing r:id="rId2"/>
</worksheet>
</file>

<file path=xl/worksheets/sheet1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2" max="2" width="87.63"/>
    <col customWidth="1" min="3" max="3" width="20.13"/>
  </cols>
  <sheetData>
    <row r="1">
      <c r="A1" s="34" t="s">
        <v>742</v>
      </c>
    </row>
    <row r="2">
      <c r="A2" s="35"/>
      <c r="B2" s="35"/>
      <c r="C2" s="35"/>
    </row>
    <row r="3">
      <c r="A3" s="36" t="s">
        <v>743</v>
      </c>
      <c r="B3" s="37" t="s">
        <v>744</v>
      </c>
      <c r="C3" s="38"/>
    </row>
    <row r="4">
      <c r="A4" s="39" t="s">
        <v>6</v>
      </c>
      <c r="B4" s="40" t="s">
        <v>550</v>
      </c>
      <c r="C4" s="41"/>
    </row>
    <row r="5">
      <c r="A5" s="39" t="s">
        <v>745</v>
      </c>
      <c r="B5" s="42">
        <v>46174.0</v>
      </c>
      <c r="C5" s="41"/>
    </row>
    <row r="6">
      <c r="A6" s="39" t="s">
        <v>0</v>
      </c>
      <c r="B6" s="40" t="s">
        <v>549</v>
      </c>
      <c r="C6" s="41"/>
    </row>
    <row r="7">
      <c r="A7" s="39" t="s">
        <v>7</v>
      </c>
      <c r="B7" s="40" t="s">
        <v>551</v>
      </c>
      <c r="C7" s="41"/>
    </row>
    <row r="8">
      <c r="A8" s="39" t="s">
        <v>746</v>
      </c>
      <c r="B8" s="40">
        <v>5.0</v>
      </c>
      <c r="C8" s="41"/>
    </row>
    <row r="9">
      <c r="A9" s="43" t="s">
        <v>8</v>
      </c>
      <c r="B9" s="44" t="s">
        <v>552</v>
      </c>
      <c r="C9" s="45"/>
    </row>
    <row r="10">
      <c r="A10" s="35"/>
      <c r="B10" s="35"/>
      <c r="C10" s="35"/>
    </row>
    <row r="11">
      <c r="A11" s="34" t="s">
        <v>747</v>
      </c>
    </row>
    <row r="12">
      <c r="A12" s="35"/>
      <c r="B12" s="35"/>
      <c r="C12" s="35"/>
    </row>
    <row r="13">
      <c r="A13" s="46" t="s">
        <v>553</v>
      </c>
    </row>
    <row r="14">
      <c r="A14" s="35"/>
      <c r="B14" s="35"/>
      <c r="C14" s="35"/>
    </row>
    <row r="15">
      <c r="A15" s="34" t="s">
        <v>748</v>
      </c>
    </row>
    <row r="16">
      <c r="A16" s="35"/>
      <c r="B16" s="35"/>
      <c r="C16" s="35"/>
    </row>
    <row r="17">
      <c r="A17" s="36" t="s">
        <v>749</v>
      </c>
      <c r="B17" s="37" t="s">
        <v>750</v>
      </c>
      <c r="C17" s="47" t="s">
        <v>751</v>
      </c>
    </row>
    <row r="18">
      <c r="A18" s="39">
        <v>1.0</v>
      </c>
      <c r="B18" s="40" t="s">
        <v>3936</v>
      </c>
      <c r="C18" s="48" t="s">
        <v>753</v>
      </c>
    </row>
    <row r="19">
      <c r="A19" s="39">
        <v>2.0</v>
      </c>
      <c r="B19" s="40" t="s">
        <v>3937</v>
      </c>
      <c r="C19" s="48" t="s">
        <v>753</v>
      </c>
    </row>
    <row r="20">
      <c r="A20" s="39">
        <v>3.0</v>
      </c>
      <c r="B20" s="40" t="s">
        <v>3938</v>
      </c>
      <c r="C20" s="48" t="s">
        <v>753</v>
      </c>
    </row>
    <row r="21">
      <c r="A21" s="39">
        <v>4.0</v>
      </c>
      <c r="B21" s="40" t="s">
        <v>3939</v>
      </c>
      <c r="C21" s="48" t="s">
        <v>753</v>
      </c>
    </row>
    <row r="22">
      <c r="A22" s="39">
        <v>5.0</v>
      </c>
      <c r="B22" s="40" t="s">
        <v>3940</v>
      </c>
      <c r="C22" s="48" t="s">
        <v>753</v>
      </c>
    </row>
    <row r="23">
      <c r="A23" s="43">
        <v>6.0</v>
      </c>
      <c r="B23" s="49" t="s">
        <v>3941</v>
      </c>
      <c r="C23" s="50" t="s">
        <v>753</v>
      </c>
    </row>
    <row r="24">
      <c r="A24" s="35"/>
      <c r="B24" s="35"/>
      <c r="C24" s="35"/>
    </row>
    <row r="25">
      <c r="A25" s="34" t="s">
        <v>756</v>
      </c>
    </row>
    <row r="26">
      <c r="A26" s="35"/>
      <c r="B26" s="35"/>
      <c r="C26" s="35"/>
    </row>
    <row r="27">
      <c r="A27" s="36" t="s">
        <v>749</v>
      </c>
      <c r="B27" s="37" t="s">
        <v>757</v>
      </c>
      <c r="C27" s="38"/>
    </row>
    <row r="28">
      <c r="A28" s="39">
        <v>1.0</v>
      </c>
      <c r="B28" s="40" t="s">
        <v>3942</v>
      </c>
      <c r="C28" s="41"/>
    </row>
    <row r="29">
      <c r="A29" s="43">
        <v>2.0</v>
      </c>
      <c r="B29" s="49" t="s">
        <v>3943</v>
      </c>
      <c r="C29" s="45"/>
    </row>
    <row r="30">
      <c r="A30" s="35"/>
      <c r="B30" s="35"/>
      <c r="C30" s="35"/>
    </row>
    <row r="31">
      <c r="A31" s="34" t="s">
        <v>760</v>
      </c>
    </row>
    <row r="32">
      <c r="A32" s="35"/>
      <c r="B32" s="35"/>
      <c r="C32" s="35"/>
    </row>
    <row r="33">
      <c r="A33" s="36" t="s">
        <v>749</v>
      </c>
      <c r="B33" s="37" t="s">
        <v>757</v>
      </c>
      <c r="C33" s="38"/>
    </row>
    <row r="34">
      <c r="A34" s="39">
        <v>1.0</v>
      </c>
      <c r="B34" s="40" t="s">
        <v>3944</v>
      </c>
      <c r="C34" s="41"/>
    </row>
    <row r="35">
      <c r="A35" s="43">
        <v>2.0</v>
      </c>
      <c r="B35" s="49" t="s">
        <v>3945</v>
      </c>
      <c r="C35" s="45"/>
    </row>
    <row r="36">
      <c r="A36" s="35"/>
      <c r="B36" s="35"/>
      <c r="C36" s="35"/>
    </row>
    <row r="37">
      <c r="A37" s="34" t="s">
        <v>763</v>
      </c>
    </row>
    <row r="38">
      <c r="A38" s="35"/>
      <c r="B38" s="35"/>
      <c r="C38" s="35"/>
    </row>
    <row r="39">
      <c r="A39" s="36" t="s">
        <v>749</v>
      </c>
      <c r="B39" s="37" t="s">
        <v>757</v>
      </c>
      <c r="C39" s="38"/>
    </row>
    <row r="40">
      <c r="A40" s="39">
        <v>1.0</v>
      </c>
      <c r="B40" s="40" t="s">
        <v>3946</v>
      </c>
      <c r="C40" s="41"/>
    </row>
    <row r="41">
      <c r="A41" s="39">
        <v>2.0</v>
      </c>
      <c r="B41" s="40" t="s">
        <v>3947</v>
      </c>
      <c r="C41" s="41"/>
    </row>
    <row r="42">
      <c r="A42" s="39">
        <v>3.0</v>
      </c>
      <c r="B42" s="40" t="s">
        <v>3948</v>
      </c>
      <c r="C42" s="41"/>
    </row>
    <row r="43">
      <c r="A43" s="39">
        <v>4.0</v>
      </c>
      <c r="B43" s="40" t="s">
        <v>3949</v>
      </c>
      <c r="C43" s="41"/>
    </row>
    <row r="44">
      <c r="A44" s="39">
        <v>5.0</v>
      </c>
      <c r="B44" s="40" t="s">
        <v>3950</v>
      </c>
      <c r="C44" s="41"/>
    </row>
    <row r="45">
      <c r="A45" s="43">
        <v>6.0</v>
      </c>
      <c r="B45" s="49" t="s">
        <v>899</v>
      </c>
      <c r="C45" s="45"/>
    </row>
  </sheetData>
  <mergeCells count="7">
    <mergeCell ref="A1:C1"/>
    <mergeCell ref="A11:C11"/>
    <mergeCell ref="A13:C13"/>
    <mergeCell ref="A15:C15"/>
    <mergeCell ref="A25:C25"/>
    <mergeCell ref="A31:C31"/>
    <mergeCell ref="A37:C37"/>
  </mergeCells>
  <hyperlinks>
    <hyperlink r:id="rId1" ref="B9"/>
  </hyperlinks>
  <drawing r:id="rId2"/>
</worksheet>
</file>

<file path=xl/worksheets/sheet1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2" max="2" width="87.63"/>
    <col customWidth="1" min="3" max="3" width="20.13"/>
  </cols>
  <sheetData>
    <row r="1">
      <c r="A1" s="34" t="s">
        <v>742</v>
      </c>
    </row>
    <row r="2">
      <c r="A2" s="35"/>
      <c r="B2" s="35"/>
      <c r="C2" s="35"/>
    </row>
    <row r="3">
      <c r="A3" s="36" t="s">
        <v>743</v>
      </c>
      <c r="B3" s="37" t="s">
        <v>744</v>
      </c>
      <c r="C3" s="38"/>
    </row>
    <row r="4">
      <c r="A4" s="39" t="s">
        <v>6</v>
      </c>
      <c r="B4" s="40" t="s">
        <v>555</v>
      </c>
      <c r="C4" s="41"/>
    </row>
    <row r="5">
      <c r="A5" s="39" t="s">
        <v>745</v>
      </c>
      <c r="B5" s="42">
        <v>46174.0</v>
      </c>
      <c r="C5" s="41"/>
    </row>
    <row r="6">
      <c r="A6" s="39" t="s">
        <v>0</v>
      </c>
      <c r="B6" s="40" t="s">
        <v>549</v>
      </c>
      <c r="C6" s="41"/>
    </row>
    <row r="7">
      <c r="A7" s="39" t="s">
        <v>7</v>
      </c>
      <c r="B7" s="40" t="s">
        <v>556</v>
      </c>
      <c r="C7" s="41"/>
    </row>
    <row r="8">
      <c r="A8" s="39" t="s">
        <v>746</v>
      </c>
      <c r="B8" s="40">
        <v>4.0</v>
      </c>
      <c r="C8" s="41"/>
    </row>
    <row r="9">
      <c r="A9" s="43" t="s">
        <v>8</v>
      </c>
      <c r="B9" s="44" t="s">
        <v>557</v>
      </c>
      <c r="C9" s="45"/>
    </row>
    <row r="10">
      <c r="A10" s="35"/>
      <c r="B10" s="35"/>
      <c r="C10" s="35"/>
    </row>
    <row r="11">
      <c r="A11" s="34" t="s">
        <v>747</v>
      </c>
    </row>
    <row r="12">
      <c r="A12" s="35"/>
      <c r="B12" s="35"/>
      <c r="C12" s="35"/>
    </row>
    <row r="13">
      <c r="A13" s="46" t="s">
        <v>3951</v>
      </c>
    </row>
    <row r="14">
      <c r="A14" s="35"/>
      <c r="B14" s="35"/>
      <c r="C14" s="35"/>
    </row>
    <row r="15">
      <c r="A15" s="34" t="s">
        <v>748</v>
      </c>
    </row>
    <row r="16">
      <c r="A16" s="35"/>
      <c r="B16" s="35"/>
      <c r="C16" s="35"/>
    </row>
    <row r="17">
      <c r="A17" s="36" t="s">
        <v>749</v>
      </c>
      <c r="B17" s="37" t="s">
        <v>750</v>
      </c>
      <c r="C17" s="47" t="s">
        <v>751</v>
      </c>
    </row>
    <row r="18">
      <c r="A18" s="39">
        <v>1.0</v>
      </c>
      <c r="B18" s="40" t="s">
        <v>3952</v>
      </c>
      <c r="C18" s="48" t="s">
        <v>3953</v>
      </c>
    </row>
    <row r="19">
      <c r="A19" s="39">
        <v>2.0</v>
      </c>
      <c r="B19" s="40" t="s">
        <v>3954</v>
      </c>
      <c r="C19" s="48" t="s">
        <v>753</v>
      </c>
    </row>
    <row r="20">
      <c r="A20" s="39">
        <v>3.0</v>
      </c>
      <c r="B20" s="40" t="s">
        <v>3955</v>
      </c>
      <c r="C20" s="48" t="s">
        <v>753</v>
      </c>
    </row>
    <row r="21">
      <c r="A21" s="39">
        <v>4.0</v>
      </c>
      <c r="B21" s="40" t="s">
        <v>3956</v>
      </c>
      <c r="C21" s="48" t="s">
        <v>753</v>
      </c>
    </row>
    <row r="22">
      <c r="A22" s="39">
        <v>5.0</v>
      </c>
      <c r="B22" s="40" t="s">
        <v>3957</v>
      </c>
      <c r="C22" s="48" t="s">
        <v>753</v>
      </c>
    </row>
    <row r="23">
      <c r="A23" s="43">
        <v>6.0</v>
      </c>
      <c r="B23" s="49" t="s">
        <v>3958</v>
      </c>
      <c r="C23" s="50" t="s">
        <v>753</v>
      </c>
    </row>
    <row r="24">
      <c r="A24" s="35"/>
      <c r="B24" s="35"/>
      <c r="C24" s="35"/>
    </row>
    <row r="25">
      <c r="A25" s="34" t="s">
        <v>756</v>
      </c>
    </row>
    <row r="26">
      <c r="A26" s="35"/>
      <c r="B26" s="35"/>
      <c r="C26" s="35"/>
    </row>
    <row r="27">
      <c r="A27" s="36" t="s">
        <v>749</v>
      </c>
      <c r="B27" s="37" t="s">
        <v>757</v>
      </c>
      <c r="C27" s="38"/>
    </row>
    <row r="28">
      <c r="A28" s="39">
        <v>1.0</v>
      </c>
      <c r="B28" s="40" t="s">
        <v>3959</v>
      </c>
      <c r="C28" s="41"/>
    </row>
    <row r="29">
      <c r="A29" s="39">
        <v>2.0</v>
      </c>
      <c r="B29" s="40" t="s">
        <v>3679</v>
      </c>
      <c r="C29" s="41"/>
    </row>
    <row r="30">
      <c r="A30" s="39">
        <v>3.0</v>
      </c>
      <c r="B30" s="40" t="s">
        <v>3960</v>
      </c>
      <c r="C30" s="41"/>
    </row>
    <row r="31">
      <c r="A31" s="39">
        <v>4.0</v>
      </c>
      <c r="B31" s="40" t="s">
        <v>3961</v>
      </c>
      <c r="C31" s="41"/>
    </row>
    <row r="32">
      <c r="A32" s="39">
        <v>5.0</v>
      </c>
      <c r="B32" s="40" t="s">
        <v>3962</v>
      </c>
      <c r="C32" s="41"/>
    </row>
    <row r="33">
      <c r="A33" s="39">
        <v>6.0</v>
      </c>
      <c r="B33" s="40" t="s">
        <v>3963</v>
      </c>
      <c r="C33" s="41"/>
    </row>
    <row r="34">
      <c r="A34" s="39">
        <v>7.0</v>
      </c>
      <c r="B34" s="40" t="s">
        <v>3964</v>
      </c>
      <c r="C34" s="41"/>
    </row>
    <row r="35">
      <c r="A35" s="39">
        <v>8.0</v>
      </c>
      <c r="B35" s="40" t="s">
        <v>3965</v>
      </c>
      <c r="C35" s="41"/>
    </row>
    <row r="36">
      <c r="A36" s="43">
        <v>9.0</v>
      </c>
      <c r="B36" s="49" t="s">
        <v>3966</v>
      </c>
      <c r="C36" s="45"/>
    </row>
    <row r="37">
      <c r="A37" s="35"/>
      <c r="B37" s="35"/>
      <c r="C37" s="35"/>
    </row>
    <row r="38">
      <c r="A38" s="34" t="s">
        <v>760</v>
      </c>
    </row>
    <row r="39">
      <c r="A39" s="35"/>
      <c r="B39" s="35"/>
      <c r="C39" s="35"/>
    </row>
    <row r="40">
      <c r="A40" s="36" t="s">
        <v>749</v>
      </c>
      <c r="B40" s="37" t="s">
        <v>757</v>
      </c>
      <c r="C40" s="38"/>
    </row>
    <row r="41">
      <c r="A41" s="39">
        <v>1.0</v>
      </c>
      <c r="B41" s="40" t="s">
        <v>3967</v>
      </c>
      <c r="C41" s="41"/>
    </row>
    <row r="42">
      <c r="A42" s="39">
        <v>2.0</v>
      </c>
      <c r="B42" s="40" t="s">
        <v>3968</v>
      </c>
      <c r="C42" s="41"/>
    </row>
    <row r="43">
      <c r="A43" s="39">
        <v>3.0</v>
      </c>
      <c r="B43" s="40" t="s">
        <v>3969</v>
      </c>
      <c r="C43" s="41"/>
    </row>
    <row r="44">
      <c r="A44" s="43">
        <v>4.0</v>
      </c>
      <c r="B44" s="49" t="s">
        <v>3970</v>
      </c>
      <c r="C44" s="45"/>
    </row>
    <row r="45">
      <c r="A45" s="35"/>
      <c r="B45" s="35"/>
      <c r="C45" s="35"/>
    </row>
    <row r="46">
      <c r="A46" s="34" t="s">
        <v>763</v>
      </c>
    </row>
    <row r="47">
      <c r="A47" s="35"/>
      <c r="B47" s="35"/>
      <c r="C47" s="35"/>
    </row>
    <row r="48">
      <c r="A48" s="36" t="s">
        <v>749</v>
      </c>
      <c r="B48" s="37" t="s">
        <v>757</v>
      </c>
      <c r="C48" s="38"/>
    </row>
    <row r="49">
      <c r="A49" s="39">
        <v>1.0</v>
      </c>
      <c r="B49" s="40" t="s">
        <v>3971</v>
      </c>
      <c r="C49" s="41"/>
    </row>
    <row r="50">
      <c r="A50" s="39">
        <v>2.0</v>
      </c>
      <c r="B50" s="40" t="s">
        <v>3972</v>
      </c>
      <c r="C50" s="41"/>
    </row>
    <row r="51">
      <c r="A51" s="39">
        <v>3.0</v>
      </c>
      <c r="B51" s="40" t="s">
        <v>3973</v>
      </c>
      <c r="C51" s="41"/>
    </row>
    <row r="52">
      <c r="A52" s="39">
        <v>4.0</v>
      </c>
      <c r="B52" s="40" t="s">
        <v>3974</v>
      </c>
      <c r="C52" s="41"/>
    </row>
    <row r="53">
      <c r="A53" s="39">
        <v>5.0</v>
      </c>
      <c r="B53" s="40" t="s">
        <v>3975</v>
      </c>
      <c r="C53" s="41"/>
    </row>
    <row r="54">
      <c r="A54" s="39">
        <v>6.0</v>
      </c>
      <c r="B54" s="40" t="s">
        <v>899</v>
      </c>
      <c r="C54" s="41"/>
    </row>
    <row r="55">
      <c r="A55" s="43">
        <v>7.0</v>
      </c>
      <c r="B55" s="49" t="s">
        <v>3976</v>
      </c>
      <c r="C55" s="45"/>
    </row>
  </sheetData>
  <mergeCells count="7">
    <mergeCell ref="A1:C1"/>
    <mergeCell ref="A11:C11"/>
    <mergeCell ref="A13:C13"/>
    <mergeCell ref="A15:C15"/>
    <mergeCell ref="A25:C25"/>
    <mergeCell ref="A38:C38"/>
    <mergeCell ref="A46:C46"/>
  </mergeCells>
  <hyperlinks>
    <hyperlink r:id="rId1" ref="B9"/>
  </hyperlinks>
  <drawing r:id="rId2"/>
</worksheet>
</file>

<file path=xl/worksheets/sheet1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2" max="2" width="87.63"/>
    <col customWidth="1" min="3" max="3" width="20.13"/>
  </cols>
  <sheetData>
    <row r="1">
      <c r="A1" s="34" t="s">
        <v>742</v>
      </c>
    </row>
    <row r="2">
      <c r="A2" s="35"/>
      <c r="B2" s="35"/>
      <c r="C2" s="35"/>
    </row>
    <row r="3">
      <c r="A3" s="36" t="s">
        <v>743</v>
      </c>
      <c r="B3" s="37" t="s">
        <v>744</v>
      </c>
      <c r="C3" s="38"/>
    </row>
    <row r="4">
      <c r="A4" s="39" t="s">
        <v>6</v>
      </c>
      <c r="B4" s="40" t="s">
        <v>560</v>
      </c>
      <c r="C4" s="41"/>
    </row>
    <row r="5">
      <c r="A5" s="39" t="s">
        <v>745</v>
      </c>
      <c r="B5" s="42">
        <v>46174.0</v>
      </c>
      <c r="C5" s="41"/>
    </row>
    <row r="6">
      <c r="A6" s="39" t="s">
        <v>0</v>
      </c>
      <c r="B6" s="40" t="s">
        <v>549</v>
      </c>
      <c r="C6" s="41"/>
    </row>
    <row r="7">
      <c r="A7" s="39" t="s">
        <v>7</v>
      </c>
      <c r="B7" s="40" t="s">
        <v>556</v>
      </c>
      <c r="C7" s="41"/>
    </row>
    <row r="8">
      <c r="A8" s="39" t="s">
        <v>746</v>
      </c>
      <c r="B8" s="40">
        <v>4.0</v>
      </c>
      <c r="C8" s="41"/>
    </row>
    <row r="9">
      <c r="A9" s="43" t="s">
        <v>8</v>
      </c>
      <c r="B9" s="44" t="s">
        <v>561</v>
      </c>
      <c r="C9" s="45"/>
    </row>
    <row r="10">
      <c r="A10" s="35"/>
      <c r="B10" s="35"/>
      <c r="C10" s="35"/>
    </row>
    <row r="11">
      <c r="A11" s="34" t="s">
        <v>747</v>
      </c>
    </row>
    <row r="12">
      <c r="A12" s="35"/>
      <c r="B12" s="35"/>
      <c r="C12" s="35"/>
    </row>
    <row r="13">
      <c r="A13" s="46" t="s">
        <v>3977</v>
      </c>
    </row>
    <row r="14">
      <c r="A14" s="35"/>
      <c r="B14" s="35"/>
      <c r="C14" s="35"/>
    </row>
    <row r="15">
      <c r="A15" s="34" t="s">
        <v>748</v>
      </c>
    </row>
    <row r="16">
      <c r="A16" s="35"/>
      <c r="B16" s="35"/>
      <c r="C16" s="35"/>
    </row>
    <row r="17">
      <c r="A17" s="36" t="s">
        <v>749</v>
      </c>
      <c r="B17" s="37" t="s">
        <v>750</v>
      </c>
      <c r="C17" s="47" t="s">
        <v>751</v>
      </c>
    </row>
    <row r="18">
      <c r="A18" s="39">
        <v>1.0</v>
      </c>
      <c r="B18" s="40" t="s">
        <v>3978</v>
      </c>
      <c r="C18" s="48" t="s">
        <v>3979</v>
      </c>
    </row>
    <row r="19">
      <c r="A19" s="39">
        <v>2.0</v>
      </c>
      <c r="B19" s="40" t="s">
        <v>3980</v>
      </c>
      <c r="C19" s="48" t="s">
        <v>753</v>
      </c>
    </row>
    <row r="20">
      <c r="A20" s="39">
        <v>3.0</v>
      </c>
      <c r="B20" s="40" t="s">
        <v>3981</v>
      </c>
      <c r="C20" s="48" t="s">
        <v>753</v>
      </c>
    </row>
    <row r="21">
      <c r="A21" s="39">
        <v>4.0</v>
      </c>
      <c r="B21" s="40" t="s">
        <v>3982</v>
      </c>
      <c r="C21" s="48" t="s">
        <v>753</v>
      </c>
    </row>
    <row r="22">
      <c r="A22" s="39">
        <v>5.0</v>
      </c>
      <c r="B22" s="40" t="s">
        <v>3983</v>
      </c>
      <c r="C22" s="48" t="s">
        <v>753</v>
      </c>
    </row>
    <row r="23">
      <c r="A23" s="43">
        <v>6.0</v>
      </c>
      <c r="B23" s="49" t="s">
        <v>3984</v>
      </c>
      <c r="C23" s="50" t="s">
        <v>753</v>
      </c>
    </row>
    <row r="24">
      <c r="A24" s="35"/>
      <c r="B24" s="35"/>
      <c r="C24" s="35"/>
    </row>
    <row r="25">
      <c r="A25" s="34" t="s">
        <v>756</v>
      </c>
    </row>
    <row r="26">
      <c r="A26" s="35"/>
      <c r="B26" s="35"/>
      <c r="C26" s="35"/>
    </row>
    <row r="27">
      <c r="A27" s="36" t="s">
        <v>749</v>
      </c>
      <c r="B27" s="37" t="s">
        <v>757</v>
      </c>
      <c r="C27" s="38"/>
    </row>
    <row r="28">
      <c r="A28" s="39">
        <v>1.0</v>
      </c>
      <c r="B28" s="40" t="s">
        <v>3985</v>
      </c>
      <c r="C28" s="41"/>
    </row>
    <row r="29">
      <c r="A29" s="39">
        <v>2.0</v>
      </c>
      <c r="B29" s="40" t="s">
        <v>3986</v>
      </c>
      <c r="C29" s="41"/>
    </row>
    <row r="30">
      <c r="A30" s="39">
        <v>3.0</v>
      </c>
      <c r="B30" s="40" t="s">
        <v>3987</v>
      </c>
      <c r="C30" s="41"/>
    </row>
    <row r="31">
      <c r="A31" s="39">
        <v>4.0</v>
      </c>
      <c r="B31" s="40" t="s">
        <v>3988</v>
      </c>
      <c r="C31" s="41"/>
    </row>
    <row r="32">
      <c r="A32" s="39">
        <v>5.0</v>
      </c>
      <c r="B32" s="40" t="s">
        <v>3989</v>
      </c>
      <c r="C32" s="41"/>
    </row>
    <row r="33">
      <c r="A33" s="43">
        <v>6.0</v>
      </c>
      <c r="B33" s="49" t="s">
        <v>3990</v>
      </c>
      <c r="C33" s="45"/>
    </row>
    <row r="34">
      <c r="A34" s="35"/>
      <c r="B34" s="35"/>
      <c r="C34" s="35"/>
    </row>
    <row r="35">
      <c r="A35" s="34" t="s">
        <v>760</v>
      </c>
    </row>
    <row r="36">
      <c r="A36" s="35"/>
      <c r="B36" s="35"/>
      <c r="C36" s="35"/>
    </row>
    <row r="37">
      <c r="A37" s="36" t="s">
        <v>749</v>
      </c>
      <c r="B37" s="37" t="s">
        <v>757</v>
      </c>
      <c r="C37" s="38"/>
    </row>
    <row r="38">
      <c r="A38" s="39">
        <v>1.0</v>
      </c>
      <c r="B38" s="40" t="s">
        <v>3991</v>
      </c>
      <c r="C38" s="41"/>
    </row>
    <row r="39">
      <c r="A39" s="39">
        <v>2.0</v>
      </c>
      <c r="B39" s="40" t="s">
        <v>3992</v>
      </c>
      <c r="C39" s="41"/>
    </row>
    <row r="40">
      <c r="A40" s="39">
        <v>3.0</v>
      </c>
      <c r="B40" s="40" t="s">
        <v>3993</v>
      </c>
      <c r="C40" s="41"/>
    </row>
    <row r="41">
      <c r="A41" s="43">
        <v>4.0</v>
      </c>
      <c r="B41" s="49" t="s">
        <v>3994</v>
      </c>
      <c r="C41" s="45"/>
    </row>
    <row r="42">
      <c r="A42" s="35"/>
      <c r="B42" s="35"/>
      <c r="C42" s="35"/>
    </row>
    <row r="43">
      <c r="A43" s="34" t="s">
        <v>763</v>
      </c>
    </row>
    <row r="44">
      <c r="A44" s="35"/>
      <c r="B44" s="35"/>
      <c r="C44" s="35"/>
    </row>
    <row r="45">
      <c r="A45" s="36" t="s">
        <v>749</v>
      </c>
      <c r="B45" s="37" t="s">
        <v>757</v>
      </c>
      <c r="C45" s="38"/>
    </row>
    <row r="46">
      <c r="A46" s="39">
        <v>1.0</v>
      </c>
      <c r="B46" s="40" t="s">
        <v>3995</v>
      </c>
      <c r="C46" s="41"/>
    </row>
    <row r="47">
      <c r="A47" s="39">
        <v>2.0</v>
      </c>
      <c r="B47" s="40" t="s">
        <v>3996</v>
      </c>
      <c r="C47" s="41"/>
    </row>
    <row r="48">
      <c r="A48" s="39">
        <v>3.0</v>
      </c>
      <c r="B48" s="40" t="s">
        <v>3997</v>
      </c>
      <c r="C48" s="41"/>
    </row>
    <row r="49">
      <c r="A49" s="39">
        <v>4.0</v>
      </c>
      <c r="B49" s="40" t="s">
        <v>3998</v>
      </c>
      <c r="C49" s="41"/>
    </row>
    <row r="50">
      <c r="A50" s="39">
        <v>5.0</v>
      </c>
      <c r="B50" s="40" t="s">
        <v>3999</v>
      </c>
      <c r="C50" s="41"/>
    </row>
    <row r="51">
      <c r="A51" s="39">
        <v>6.0</v>
      </c>
      <c r="B51" s="40" t="s">
        <v>4000</v>
      </c>
      <c r="C51" s="41"/>
    </row>
    <row r="52">
      <c r="A52" s="39">
        <v>7.0</v>
      </c>
      <c r="B52" s="40" t="s">
        <v>899</v>
      </c>
      <c r="C52" s="41"/>
    </row>
    <row r="53">
      <c r="A53" s="43">
        <v>8.0</v>
      </c>
      <c r="B53" s="49" t="s">
        <v>4001</v>
      </c>
      <c r="C53" s="45"/>
    </row>
  </sheetData>
  <mergeCells count="7">
    <mergeCell ref="A1:C1"/>
    <mergeCell ref="A11:C11"/>
    <mergeCell ref="A13:C13"/>
    <mergeCell ref="A15:C15"/>
    <mergeCell ref="A25:C25"/>
    <mergeCell ref="A35:C35"/>
    <mergeCell ref="A43:C43"/>
  </mergeCells>
  <hyperlinks>
    <hyperlink r:id="rId1" ref="B9"/>
  </hyperlinks>
  <drawing r:id="rId2"/>
</worksheet>
</file>

<file path=xl/worksheets/sheet1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2" max="2" width="87.63"/>
    <col customWidth="1" min="3" max="3" width="20.13"/>
  </cols>
  <sheetData>
    <row r="1">
      <c r="A1" s="34" t="s">
        <v>742</v>
      </c>
    </row>
    <row r="2">
      <c r="A2" s="35"/>
      <c r="B2" s="35"/>
      <c r="C2" s="35"/>
    </row>
    <row r="3">
      <c r="A3" s="36" t="s">
        <v>743</v>
      </c>
      <c r="B3" s="37" t="s">
        <v>744</v>
      </c>
      <c r="C3" s="38"/>
    </row>
    <row r="4">
      <c r="A4" s="39" t="s">
        <v>6</v>
      </c>
      <c r="B4" s="40" t="s">
        <v>564</v>
      </c>
      <c r="C4" s="41"/>
    </row>
    <row r="5">
      <c r="A5" s="39" t="s">
        <v>745</v>
      </c>
      <c r="B5" s="42">
        <v>46174.0</v>
      </c>
      <c r="C5" s="41"/>
    </row>
    <row r="6">
      <c r="A6" s="39" t="s">
        <v>0</v>
      </c>
      <c r="B6" s="40" t="s">
        <v>549</v>
      </c>
      <c r="C6" s="41"/>
    </row>
    <row r="7">
      <c r="A7" s="39" t="s">
        <v>7</v>
      </c>
      <c r="B7" s="40" t="s">
        <v>368</v>
      </c>
      <c r="C7" s="41"/>
    </row>
    <row r="8">
      <c r="A8" s="39" t="s">
        <v>746</v>
      </c>
      <c r="B8" s="40">
        <v>5.0</v>
      </c>
      <c r="C8" s="41"/>
    </row>
    <row r="9">
      <c r="A9" s="43" t="s">
        <v>8</v>
      </c>
      <c r="B9" s="44" t="s">
        <v>565</v>
      </c>
      <c r="C9" s="45"/>
    </row>
    <row r="10">
      <c r="A10" s="35"/>
      <c r="B10" s="35"/>
      <c r="C10" s="35"/>
    </row>
    <row r="11">
      <c r="A11" s="34" t="s">
        <v>747</v>
      </c>
    </row>
    <row r="12">
      <c r="A12" s="35"/>
      <c r="B12" s="35"/>
      <c r="C12" s="35"/>
    </row>
    <row r="13">
      <c r="A13" s="46" t="s">
        <v>4002</v>
      </c>
    </row>
    <row r="14">
      <c r="A14" s="35"/>
      <c r="B14" s="35"/>
      <c r="C14" s="35"/>
    </row>
    <row r="15">
      <c r="A15" s="34" t="s">
        <v>748</v>
      </c>
    </row>
    <row r="16">
      <c r="A16" s="35"/>
      <c r="B16" s="35"/>
      <c r="C16" s="35"/>
    </row>
    <row r="17">
      <c r="A17" s="36" t="s">
        <v>749</v>
      </c>
      <c r="B17" s="37" t="s">
        <v>750</v>
      </c>
      <c r="C17" s="47" t="s">
        <v>751</v>
      </c>
    </row>
    <row r="18">
      <c r="A18" s="39">
        <v>1.0</v>
      </c>
      <c r="B18" s="40" t="s">
        <v>4003</v>
      </c>
      <c r="C18" s="48" t="s">
        <v>753</v>
      </c>
    </row>
    <row r="19">
      <c r="A19" s="39">
        <v>2.0</v>
      </c>
      <c r="B19" s="40" t="s">
        <v>4004</v>
      </c>
      <c r="C19" s="48" t="s">
        <v>753</v>
      </c>
    </row>
    <row r="20">
      <c r="A20" s="39">
        <v>3.0</v>
      </c>
      <c r="B20" s="40" t="s">
        <v>4005</v>
      </c>
      <c r="C20" s="48" t="s">
        <v>753</v>
      </c>
    </row>
    <row r="21">
      <c r="A21" s="39">
        <v>4.0</v>
      </c>
      <c r="B21" s="40" t="s">
        <v>4006</v>
      </c>
      <c r="C21" s="48" t="s">
        <v>753</v>
      </c>
    </row>
    <row r="22">
      <c r="A22" s="39">
        <v>5.0</v>
      </c>
      <c r="B22" s="40" t="s">
        <v>4007</v>
      </c>
      <c r="C22" s="48" t="s">
        <v>753</v>
      </c>
    </row>
    <row r="23">
      <c r="A23" s="39">
        <v>6.0</v>
      </c>
      <c r="B23" s="40" t="s">
        <v>4008</v>
      </c>
      <c r="C23" s="48" t="s">
        <v>753</v>
      </c>
    </row>
    <row r="24">
      <c r="A24" s="39">
        <v>7.0</v>
      </c>
      <c r="B24" s="40" t="s">
        <v>4009</v>
      </c>
      <c r="C24" s="48" t="s">
        <v>753</v>
      </c>
    </row>
    <row r="25">
      <c r="A25" s="39">
        <v>8.0</v>
      </c>
      <c r="B25" s="40" t="s">
        <v>4010</v>
      </c>
      <c r="C25" s="48" t="s">
        <v>753</v>
      </c>
    </row>
    <row r="26">
      <c r="A26" s="39">
        <v>9.0</v>
      </c>
      <c r="B26" s="40" t="s">
        <v>4011</v>
      </c>
      <c r="C26" s="48" t="s">
        <v>753</v>
      </c>
    </row>
    <row r="27">
      <c r="A27" s="43">
        <v>10.0</v>
      </c>
      <c r="B27" s="49" t="s">
        <v>4012</v>
      </c>
      <c r="C27" s="50" t="s">
        <v>753</v>
      </c>
    </row>
    <row r="28">
      <c r="A28" s="35"/>
      <c r="B28" s="35"/>
      <c r="C28" s="35"/>
    </row>
    <row r="29">
      <c r="A29" s="34" t="s">
        <v>756</v>
      </c>
    </row>
    <row r="30">
      <c r="A30" s="35"/>
      <c r="B30" s="35"/>
      <c r="C30" s="35"/>
    </row>
    <row r="31">
      <c r="A31" s="36" t="s">
        <v>749</v>
      </c>
      <c r="B31" s="37" t="s">
        <v>757</v>
      </c>
      <c r="C31" s="38"/>
    </row>
    <row r="32">
      <c r="A32" s="39">
        <v>1.0</v>
      </c>
      <c r="B32" s="40" t="s">
        <v>4013</v>
      </c>
      <c r="C32" s="41"/>
    </row>
    <row r="33">
      <c r="A33" s="39">
        <v>2.0</v>
      </c>
      <c r="B33" s="40" t="s">
        <v>4014</v>
      </c>
      <c r="C33" s="41"/>
    </row>
    <row r="34">
      <c r="A34" s="39">
        <v>3.0</v>
      </c>
      <c r="B34" s="40" t="s">
        <v>4015</v>
      </c>
      <c r="C34" s="41"/>
    </row>
    <row r="35">
      <c r="A35" s="39">
        <v>4.0</v>
      </c>
      <c r="B35" s="40" t="s">
        <v>4016</v>
      </c>
      <c r="C35" s="41"/>
    </row>
    <row r="36">
      <c r="A36" s="43">
        <v>5.0</v>
      </c>
      <c r="B36" s="49" t="s">
        <v>4017</v>
      </c>
      <c r="C36" s="45"/>
    </row>
    <row r="37">
      <c r="A37" s="35"/>
      <c r="B37" s="35"/>
      <c r="C37" s="35"/>
    </row>
    <row r="38">
      <c r="A38" s="34" t="s">
        <v>760</v>
      </c>
    </row>
    <row r="39">
      <c r="A39" s="35"/>
      <c r="B39" s="35"/>
      <c r="C39" s="35"/>
    </row>
    <row r="40">
      <c r="A40" s="36" t="s">
        <v>749</v>
      </c>
      <c r="B40" s="37" t="s">
        <v>757</v>
      </c>
      <c r="C40" s="38"/>
    </row>
    <row r="41">
      <c r="A41" s="39">
        <v>1.0</v>
      </c>
      <c r="B41" s="40" t="s">
        <v>4018</v>
      </c>
      <c r="C41" s="41"/>
    </row>
    <row r="42">
      <c r="A42" s="39">
        <v>2.0</v>
      </c>
      <c r="B42" s="40" t="s">
        <v>4019</v>
      </c>
      <c r="C42" s="41"/>
    </row>
    <row r="43">
      <c r="A43" s="39">
        <v>3.0</v>
      </c>
      <c r="B43" s="40" t="s">
        <v>4020</v>
      </c>
      <c r="C43" s="41"/>
    </row>
    <row r="44">
      <c r="A44" s="43">
        <v>4.0</v>
      </c>
      <c r="B44" s="49" t="s">
        <v>4021</v>
      </c>
      <c r="C44" s="45"/>
    </row>
    <row r="45">
      <c r="A45" s="35"/>
      <c r="B45" s="35"/>
      <c r="C45" s="35"/>
    </row>
    <row r="46">
      <c r="A46" s="34" t="s">
        <v>763</v>
      </c>
    </row>
    <row r="47">
      <c r="A47" s="35"/>
      <c r="B47" s="35"/>
      <c r="C47" s="35"/>
    </row>
    <row r="48">
      <c r="A48" s="36" t="s">
        <v>749</v>
      </c>
      <c r="B48" s="37" t="s">
        <v>757</v>
      </c>
      <c r="C48" s="38"/>
    </row>
    <row r="49">
      <c r="A49" s="39">
        <v>1.0</v>
      </c>
      <c r="B49" s="40" t="s">
        <v>4022</v>
      </c>
      <c r="C49" s="41"/>
    </row>
    <row r="50">
      <c r="A50" s="39">
        <v>2.0</v>
      </c>
      <c r="B50" s="40" t="s">
        <v>4023</v>
      </c>
      <c r="C50" s="41"/>
    </row>
    <row r="51">
      <c r="A51" s="39">
        <v>3.0</v>
      </c>
      <c r="B51" s="40" t="s">
        <v>4024</v>
      </c>
      <c r="C51" s="41"/>
    </row>
    <row r="52">
      <c r="A52" s="39">
        <v>4.0</v>
      </c>
      <c r="B52" s="40" t="s">
        <v>4025</v>
      </c>
      <c r="C52" s="41"/>
    </row>
    <row r="53">
      <c r="A53" s="39">
        <v>5.0</v>
      </c>
      <c r="B53" s="40" t="s">
        <v>4026</v>
      </c>
      <c r="C53" s="41"/>
    </row>
    <row r="54">
      <c r="A54" s="39">
        <v>6.0</v>
      </c>
      <c r="B54" s="40" t="s">
        <v>4027</v>
      </c>
      <c r="C54" s="41"/>
    </row>
    <row r="55">
      <c r="A55" s="39">
        <v>7.0</v>
      </c>
      <c r="B55" s="40" t="s">
        <v>4028</v>
      </c>
      <c r="C55" s="41"/>
    </row>
    <row r="56">
      <c r="A56" s="43">
        <v>8.0</v>
      </c>
      <c r="B56" s="49" t="s">
        <v>4029</v>
      </c>
      <c r="C56" s="45"/>
    </row>
  </sheetData>
  <mergeCells count="7">
    <mergeCell ref="A1:C1"/>
    <mergeCell ref="A11:C11"/>
    <mergeCell ref="A13:C13"/>
    <mergeCell ref="A15:C15"/>
    <mergeCell ref="A29:C29"/>
    <mergeCell ref="A38:C38"/>
    <mergeCell ref="A46:C46"/>
  </mergeCells>
  <hyperlinks>
    <hyperlink r:id="rId1" ref="B9"/>
  </hyperlinks>
  <drawing r:id="rId2"/>
</worksheet>
</file>

<file path=xl/worksheets/sheet1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2" max="2" width="87.63"/>
    <col customWidth="1" min="3" max="3" width="20.13"/>
  </cols>
  <sheetData>
    <row r="1">
      <c r="A1" s="34" t="s">
        <v>742</v>
      </c>
    </row>
    <row r="2">
      <c r="A2" s="35"/>
      <c r="B2" s="35"/>
      <c r="C2" s="35"/>
    </row>
    <row r="3">
      <c r="A3" s="36" t="s">
        <v>743</v>
      </c>
      <c r="B3" s="37" t="s">
        <v>744</v>
      </c>
      <c r="C3" s="38"/>
    </row>
    <row r="4">
      <c r="A4" s="39" t="s">
        <v>6</v>
      </c>
      <c r="B4" s="40" t="s">
        <v>568</v>
      </c>
      <c r="C4" s="41"/>
    </row>
    <row r="5">
      <c r="A5" s="39" t="s">
        <v>745</v>
      </c>
      <c r="B5" s="42">
        <v>46175.0</v>
      </c>
      <c r="C5" s="41"/>
    </row>
    <row r="6">
      <c r="A6" s="39" t="s">
        <v>0</v>
      </c>
      <c r="B6" s="40" t="s">
        <v>549</v>
      </c>
      <c r="C6" s="41"/>
    </row>
    <row r="7">
      <c r="A7" s="39" t="s">
        <v>7</v>
      </c>
      <c r="B7" s="40" t="s">
        <v>551</v>
      </c>
      <c r="C7" s="41"/>
    </row>
    <row r="8">
      <c r="A8" s="39" t="s">
        <v>746</v>
      </c>
      <c r="B8" s="40">
        <v>2.0</v>
      </c>
      <c r="C8" s="41"/>
    </row>
    <row r="9">
      <c r="A9" s="43" t="s">
        <v>8</v>
      </c>
      <c r="B9" s="44" t="s">
        <v>569</v>
      </c>
      <c r="C9" s="45"/>
    </row>
    <row r="10">
      <c r="A10" s="35"/>
      <c r="B10" s="35"/>
      <c r="C10" s="35"/>
    </row>
    <row r="11">
      <c r="A11" s="34" t="s">
        <v>747</v>
      </c>
    </row>
    <row r="12">
      <c r="A12" s="35"/>
      <c r="B12" s="35"/>
      <c r="C12" s="35"/>
    </row>
    <row r="13">
      <c r="A13" s="46" t="s">
        <v>570</v>
      </c>
    </row>
    <row r="14">
      <c r="A14" s="35"/>
      <c r="B14" s="35"/>
      <c r="C14" s="35"/>
    </row>
    <row r="15">
      <c r="A15" s="34" t="s">
        <v>748</v>
      </c>
    </row>
    <row r="16">
      <c r="A16" s="35"/>
      <c r="B16" s="35"/>
      <c r="C16" s="35"/>
    </row>
    <row r="17">
      <c r="A17" s="36" t="s">
        <v>749</v>
      </c>
      <c r="B17" s="37" t="s">
        <v>750</v>
      </c>
      <c r="C17" s="47" t="s">
        <v>751</v>
      </c>
    </row>
    <row r="18">
      <c r="A18" s="39">
        <v>1.0</v>
      </c>
      <c r="B18" s="40" t="s">
        <v>4030</v>
      </c>
      <c r="C18" s="48" t="s">
        <v>1418</v>
      </c>
    </row>
    <row r="19">
      <c r="A19" s="43">
        <v>2.0</v>
      </c>
      <c r="B19" s="49" t="s">
        <v>4031</v>
      </c>
      <c r="C19" s="50" t="s">
        <v>1418</v>
      </c>
    </row>
    <row r="20">
      <c r="A20" s="35"/>
      <c r="B20" s="35"/>
      <c r="C20" s="35"/>
    </row>
    <row r="21">
      <c r="A21" s="34" t="s">
        <v>756</v>
      </c>
    </row>
    <row r="22">
      <c r="A22" s="35"/>
      <c r="B22" s="35"/>
      <c r="C22" s="35"/>
    </row>
    <row r="23">
      <c r="A23" s="36" t="s">
        <v>749</v>
      </c>
      <c r="B23" s="37" t="s">
        <v>757</v>
      </c>
      <c r="C23" s="38"/>
    </row>
    <row r="24">
      <c r="A24" s="39">
        <v>1.0</v>
      </c>
      <c r="B24" s="40" t="s">
        <v>4032</v>
      </c>
      <c r="C24" s="41"/>
    </row>
    <row r="25">
      <c r="A25" s="43">
        <v>2.0</v>
      </c>
      <c r="B25" s="49" t="s">
        <v>4033</v>
      </c>
      <c r="C25" s="45"/>
    </row>
    <row r="26">
      <c r="A26" s="35"/>
      <c r="B26" s="35"/>
      <c r="C26" s="35"/>
    </row>
    <row r="27">
      <c r="A27" s="34" t="s">
        <v>760</v>
      </c>
    </row>
    <row r="28">
      <c r="A28" s="35"/>
      <c r="B28" s="35"/>
      <c r="C28" s="35"/>
    </row>
    <row r="29">
      <c r="A29" s="36" t="s">
        <v>749</v>
      </c>
      <c r="B29" s="37" t="s">
        <v>757</v>
      </c>
      <c r="C29" s="38"/>
    </row>
    <row r="30">
      <c r="A30" s="43">
        <v>1.0</v>
      </c>
      <c r="B30" s="49" t="s">
        <v>4034</v>
      </c>
      <c r="C30" s="45"/>
    </row>
    <row r="31">
      <c r="A31" s="35"/>
      <c r="B31" s="35"/>
      <c r="C31" s="35"/>
    </row>
    <row r="32">
      <c r="A32" s="34" t="s">
        <v>763</v>
      </c>
    </row>
    <row r="33">
      <c r="A33" s="35"/>
      <c r="B33" s="35"/>
      <c r="C33" s="35"/>
    </row>
    <row r="34">
      <c r="A34" s="36" t="s">
        <v>749</v>
      </c>
      <c r="B34" s="37" t="s">
        <v>757</v>
      </c>
      <c r="C34" s="38"/>
    </row>
    <row r="35">
      <c r="A35" s="39">
        <v>1.0</v>
      </c>
      <c r="B35" s="40" t="s">
        <v>4035</v>
      </c>
      <c r="C35" s="41"/>
    </row>
    <row r="36">
      <c r="A36" s="39">
        <v>2.0</v>
      </c>
      <c r="B36" s="40" t="s">
        <v>4036</v>
      </c>
      <c r="C36" s="41"/>
    </row>
    <row r="37">
      <c r="A37" s="43">
        <v>3.0</v>
      </c>
      <c r="B37" s="49" t="s">
        <v>4037</v>
      </c>
      <c r="C37" s="45"/>
    </row>
  </sheetData>
  <mergeCells count="7">
    <mergeCell ref="A1:C1"/>
    <mergeCell ref="A11:C11"/>
    <mergeCell ref="A13:C13"/>
    <mergeCell ref="A15:C15"/>
    <mergeCell ref="A21:C21"/>
    <mergeCell ref="A27:C27"/>
    <mergeCell ref="A32:C32"/>
  </mergeCells>
  <hyperlinks>
    <hyperlink r:id="rId1" ref="B9"/>
  </hyperlinks>
  <drawing r:id="rId2"/>
</worksheet>
</file>

<file path=xl/worksheets/sheet1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2" max="2" width="87.63"/>
    <col customWidth="1" min="3" max="3" width="20.13"/>
  </cols>
  <sheetData>
    <row r="1">
      <c r="A1" s="34" t="s">
        <v>742</v>
      </c>
    </row>
    <row r="2">
      <c r="A2" s="35"/>
      <c r="B2" s="35"/>
      <c r="C2" s="35"/>
    </row>
    <row r="3">
      <c r="A3" s="36" t="s">
        <v>743</v>
      </c>
      <c r="B3" s="37" t="s">
        <v>744</v>
      </c>
      <c r="C3" s="38"/>
    </row>
    <row r="4">
      <c r="A4" s="39" t="s">
        <v>6</v>
      </c>
      <c r="B4" s="40" t="s">
        <v>572</v>
      </c>
      <c r="C4" s="41"/>
    </row>
    <row r="5">
      <c r="A5" s="39" t="s">
        <v>745</v>
      </c>
      <c r="B5" s="42">
        <v>46175.0</v>
      </c>
      <c r="C5" s="41"/>
    </row>
    <row r="6">
      <c r="A6" s="39" t="s">
        <v>0</v>
      </c>
      <c r="B6" s="40" t="s">
        <v>549</v>
      </c>
      <c r="C6" s="41"/>
    </row>
    <row r="7">
      <c r="A7" s="39" t="s">
        <v>7</v>
      </c>
      <c r="B7" s="40" t="s">
        <v>368</v>
      </c>
      <c r="C7" s="41"/>
    </row>
    <row r="8">
      <c r="A8" s="39" t="s">
        <v>746</v>
      </c>
      <c r="B8" s="40">
        <v>3.0</v>
      </c>
      <c r="C8" s="41"/>
    </row>
    <row r="9">
      <c r="A9" s="43" t="s">
        <v>8</v>
      </c>
      <c r="B9" s="44" t="s">
        <v>573</v>
      </c>
      <c r="C9" s="45"/>
    </row>
    <row r="10">
      <c r="A10" s="35"/>
      <c r="B10" s="35"/>
      <c r="C10" s="35"/>
    </row>
    <row r="11">
      <c r="A11" s="34" t="s">
        <v>747</v>
      </c>
    </row>
    <row r="12">
      <c r="A12" s="35"/>
      <c r="B12" s="35"/>
      <c r="C12" s="35"/>
    </row>
    <row r="13">
      <c r="A13" s="46" t="s">
        <v>574</v>
      </c>
    </row>
    <row r="14">
      <c r="A14" s="35"/>
      <c r="B14" s="35"/>
      <c r="C14" s="35"/>
    </row>
    <row r="15">
      <c r="A15" s="34" t="s">
        <v>748</v>
      </c>
    </row>
    <row r="16">
      <c r="A16" s="35"/>
      <c r="B16" s="35"/>
      <c r="C16" s="35"/>
    </row>
    <row r="17">
      <c r="A17" s="36" t="s">
        <v>749</v>
      </c>
      <c r="B17" s="37" t="s">
        <v>750</v>
      </c>
      <c r="C17" s="47" t="s">
        <v>751</v>
      </c>
    </row>
    <row r="18">
      <c r="A18" s="39">
        <v>1.0</v>
      </c>
      <c r="B18" s="40" t="s">
        <v>4038</v>
      </c>
      <c r="C18" s="48" t="s">
        <v>753</v>
      </c>
    </row>
    <row r="19">
      <c r="A19" s="39">
        <v>2.0</v>
      </c>
      <c r="B19" s="40" t="s">
        <v>4039</v>
      </c>
      <c r="C19" s="48" t="s">
        <v>549</v>
      </c>
    </row>
    <row r="20">
      <c r="A20" s="39">
        <v>3.0</v>
      </c>
      <c r="B20" s="40" t="s">
        <v>4040</v>
      </c>
      <c r="C20" s="48" t="s">
        <v>753</v>
      </c>
    </row>
    <row r="21">
      <c r="A21" s="39">
        <v>4.0</v>
      </c>
      <c r="B21" s="40" t="s">
        <v>4041</v>
      </c>
      <c r="C21" s="48" t="s">
        <v>753</v>
      </c>
    </row>
    <row r="22">
      <c r="A22" s="39">
        <v>5.0</v>
      </c>
      <c r="B22" s="40" t="s">
        <v>4042</v>
      </c>
      <c r="C22" s="48" t="s">
        <v>753</v>
      </c>
    </row>
    <row r="23">
      <c r="A23" s="39">
        <v>6.0</v>
      </c>
      <c r="B23" s="40" t="s">
        <v>4043</v>
      </c>
      <c r="C23" s="48" t="s">
        <v>753</v>
      </c>
    </row>
    <row r="24">
      <c r="A24" s="39">
        <v>7.0</v>
      </c>
      <c r="B24" s="40" t="s">
        <v>4044</v>
      </c>
      <c r="C24" s="48" t="s">
        <v>753</v>
      </c>
    </row>
    <row r="25">
      <c r="A25" s="43">
        <v>8.0</v>
      </c>
      <c r="B25" s="49" t="s">
        <v>4045</v>
      </c>
      <c r="C25" s="50" t="s">
        <v>753</v>
      </c>
    </row>
    <row r="26">
      <c r="A26" s="35"/>
      <c r="B26" s="35"/>
      <c r="C26" s="35"/>
    </row>
    <row r="27">
      <c r="A27" s="34" t="s">
        <v>756</v>
      </c>
    </row>
    <row r="28">
      <c r="A28" s="35"/>
      <c r="B28" s="35"/>
      <c r="C28" s="35"/>
    </row>
    <row r="29">
      <c r="A29" s="36" t="s">
        <v>749</v>
      </c>
      <c r="B29" s="37" t="s">
        <v>757</v>
      </c>
      <c r="C29" s="38"/>
    </row>
    <row r="30">
      <c r="A30" s="39">
        <v>1.0</v>
      </c>
      <c r="B30" s="40" t="s">
        <v>4046</v>
      </c>
      <c r="C30" s="41"/>
    </row>
    <row r="31">
      <c r="A31" s="39">
        <v>2.0</v>
      </c>
      <c r="B31" s="40" t="s">
        <v>4047</v>
      </c>
      <c r="C31" s="41"/>
    </row>
    <row r="32">
      <c r="A32" s="43">
        <v>3.0</v>
      </c>
      <c r="B32" s="49" t="s">
        <v>4048</v>
      </c>
      <c r="C32" s="45"/>
    </row>
    <row r="33">
      <c r="A33" s="35"/>
      <c r="B33" s="35"/>
      <c r="C33" s="35"/>
    </row>
    <row r="34">
      <c r="A34" s="34" t="s">
        <v>760</v>
      </c>
    </row>
    <row r="35">
      <c r="A35" s="35"/>
      <c r="B35" s="35"/>
      <c r="C35" s="35"/>
    </row>
    <row r="36">
      <c r="A36" s="36" t="s">
        <v>749</v>
      </c>
      <c r="B36" s="37" t="s">
        <v>757</v>
      </c>
      <c r="C36" s="38"/>
    </row>
    <row r="37">
      <c r="A37" s="39">
        <v>1.0</v>
      </c>
      <c r="B37" s="40" t="s">
        <v>4049</v>
      </c>
      <c r="C37" s="41"/>
    </row>
    <row r="38">
      <c r="A38" s="39">
        <v>2.0</v>
      </c>
      <c r="B38" s="40" t="s">
        <v>4050</v>
      </c>
      <c r="C38" s="41"/>
    </row>
    <row r="39">
      <c r="A39" s="43">
        <v>3.0</v>
      </c>
      <c r="B39" s="49" t="s">
        <v>4051</v>
      </c>
      <c r="C39" s="45"/>
    </row>
    <row r="40">
      <c r="A40" s="35"/>
      <c r="B40" s="35"/>
      <c r="C40" s="35"/>
    </row>
    <row r="41">
      <c r="A41" s="34" t="s">
        <v>763</v>
      </c>
    </row>
    <row r="42">
      <c r="A42" s="35"/>
      <c r="B42" s="35"/>
      <c r="C42" s="35"/>
    </row>
    <row r="43">
      <c r="A43" s="36" t="s">
        <v>749</v>
      </c>
      <c r="B43" s="37" t="s">
        <v>757</v>
      </c>
      <c r="C43" s="38"/>
    </row>
    <row r="44">
      <c r="A44" s="39">
        <v>1.0</v>
      </c>
      <c r="B44" s="40" t="s">
        <v>4052</v>
      </c>
      <c r="C44" s="41"/>
    </row>
    <row r="45">
      <c r="A45" s="39">
        <v>2.0</v>
      </c>
      <c r="B45" s="40" t="s">
        <v>4053</v>
      </c>
      <c r="C45" s="41"/>
    </row>
    <row r="46">
      <c r="A46" s="39">
        <v>3.0</v>
      </c>
      <c r="B46" s="40" t="s">
        <v>4054</v>
      </c>
      <c r="C46" s="41"/>
    </row>
    <row r="47">
      <c r="A47" s="39">
        <v>4.0</v>
      </c>
      <c r="B47" s="40" t="s">
        <v>4055</v>
      </c>
      <c r="C47" s="41"/>
    </row>
    <row r="48">
      <c r="A48" s="39">
        <v>5.0</v>
      </c>
      <c r="B48" s="40" t="s">
        <v>4056</v>
      </c>
      <c r="C48" s="41"/>
    </row>
    <row r="49">
      <c r="A49" s="43">
        <v>6.0</v>
      </c>
      <c r="B49" s="49" t="s">
        <v>4057</v>
      </c>
      <c r="C49" s="45"/>
    </row>
  </sheetData>
  <mergeCells count="7">
    <mergeCell ref="A1:C1"/>
    <mergeCell ref="A11:C11"/>
    <mergeCell ref="A13:C13"/>
    <mergeCell ref="A15:C15"/>
    <mergeCell ref="A27:C27"/>
    <mergeCell ref="A34:C34"/>
    <mergeCell ref="A41:C41"/>
  </mergeCells>
  <hyperlinks>
    <hyperlink r:id="rId1" ref="B9"/>
  </hyperlinks>
  <drawing r:id="rId2"/>
</worksheet>
</file>

<file path=xl/worksheets/sheet1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2" max="2" width="87.63"/>
    <col customWidth="1" min="3" max="3" width="20.13"/>
  </cols>
  <sheetData>
    <row r="1">
      <c r="A1" s="34" t="s">
        <v>742</v>
      </c>
    </row>
    <row r="2">
      <c r="A2" s="35"/>
      <c r="B2" s="35"/>
      <c r="C2" s="35"/>
    </row>
    <row r="3">
      <c r="A3" s="36" t="s">
        <v>743</v>
      </c>
      <c r="B3" s="37" t="s">
        <v>744</v>
      </c>
      <c r="C3" s="38"/>
    </row>
    <row r="4">
      <c r="A4" s="39" t="s">
        <v>6</v>
      </c>
      <c r="B4" s="40" t="s">
        <v>576</v>
      </c>
      <c r="C4" s="41"/>
    </row>
    <row r="5">
      <c r="A5" s="39" t="s">
        <v>745</v>
      </c>
      <c r="B5" s="42">
        <v>46176.0</v>
      </c>
      <c r="C5" s="41"/>
    </row>
    <row r="6">
      <c r="A6" s="39" t="s">
        <v>0</v>
      </c>
      <c r="B6" s="40" t="s">
        <v>549</v>
      </c>
      <c r="C6" s="41"/>
    </row>
    <row r="7">
      <c r="A7" s="39" t="s">
        <v>7</v>
      </c>
      <c r="B7" s="40" t="s">
        <v>377</v>
      </c>
      <c r="C7" s="41"/>
    </row>
    <row r="8">
      <c r="A8" s="39" t="s">
        <v>746</v>
      </c>
      <c r="B8" s="40">
        <v>3.0</v>
      </c>
      <c r="C8" s="41"/>
    </row>
    <row r="9">
      <c r="A9" s="43" t="s">
        <v>8</v>
      </c>
      <c r="B9" s="44" t="s">
        <v>577</v>
      </c>
      <c r="C9" s="45"/>
    </row>
    <row r="10">
      <c r="A10" s="35"/>
      <c r="B10" s="35"/>
      <c r="C10" s="35"/>
    </row>
    <row r="11">
      <c r="A11" s="34" t="s">
        <v>747</v>
      </c>
    </row>
    <row r="12">
      <c r="A12" s="35"/>
      <c r="B12" s="35"/>
      <c r="C12" s="35"/>
    </row>
    <row r="13">
      <c r="A13" s="46" t="s">
        <v>578</v>
      </c>
    </row>
    <row r="14">
      <c r="A14" s="35"/>
      <c r="B14" s="35"/>
      <c r="C14" s="35"/>
    </row>
    <row r="15">
      <c r="A15" s="34" t="s">
        <v>748</v>
      </c>
    </row>
    <row r="16">
      <c r="A16" s="35"/>
      <c r="B16" s="35"/>
      <c r="C16" s="35"/>
    </row>
    <row r="17">
      <c r="A17" s="36" t="s">
        <v>749</v>
      </c>
      <c r="B17" s="37" t="s">
        <v>750</v>
      </c>
      <c r="C17" s="47" t="s">
        <v>751</v>
      </c>
    </row>
    <row r="18">
      <c r="A18" s="39">
        <v>1.0</v>
      </c>
      <c r="B18" s="40" t="s">
        <v>4058</v>
      </c>
      <c r="C18" s="48" t="s">
        <v>753</v>
      </c>
    </row>
    <row r="19">
      <c r="A19" s="39">
        <v>2.0</v>
      </c>
      <c r="B19" s="40" t="s">
        <v>4059</v>
      </c>
      <c r="C19" s="48" t="s">
        <v>753</v>
      </c>
    </row>
    <row r="20">
      <c r="A20" s="39">
        <v>3.0</v>
      </c>
      <c r="B20" s="40" t="s">
        <v>4060</v>
      </c>
      <c r="C20" s="48" t="s">
        <v>753</v>
      </c>
    </row>
    <row r="21">
      <c r="A21" s="39">
        <v>4.0</v>
      </c>
      <c r="B21" s="40" t="s">
        <v>4061</v>
      </c>
      <c r="C21" s="48" t="s">
        <v>4062</v>
      </c>
    </row>
    <row r="22">
      <c r="A22" s="39">
        <v>5.0</v>
      </c>
      <c r="B22" s="40" t="s">
        <v>4063</v>
      </c>
      <c r="C22" s="48" t="s">
        <v>753</v>
      </c>
    </row>
    <row r="23">
      <c r="A23" s="43">
        <v>6.0</v>
      </c>
      <c r="B23" s="49" t="s">
        <v>4064</v>
      </c>
      <c r="C23" s="50" t="s">
        <v>753</v>
      </c>
    </row>
    <row r="24">
      <c r="A24" s="35"/>
      <c r="B24" s="35"/>
      <c r="C24" s="35"/>
    </row>
    <row r="25">
      <c r="A25" s="34" t="s">
        <v>756</v>
      </c>
    </row>
    <row r="26">
      <c r="A26" s="35"/>
      <c r="B26" s="35"/>
      <c r="C26" s="35"/>
    </row>
    <row r="27">
      <c r="A27" s="36" t="s">
        <v>749</v>
      </c>
      <c r="B27" s="37" t="s">
        <v>757</v>
      </c>
      <c r="C27" s="38"/>
    </row>
    <row r="28">
      <c r="A28" s="39">
        <v>1.0</v>
      </c>
      <c r="B28" s="40" t="s">
        <v>4065</v>
      </c>
      <c r="C28" s="41"/>
    </row>
    <row r="29">
      <c r="A29" s="39">
        <v>2.0</v>
      </c>
      <c r="B29" s="40" t="s">
        <v>4066</v>
      </c>
      <c r="C29" s="41"/>
    </row>
    <row r="30">
      <c r="A30" s="43">
        <v>3.0</v>
      </c>
      <c r="B30" s="49" t="s">
        <v>4067</v>
      </c>
      <c r="C30" s="45"/>
    </row>
    <row r="31">
      <c r="A31" s="35"/>
      <c r="B31" s="35"/>
      <c r="C31" s="35"/>
    </row>
    <row r="32">
      <c r="A32" s="34" t="s">
        <v>760</v>
      </c>
    </row>
    <row r="33">
      <c r="A33" s="35"/>
      <c r="B33" s="35"/>
      <c r="C33" s="35"/>
    </row>
    <row r="34">
      <c r="A34" s="36" t="s">
        <v>749</v>
      </c>
      <c r="B34" s="37" t="s">
        <v>757</v>
      </c>
      <c r="C34" s="38"/>
    </row>
    <row r="35">
      <c r="A35" s="39">
        <v>1.0</v>
      </c>
      <c r="B35" s="40" t="s">
        <v>4068</v>
      </c>
      <c r="C35" s="41"/>
    </row>
    <row r="36">
      <c r="A36" s="39">
        <v>2.0</v>
      </c>
      <c r="B36" s="40" t="s">
        <v>4069</v>
      </c>
      <c r="C36" s="41"/>
    </row>
    <row r="37">
      <c r="A37" s="39">
        <v>3.0</v>
      </c>
      <c r="B37" s="40" t="s">
        <v>4070</v>
      </c>
      <c r="C37" s="41"/>
    </row>
    <row r="38">
      <c r="A38" s="43">
        <v>4.0</v>
      </c>
      <c r="B38" s="49" t="s">
        <v>4071</v>
      </c>
      <c r="C38" s="45"/>
    </row>
    <row r="39">
      <c r="A39" s="35"/>
      <c r="B39" s="35"/>
      <c r="C39" s="35"/>
    </row>
    <row r="40">
      <c r="A40" s="34" t="s">
        <v>763</v>
      </c>
    </row>
    <row r="41">
      <c r="A41" s="35"/>
      <c r="B41" s="35"/>
      <c r="C41" s="35"/>
    </row>
    <row r="42">
      <c r="A42" s="36" t="s">
        <v>749</v>
      </c>
      <c r="B42" s="37" t="s">
        <v>757</v>
      </c>
      <c r="C42" s="38"/>
    </row>
    <row r="43">
      <c r="A43" s="39">
        <v>1.0</v>
      </c>
      <c r="B43" s="40" t="s">
        <v>4072</v>
      </c>
      <c r="C43" s="41"/>
    </row>
    <row r="44">
      <c r="A44" s="39">
        <v>2.0</v>
      </c>
      <c r="B44" s="40" t="s">
        <v>4073</v>
      </c>
      <c r="C44" s="41"/>
    </row>
    <row r="45">
      <c r="A45" s="39">
        <v>3.0</v>
      </c>
      <c r="B45" s="40" t="s">
        <v>4074</v>
      </c>
      <c r="C45" s="41"/>
    </row>
    <row r="46">
      <c r="A46" s="39">
        <v>4.0</v>
      </c>
      <c r="B46" s="40" t="s">
        <v>4075</v>
      </c>
      <c r="C46" s="41"/>
    </row>
    <row r="47">
      <c r="A47" s="39">
        <v>5.0</v>
      </c>
      <c r="B47" s="40" t="s">
        <v>4076</v>
      </c>
      <c r="C47" s="41"/>
    </row>
    <row r="48">
      <c r="A48" s="43">
        <v>6.0</v>
      </c>
      <c r="B48" s="49" t="s">
        <v>4077</v>
      </c>
      <c r="C48" s="45"/>
    </row>
  </sheetData>
  <mergeCells count="7">
    <mergeCell ref="A1:C1"/>
    <mergeCell ref="A11:C11"/>
    <mergeCell ref="A13:C13"/>
    <mergeCell ref="A15:C15"/>
    <mergeCell ref="A25:C25"/>
    <mergeCell ref="A32:C32"/>
    <mergeCell ref="A40:C40"/>
  </mergeCells>
  <hyperlinks>
    <hyperlink r:id="rId1" ref="B9"/>
  </hyperlinks>
  <drawing r:id="rId2"/>
</worksheet>
</file>

<file path=xl/worksheets/sheet1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2" max="2" width="87.63"/>
    <col customWidth="1" min="3" max="3" width="20.13"/>
  </cols>
  <sheetData>
    <row r="1">
      <c r="A1" s="34" t="s">
        <v>742</v>
      </c>
    </row>
    <row r="2">
      <c r="A2" s="35"/>
      <c r="B2" s="35"/>
      <c r="C2" s="35"/>
    </row>
    <row r="3">
      <c r="A3" s="36" t="s">
        <v>743</v>
      </c>
      <c r="B3" s="37" t="s">
        <v>744</v>
      </c>
      <c r="C3" s="38"/>
    </row>
    <row r="4">
      <c r="A4" s="39" t="s">
        <v>6</v>
      </c>
      <c r="B4" s="40" t="s">
        <v>580</v>
      </c>
      <c r="C4" s="41"/>
    </row>
    <row r="5">
      <c r="A5" s="39" t="s">
        <v>745</v>
      </c>
      <c r="B5" s="42">
        <v>46176.0</v>
      </c>
      <c r="C5" s="41"/>
    </row>
    <row r="6">
      <c r="A6" s="39" t="s">
        <v>0</v>
      </c>
      <c r="B6" s="40" t="s">
        <v>549</v>
      </c>
      <c r="C6" s="41"/>
    </row>
    <row r="7">
      <c r="A7" s="39" t="s">
        <v>7</v>
      </c>
      <c r="B7" s="40" t="s">
        <v>581</v>
      </c>
      <c r="C7" s="41"/>
    </row>
    <row r="8">
      <c r="A8" s="39" t="s">
        <v>746</v>
      </c>
      <c r="B8" s="40">
        <v>3.0</v>
      </c>
      <c r="C8" s="41"/>
    </row>
    <row r="9">
      <c r="A9" s="43" t="s">
        <v>8</v>
      </c>
      <c r="B9" s="44" t="s">
        <v>582</v>
      </c>
      <c r="C9" s="45"/>
    </row>
    <row r="10">
      <c r="A10" s="35"/>
      <c r="B10" s="35"/>
      <c r="C10" s="35"/>
    </row>
    <row r="11">
      <c r="A11" s="34" t="s">
        <v>747</v>
      </c>
    </row>
    <row r="12">
      <c r="A12" s="35"/>
      <c r="B12" s="35"/>
      <c r="C12" s="35"/>
    </row>
    <row r="13">
      <c r="A13" s="46" t="s">
        <v>583</v>
      </c>
    </row>
    <row r="14">
      <c r="A14" s="35"/>
      <c r="B14" s="35"/>
      <c r="C14" s="35"/>
    </row>
    <row r="15">
      <c r="A15" s="34" t="s">
        <v>748</v>
      </c>
    </row>
    <row r="16">
      <c r="A16" s="35"/>
      <c r="B16" s="35"/>
      <c r="C16" s="35"/>
    </row>
    <row r="17">
      <c r="A17" s="36" t="s">
        <v>749</v>
      </c>
      <c r="B17" s="37" t="s">
        <v>750</v>
      </c>
      <c r="C17" s="47" t="s">
        <v>751</v>
      </c>
    </row>
    <row r="18">
      <c r="A18" s="39">
        <v>1.0</v>
      </c>
      <c r="B18" s="40" t="s">
        <v>4078</v>
      </c>
      <c r="C18" s="48" t="s">
        <v>753</v>
      </c>
    </row>
    <row r="19">
      <c r="A19" s="39">
        <v>2.0</v>
      </c>
      <c r="B19" s="40" t="s">
        <v>4079</v>
      </c>
      <c r="C19" s="48" t="s">
        <v>753</v>
      </c>
    </row>
    <row r="20">
      <c r="A20" s="39">
        <v>3.0</v>
      </c>
      <c r="B20" s="40" t="s">
        <v>4080</v>
      </c>
      <c r="C20" s="48" t="s">
        <v>753</v>
      </c>
    </row>
    <row r="21">
      <c r="A21" s="43">
        <v>4.0</v>
      </c>
      <c r="B21" s="49" t="s">
        <v>4081</v>
      </c>
      <c r="C21" s="50" t="s">
        <v>753</v>
      </c>
    </row>
    <row r="22">
      <c r="A22" s="35"/>
      <c r="B22" s="35"/>
      <c r="C22" s="35"/>
    </row>
    <row r="23">
      <c r="A23" s="34" t="s">
        <v>756</v>
      </c>
    </row>
    <row r="24">
      <c r="A24" s="35"/>
      <c r="B24" s="35"/>
      <c r="C24" s="35"/>
    </row>
    <row r="25">
      <c r="A25" s="36" t="s">
        <v>749</v>
      </c>
      <c r="B25" s="37" t="s">
        <v>757</v>
      </c>
      <c r="C25" s="38"/>
    </row>
    <row r="26">
      <c r="A26" s="39">
        <v>1.0</v>
      </c>
      <c r="B26" s="40" t="s">
        <v>4082</v>
      </c>
      <c r="C26" s="41"/>
    </row>
    <row r="27">
      <c r="A27" s="39">
        <v>2.0</v>
      </c>
      <c r="B27" s="40" t="s">
        <v>4083</v>
      </c>
      <c r="C27" s="41"/>
    </row>
    <row r="28">
      <c r="A28" s="43">
        <v>3.0</v>
      </c>
      <c r="B28" s="49" t="s">
        <v>4084</v>
      </c>
      <c r="C28" s="45"/>
    </row>
    <row r="29">
      <c r="A29" s="35"/>
      <c r="B29" s="35"/>
      <c r="C29" s="35"/>
    </row>
    <row r="30">
      <c r="A30" s="34" t="s">
        <v>760</v>
      </c>
    </row>
    <row r="31">
      <c r="A31" s="35"/>
      <c r="B31" s="35"/>
      <c r="C31" s="35"/>
    </row>
    <row r="32">
      <c r="A32" s="36" t="s">
        <v>749</v>
      </c>
      <c r="B32" s="37" t="s">
        <v>757</v>
      </c>
      <c r="C32" s="38"/>
    </row>
    <row r="33">
      <c r="A33" s="39">
        <v>1.0</v>
      </c>
      <c r="B33" s="40" t="s">
        <v>4085</v>
      </c>
      <c r="C33" s="41"/>
    </row>
    <row r="34">
      <c r="A34" s="39">
        <v>2.0</v>
      </c>
      <c r="B34" s="40" t="s">
        <v>4086</v>
      </c>
      <c r="C34" s="41"/>
    </row>
    <row r="35">
      <c r="A35" s="43">
        <v>3.0</v>
      </c>
      <c r="B35" s="49" t="s">
        <v>4087</v>
      </c>
      <c r="C35" s="45"/>
    </row>
    <row r="36">
      <c r="A36" s="35"/>
      <c r="B36" s="35"/>
      <c r="C36" s="35"/>
    </row>
    <row r="37">
      <c r="A37" s="34" t="s">
        <v>763</v>
      </c>
    </row>
    <row r="38">
      <c r="A38" s="35"/>
      <c r="B38" s="35"/>
      <c r="C38" s="35"/>
    </row>
    <row r="39">
      <c r="A39" s="36" t="s">
        <v>749</v>
      </c>
      <c r="B39" s="37" t="s">
        <v>757</v>
      </c>
      <c r="C39" s="38"/>
    </row>
    <row r="40">
      <c r="A40" s="39">
        <v>1.0</v>
      </c>
      <c r="B40" s="40" t="s">
        <v>4088</v>
      </c>
      <c r="C40" s="41"/>
    </row>
    <row r="41">
      <c r="A41" s="39">
        <v>2.0</v>
      </c>
      <c r="B41" s="40" t="s">
        <v>4089</v>
      </c>
      <c r="C41" s="41"/>
    </row>
    <row r="42">
      <c r="A42" s="39">
        <v>3.0</v>
      </c>
      <c r="B42" s="40" t="s">
        <v>4090</v>
      </c>
      <c r="C42" s="41"/>
    </row>
    <row r="43">
      <c r="A43" s="43">
        <v>4.0</v>
      </c>
      <c r="B43" s="49" t="s">
        <v>4091</v>
      </c>
      <c r="C43" s="45"/>
    </row>
  </sheetData>
  <mergeCells count="7">
    <mergeCell ref="A1:C1"/>
    <mergeCell ref="A11:C11"/>
    <mergeCell ref="A13:C13"/>
    <mergeCell ref="A15:C15"/>
    <mergeCell ref="A23:C23"/>
    <mergeCell ref="A30:C30"/>
    <mergeCell ref="A37:C37"/>
  </mergeCells>
  <hyperlinks>
    <hyperlink r:id="rId1" ref="B9"/>
  </hyperlinks>
  <drawing r:id="rId2"/>
</worksheet>
</file>

<file path=xl/worksheets/sheet1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2" max="2" width="87.63"/>
    <col customWidth="1" min="3" max="3" width="20.13"/>
  </cols>
  <sheetData>
    <row r="1">
      <c r="A1" s="34" t="s">
        <v>742</v>
      </c>
    </row>
    <row r="2">
      <c r="A2" s="35"/>
      <c r="B2" s="35"/>
      <c r="C2" s="35"/>
    </row>
    <row r="3">
      <c r="A3" s="36" t="s">
        <v>743</v>
      </c>
      <c r="B3" s="37" t="s">
        <v>744</v>
      </c>
      <c r="C3" s="38"/>
    </row>
    <row r="4">
      <c r="A4" s="39" t="s">
        <v>6</v>
      </c>
      <c r="B4" s="40" t="s">
        <v>585</v>
      </c>
      <c r="C4" s="41"/>
    </row>
    <row r="5">
      <c r="A5" s="39" t="s">
        <v>745</v>
      </c>
      <c r="B5" s="42">
        <v>46176.0</v>
      </c>
      <c r="C5" s="41"/>
    </row>
    <row r="6">
      <c r="A6" s="39" t="s">
        <v>0</v>
      </c>
      <c r="B6" s="40" t="s">
        <v>549</v>
      </c>
      <c r="C6" s="41"/>
    </row>
    <row r="7">
      <c r="A7" s="39" t="s">
        <v>7</v>
      </c>
      <c r="B7" s="40" t="s">
        <v>586</v>
      </c>
      <c r="C7" s="41"/>
    </row>
    <row r="8">
      <c r="A8" s="39" t="s">
        <v>746</v>
      </c>
      <c r="B8" s="40">
        <v>2.0</v>
      </c>
      <c r="C8" s="41"/>
    </row>
    <row r="9">
      <c r="A9" s="43" t="s">
        <v>8</v>
      </c>
      <c r="B9" s="44" t="s">
        <v>587</v>
      </c>
      <c r="C9" s="45"/>
    </row>
    <row r="10">
      <c r="A10" s="35"/>
      <c r="B10" s="35"/>
      <c r="C10" s="35"/>
    </row>
    <row r="11">
      <c r="A11" s="34" t="s">
        <v>747</v>
      </c>
    </row>
    <row r="12">
      <c r="A12" s="35"/>
      <c r="B12" s="35"/>
      <c r="C12" s="35"/>
    </row>
    <row r="13">
      <c r="A13" s="46" t="s">
        <v>588</v>
      </c>
    </row>
    <row r="14">
      <c r="A14" s="35"/>
      <c r="B14" s="35"/>
      <c r="C14" s="35"/>
    </row>
    <row r="15">
      <c r="A15" s="34" t="s">
        <v>748</v>
      </c>
    </row>
    <row r="16">
      <c r="A16" s="35"/>
      <c r="B16" s="35"/>
      <c r="C16" s="35"/>
    </row>
    <row r="17">
      <c r="A17" s="36" t="s">
        <v>749</v>
      </c>
      <c r="B17" s="37" t="s">
        <v>750</v>
      </c>
      <c r="C17" s="47" t="s">
        <v>751</v>
      </c>
    </row>
    <row r="18">
      <c r="A18" s="39">
        <v>1.0</v>
      </c>
      <c r="B18" s="40" t="s">
        <v>4092</v>
      </c>
      <c r="C18" s="48" t="s">
        <v>753</v>
      </c>
    </row>
    <row r="19">
      <c r="A19" s="39">
        <v>2.0</v>
      </c>
      <c r="B19" s="40" t="s">
        <v>4093</v>
      </c>
      <c r="C19" s="48" t="s">
        <v>753</v>
      </c>
    </row>
    <row r="20">
      <c r="A20" s="39">
        <v>3.0</v>
      </c>
      <c r="B20" s="40" t="s">
        <v>4094</v>
      </c>
      <c r="C20" s="48" t="s">
        <v>753</v>
      </c>
    </row>
    <row r="21">
      <c r="A21" s="39">
        <v>4.0</v>
      </c>
      <c r="B21" s="40" t="s">
        <v>4095</v>
      </c>
      <c r="C21" s="48" t="s">
        <v>753</v>
      </c>
    </row>
    <row r="22">
      <c r="A22" s="43">
        <v>5.0</v>
      </c>
      <c r="B22" s="49" t="s">
        <v>4096</v>
      </c>
      <c r="C22" s="50" t="s">
        <v>753</v>
      </c>
    </row>
    <row r="23">
      <c r="A23" s="35"/>
      <c r="B23" s="35"/>
      <c r="C23" s="35"/>
    </row>
    <row r="24">
      <c r="A24" s="34" t="s">
        <v>756</v>
      </c>
    </row>
    <row r="25">
      <c r="A25" s="35"/>
      <c r="B25" s="35"/>
      <c r="C25" s="35"/>
    </row>
    <row r="26">
      <c r="A26" s="36" t="s">
        <v>749</v>
      </c>
      <c r="B26" s="37" t="s">
        <v>757</v>
      </c>
      <c r="C26" s="38"/>
    </row>
    <row r="27">
      <c r="A27" s="39">
        <v>1.0</v>
      </c>
      <c r="B27" s="40" t="s">
        <v>4097</v>
      </c>
      <c r="C27" s="41"/>
    </row>
    <row r="28">
      <c r="A28" s="43">
        <v>2.0</v>
      </c>
      <c r="B28" s="49" t="s">
        <v>4098</v>
      </c>
      <c r="C28" s="45"/>
    </row>
    <row r="29">
      <c r="A29" s="35"/>
      <c r="B29" s="35"/>
      <c r="C29" s="35"/>
    </row>
    <row r="30">
      <c r="A30" s="34" t="s">
        <v>760</v>
      </c>
    </row>
    <row r="31">
      <c r="A31" s="35"/>
      <c r="B31" s="35"/>
      <c r="C31" s="35"/>
    </row>
    <row r="32">
      <c r="A32" s="36" t="s">
        <v>749</v>
      </c>
      <c r="B32" s="37" t="s">
        <v>757</v>
      </c>
      <c r="C32" s="38"/>
    </row>
    <row r="33">
      <c r="A33" s="39">
        <v>1.0</v>
      </c>
      <c r="B33" s="40" t="s">
        <v>4099</v>
      </c>
      <c r="C33" s="41"/>
    </row>
    <row r="34">
      <c r="A34" s="43">
        <v>2.0</v>
      </c>
      <c r="B34" s="49" t="s">
        <v>4100</v>
      </c>
      <c r="C34" s="45"/>
    </row>
    <row r="35">
      <c r="A35" s="35"/>
      <c r="B35" s="35"/>
      <c r="C35" s="35"/>
    </row>
    <row r="36">
      <c r="A36" s="34" t="s">
        <v>763</v>
      </c>
    </row>
    <row r="37">
      <c r="A37" s="35"/>
      <c r="B37" s="35"/>
      <c r="C37" s="35"/>
    </row>
    <row r="38">
      <c r="A38" s="36" t="s">
        <v>749</v>
      </c>
      <c r="B38" s="37" t="s">
        <v>757</v>
      </c>
      <c r="C38" s="38"/>
    </row>
    <row r="39">
      <c r="A39" s="39">
        <v>1.0</v>
      </c>
      <c r="B39" s="40" t="s">
        <v>4101</v>
      </c>
      <c r="C39" s="41"/>
    </row>
    <row r="40">
      <c r="A40" s="39">
        <v>2.0</v>
      </c>
      <c r="B40" s="40" t="s">
        <v>4102</v>
      </c>
      <c r="C40" s="41"/>
    </row>
    <row r="41">
      <c r="A41" s="39">
        <v>3.0</v>
      </c>
      <c r="B41" s="40" t="s">
        <v>4103</v>
      </c>
      <c r="C41" s="41"/>
    </row>
    <row r="42">
      <c r="A42" s="43">
        <v>4.0</v>
      </c>
      <c r="B42" s="49" t="s">
        <v>4104</v>
      </c>
      <c r="C42" s="45"/>
    </row>
  </sheetData>
  <mergeCells count="7">
    <mergeCell ref="A1:C1"/>
    <mergeCell ref="A11:C11"/>
    <mergeCell ref="A13:C13"/>
    <mergeCell ref="A15:C15"/>
    <mergeCell ref="A24:C24"/>
    <mergeCell ref="A30:C30"/>
    <mergeCell ref="A36:C36"/>
  </mergeCells>
  <hyperlinks>
    <hyperlink r:id="rId1" ref="B9"/>
  </hyperlinks>
  <drawing r:id="rId2"/>
</worksheet>
</file>

<file path=xl/worksheets/sheet1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2" max="2" width="87.63"/>
    <col customWidth="1" min="3" max="3" width="20.13"/>
  </cols>
  <sheetData>
    <row r="1">
      <c r="A1" s="34" t="s">
        <v>742</v>
      </c>
    </row>
    <row r="2">
      <c r="A2" s="35"/>
      <c r="B2" s="35"/>
      <c r="C2" s="35"/>
    </row>
    <row r="3">
      <c r="A3" s="36" t="s">
        <v>743</v>
      </c>
      <c r="B3" s="37" t="s">
        <v>744</v>
      </c>
      <c r="C3" s="38"/>
    </row>
    <row r="4">
      <c r="A4" s="39" t="s">
        <v>6</v>
      </c>
      <c r="B4" s="40" t="s">
        <v>590</v>
      </c>
      <c r="C4" s="41"/>
    </row>
    <row r="5">
      <c r="A5" s="39" t="s">
        <v>745</v>
      </c>
      <c r="B5" s="42">
        <v>46176.0</v>
      </c>
      <c r="C5" s="41"/>
    </row>
    <row r="6">
      <c r="A6" s="39" t="s">
        <v>0</v>
      </c>
      <c r="B6" s="40" t="s">
        <v>549</v>
      </c>
      <c r="C6" s="41"/>
    </row>
    <row r="7">
      <c r="A7" s="39" t="s">
        <v>7</v>
      </c>
      <c r="B7" s="40" t="s">
        <v>591</v>
      </c>
      <c r="C7" s="41"/>
    </row>
    <row r="8">
      <c r="A8" s="39" t="s">
        <v>746</v>
      </c>
      <c r="B8" s="40">
        <v>5.0</v>
      </c>
      <c r="C8" s="41"/>
    </row>
    <row r="9">
      <c r="A9" s="43" t="s">
        <v>8</v>
      </c>
      <c r="B9" s="44" t="s">
        <v>592</v>
      </c>
      <c r="C9" s="45"/>
    </row>
    <row r="10">
      <c r="A10" s="35"/>
      <c r="B10" s="35"/>
      <c r="C10" s="35"/>
    </row>
    <row r="11">
      <c r="A11" s="34" t="s">
        <v>747</v>
      </c>
    </row>
    <row r="12">
      <c r="A12" s="35"/>
      <c r="B12" s="35"/>
      <c r="C12" s="35"/>
    </row>
    <row r="13">
      <c r="A13" s="46" t="s">
        <v>4105</v>
      </c>
    </row>
    <row r="14">
      <c r="A14" s="35"/>
      <c r="B14" s="35"/>
      <c r="C14" s="35"/>
    </row>
    <row r="15">
      <c r="A15" s="34" t="s">
        <v>748</v>
      </c>
    </row>
    <row r="16">
      <c r="A16" s="35"/>
      <c r="B16" s="35"/>
      <c r="C16" s="35"/>
    </row>
    <row r="17">
      <c r="A17" s="36" t="s">
        <v>749</v>
      </c>
      <c r="B17" s="37" t="s">
        <v>750</v>
      </c>
      <c r="C17" s="47" t="s">
        <v>751</v>
      </c>
    </row>
    <row r="18">
      <c r="A18" s="39">
        <v>1.0</v>
      </c>
      <c r="B18" s="40" t="s">
        <v>4106</v>
      </c>
      <c r="C18" s="48" t="s">
        <v>1418</v>
      </c>
    </row>
    <row r="19">
      <c r="A19" s="39">
        <v>2.0</v>
      </c>
      <c r="B19" s="40" t="s">
        <v>4107</v>
      </c>
      <c r="C19" s="48" t="s">
        <v>1418</v>
      </c>
    </row>
    <row r="20">
      <c r="A20" s="39">
        <v>3.0</v>
      </c>
      <c r="B20" s="40" t="s">
        <v>4108</v>
      </c>
      <c r="C20" s="48" t="s">
        <v>1418</v>
      </c>
    </row>
    <row r="21">
      <c r="A21" s="39">
        <v>4.0</v>
      </c>
      <c r="B21" s="40" t="s">
        <v>4109</v>
      </c>
      <c r="C21" s="48" t="s">
        <v>1418</v>
      </c>
    </row>
    <row r="22">
      <c r="A22" s="39">
        <v>5.0</v>
      </c>
      <c r="B22" s="40" t="s">
        <v>4110</v>
      </c>
      <c r="C22" s="48" t="s">
        <v>1418</v>
      </c>
    </row>
    <row r="23">
      <c r="A23" s="39">
        <v>6.0</v>
      </c>
      <c r="B23" s="40" t="s">
        <v>4111</v>
      </c>
      <c r="C23" s="48" t="s">
        <v>1418</v>
      </c>
    </row>
    <row r="24">
      <c r="A24" s="39">
        <v>7.0</v>
      </c>
      <c r="B24" s="40" t="s">
        <v>4112</v>
      </c>
      <c r="C24" s="48" t="s">
        <v>1418</v>
      </c>
    </row>
    <row r="25">
      <c r="A25" s="43">
        <v>8.0</v>
      </c>
      <c r="B25" s="49" t="s">
        <v>4113</v>
      </c>
      <c r="C25" s="50" t="s">
        <v>1418</v>
      </c>
    </row>
    <row r="26">
      <c r="A26" s="35"/>
      <c r="B26" s="35"/>
      <c r="C26" s="35"/>
    </row>
    <row r="27">
      <c r="A27" s="34" t="s">
        <v>756</v>
      </c>
    </row>
    <row r="28">
      <c r="A28" s="35"/>
      <c r="B28" s="35"/>
      <c r="C28" s="35"/>
    </row>
    <row r="29">
      <c r="A29" s="36" t="s">
        <v>749</v>
      </c>
      <c r="B29" s="37" t="s">
        <v>757</v>
      </c>
      <c r="C29" s="38"/>
    </row>
    <row r="30">
      <c r="A30" s="39">
        <v>1.0</v>
      </c>
      <c r="B30" s="40" t="s">
        <v>4114</v>
      </c>
      <c r="C30" s="41"/>
    </row>
    <row r="31">
      <c r="A31" s="39">
        <v>2.0</v>
      </c>
      <c r="B31" s="40" t="s">
        <v>4115</v>
      </c>
      <c r="C31" s="41"/>
    </row>
    <row r="32">
      <c r="A32" s="39">
        <v>3.0</v>
      </c>
      <c r="B32" s="40" t="s">
        <v>4116</v>
      </c>
      <c r="C32" s="41"/>
    </row>
    <row r="33">
      <c r="A33" s="43">
        <v>4.0</v>
      </c>
      <c r="B33" s="49" t="s">
        <v>4117</v>
      </c>
      <c r="C33" s="45"/>
    </row>
    <row r="34">
      <c r="A34" s="35"/>
      <c r="B34" s="35"/>
      <c r="C34" s="35"/>
    </row>
    <row r="35">
      <c r="A35" s="34" t="s">
        <v>760</v>
      </c>
    </row>
    <row r="36">
      <c r="A36" s="35"/>
      <c r="B36" s="35"/>
      <c r="C36" s="35"/>
    </row>
    <row r="37">
      <c r="A37" s="36" t="s">
        <v>749</v>
      </c>
      <c r="B37" s="37" t="s">
        <v>757</v>
      </c>
      <c r="C37" s="38"/>
    </row>
    <row r="38">
      <c r="A38" s="39">
        <v>1.0</v>
      </c>
      <c r="B38" s="40" t="s">
        <v>4118</v>
      </c>
      <c r="C38" s="41"/>
    </row>
    <row r="39">
      <c r="A39" s="39">
        <v>2.0</v>
      </c>
      <c r="B39" s="40" t="s">
        <v>4119</v>
      </c>
      <c r="C39" s="41"/>
    </row>
    <row r="40">
      <c r="A40" s="39">
        <v>3.0</v>
      </c>
      <c r="B40" s="40" t="s">
        <v>4120</v>
      </c>
      <c r="C40" s="41"/>
    </row>
    <row r="41">
      <c r="A41" s="39">
        <v>4.0</v>
      </c>
      <c r="B41" s="40" t="s">
        <v>4121</v>
      </c>
      <c r="C41" s="41"/>
    </row>
    <row r="42">
      <c r="A42" s="43">
        <v>5.0</v>
      </c>
      <c r="B42" s="49" t="s">
        <v>4122</v>
      </c>
      <c r="C42" s="45"/>
    </row>
    <row r="43">
      <c r="A43" s="35"/>
      <c r="B43" s="35"/>
      <c r="C43" s="35"/>
    </row>
    <row r="44">
      <c r="A44" s="34" t="s">
        <v>763</v>
      </c>
    </row>
    <row r="45">
      <c r="A45" s="35"/>
      <c r="B45" s="35"/>
      <c r="C45" s="35"/>
    </row>
    <row r="46">
      <c r="A46" s="36" t="s">
        <v>749</v>
      </c>
      <c r="B46" s="37" t="s">
        <v>757</v>
      </c>
      <c r="C46" s="38"/>
    </row>
    <row r="47">
      <c r="A47" s="39">
        <v>1.0</v>
      </c>
      <c r="B47" s="40" t="s">
        <v>4123</v>
      </c>
      <c r="C47" s="41"/>
    </row>
    <row r="48">
      <c r="A48" s="39">
        <v>2.0</v>
      </c>
      <c r="B48" s="40" t="s">
        <v>4124</v>
      </c>
      <c r="C48" s="41"/>
    </row>
    <row r="49">
      <c r="A49" s="39">
        <v>3.0</v>
      </c>
      <c r="B49" s="40" t="s">
        <v>4125</v>
      </c>
      <c r="C49" s="41"/>
    </row>
    <row r="50">
      <c r="A50" s="39">
        <v>4.0</v>
      </c>
      <c r="B50" s="40" t="s">
        <v>4126</v>
      </c>
      <c r="C50" s="41"/>
    </row>
    <row r="51">
      <c r="A51" s="39">
        <v>5.0</v>
      </c>
      <c r="B51" s="40" t="s">
        <v>4127</v>
      </c>
      <c r="C51" s="41"/>
    </row>
    <row r="52">
      <c r="A52" s="39">
        <v>6.0</v>
      </c>
      <c r="B52" s="40" t="s">
        <v>4128</v>
      </c>
      <c r="C52" s="41"/>
    </row>
    <row r="53">
      <c r="A53" s="43">
        <v>7.0</v>
      </c>
      <c r="B53" s="49" t="s">
        <v>4129</v>
      </c>
      <c r="C53" s="45"/>
    </row>
  </sheetData>
  <mergeCells count="7">
    <mergeCell ref="A1:C1"/>
    <mergeCell ref="A11:C11"/>
    <mergeCell ref="A13:C13"/>
    <mergeCell ref="A15:C15"/>
    <mergeCell ref="A27:C27"/>
    <mergeCell ref="A35:C35"/>
    <mergeCell ref="A44:C44"/>
  </mergeCells>
  <hyperlinks>
    <hyperlink r:id="rId1" ref="B9"/>
  </hyperlinks>
  <drawing r:id="rId2"/>
</worksheet>
</file>

<file path=xl/worksheets/sheet1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2" max="2" width="87.63"/>
    <col customWidth="1" min="3" max="3" width="20.13"/>
  </cols>
  <sheetData>
    <row r="1">
      <c r="A1" s="34" t="s">
        <v>742</v>
      </c>
    </row>
    <row r="2">
      <c r="A2" s="35"/>
      <c r="B2" s="35"/>
      <c r="C2" s="35"/>
    </row>
    <row r="3">
      <c r="A3" s="36" t="s">
        <v>743</v>
      </c>
      <c r="B3" s="37" t="s">
        <v>744</v>
      </c>
      <c r="C3" s="38"/>
    </row>
    <row r="4">
      <c r="A4" s="39" t="s">
        <v>6</v>
      </c>
      <c r="B4" s="40" t="s">
        <v>596</v>
      </c>
      <c r="C4" s="41"/>
    </row>
    <row r="5">
      <c r="A5" s="39" t="s">
        <v>745</v>
      </c>
      <c r="B5" s="42">
        <v>46177.0</v>
      </c>
      <c r="C5" s="41"/>
    </row>
    <row r="6">
      <c r="A6" s="39" t="s">
        <v>0</v>
      </c>
      <c r="B6" s="40" t="s">
        <v>549</v>
      </c>
      <c r="C6" s="41"/>
    </row>
    <row r="7">
      <c r="A7" s="39" t="s">
        <v>7</v>
      </c>
      <c r="B7" s="40" t="s">
        <v>275</v>
      </c>
      <c r="C7" s="41"/>
    </row>
    <row r="8">
      <c r="A8" s="39" t="s">
        <v>746</v>
      </c>
      <c r="B8" s="40">
        <v>4.0</v>
      </c>
      <c r="C8" s="41"/>
    </row>
    <row r="9">
      <c r="A9" s="43" t="s">
        <v>8</v>
      </c>
      <c r="B9" s="44" t="s">
        <v>597</v>
      </c>
      <c r="C9" s="45"/>
    </row>
    <row r="10">
      <c r="A10" s="35"/>
      <c r="B10" s="35"/>
      <c r="C10" s="35"/>
    </row>
    <row r="11">
      <c r="A11" s="34" t="s">
        <v>747</v>
      </c>
    </row>
    <row r="12">
      <c r="A12" s="35"/>
      <c r="B12" s="35"/>
      <c r="C12" s="35"/>
    </row>
    <row r="13">
      <c r="A13" s="46" t="s">
        <v>598</v>
      </c>
    </row>
    <row r="14">
      <c r="A14" s="35"/>
      <c r="B14" s="35"/>
      <c r="C14" s="35"/>
    </row>
    <row r="15">
      <c r="A15" s="34" t="s">
        <v>748</v>
      </c>
    </row>
    <row r="16">
      <c r="A16" s="35"/>
      <c r="B16" s="35"/>
      <c r="C16" s="35"/>
    </row>
    <row r="17">
      <c r="A17" s="36" t="s">
        <v>749</v>
      </c>
      <c r="B17" s="37" t="s">
        <v>750</v>
      </c>
      <c r="C17" s="47" t="s">
        <v>751</v>
      </c>
    </row>
    <row r="18">
      <c r="A18" s="39">
        <v>1.0</v>
      </c>
      <c r="B18" s="40" t="s">
        <v>4130</v>
      </c>
      <c r="C18" s="48" t="s">
        <v>753</v>
      </c>
    </row>
    <row r="19">
      <c r="A19" s="39">
        <v>2.0</v>
      </c>
      <c r="B19" s="40" t="s">
        <v>4131</v>
      </c>
      <c r="C19" s="48" t="s">
        <v>753</v>
      </c>
    </row>
    <row r="20">
      <c r="A20" s="39">
        <v>3.0</v>
      </c>
      <c r="B20" s="40" t="s">
        <v>4132</v>
      </c>
      <c r="C20" s="48" t="s">
        <v>753</v>
      </c>
    </row>
    <row r="21">
      <c r="A21" s="39">
        <v>4.0</v>
      </c>
      <c r="B21" s="40" t="s">
        <v>4133</v>
      </c>
      <c r="C21" s="48" t="s">
        <v>753</v>
      </c>
    </row>
    <row r="22">
      <c r="A22" s="39">
        <v>5.0</v>
      </c>
      <c r="B22" s="40" t="s">
        <v>4134</v>
      </c>
      <c r="C22" s="48" t="s">
        <v>753</v>
      </c>
    </row>
    <row r="23">
      <c r="A23" s="39">
        <v>6.0</v>
      </c>
      <c r="B23" s="40" t="s">
        <v>4135</v>
      </c>
      <c r="C23" s="48" t="s">
        <v>753</v>
      </c>
    </row>
    <row r="24">
      <c r="A24" s="39">
        <v>7.0</v>
      </c>
      <c r="B24" s="40" t="s">
        <v>4136</v>
      </c>
      <c r="C24" s="48" t="s">
        <v>753</v>
      </c>
    </row>
    <row r="25">
      <c r="A25" s="39">
        <v>8.0</v>
      </c>
      <c r="B25" s="40" t="s">
        <v>4137</v>
      </c>
      <c r="C25" s="48" t="s">
        <v>4138</v>
      </c>
    </row>
    <row r="26">
      <c r="A26" s="39">
        <v>9.0</v>
      </c>
      <c r="B26" s="40" t="s">
        <v>4139</v>
      </c>
      <c r="C26" s="48" t="s">
        <v>4140</v>
      </c>
    </row>
    <row r="27">
      <c r="A27" s="39">
        <v>10.0</v>
      </c>
      <c r="B27" s="40" t="s">
        <v>4141</v>
      </c>
      <c r="C27" s="48" t="s">
        <v>753</v>
      </c>
    </row>
    <row r="28">
      <c r="A28" s="39">
        <v>11.0</v>
      </c>
      <c r="B28" s="40" t="s">
        <v>4142</v>
      </c>
      <c r="C28" s="48" t="s">
        <v>753</v>
      </c>
    </row>
    <row r="29">
      <c r="A29" s="39">
        <v>12.0</v>
      </c>
      <c r="B29" s="40" t="s">
        <v>4143</v>
      </c>
      <c r="C29" s="48" t="s">
        <v>753</v>
      </c>
    </row>
    <row r="30">
      <c r="A30" s="39">
        <v>13.0</v>
      </c>
      <c r="B30" s="40" t="s">
        <v>4144</v>
      </c>
      <c r="C30" s="48" t="s">
        <v>753</v>
      </c>
    </row>
    <row r="31">
      <c r="A31" s="43">
        <v>14.0</v>
      </c>
      <c r="B31" s="49" t="s">
        <v>4145</v>
      </c>
      <c r="C31" s="50" t="s">
        <v>753</v>
      </c>
    </row>
    <row r="32">
      <c r="A32" s="35"/>
      <c r="B32" s="35"/>
      <c r="C32" s="35"/>
    </row>
    <row r="33">
      <c r="A33" s="34" t="s">
        <v>756</v>
      </c>
    </row>
    <row r="34">
      <c r="A34" s="35"/>
      <c r="B34" s="35"/>
      <c r="C34" s="35"/>
    </row>
    <row r="35">
      <c r="A35" s="36" t="s">
        <v>749</v>
      </c>
      <c r="B35" s="37" t="s">
        <v>757</v>
      </c>
      <c r="C35" s="38"/>
    </row>
    <row r="36">
      <c r="A36" s="39">
        <v>1.0</v>
      </c>
      <c r="B36" s="40" t="s">
        <v>4146</v>
      </c>
      <c r="C36" s="41"/>
    </row>
    <row r="37">
      <c r="A37" s="39">
        <v>2.0</v>
      </c>
      <c r="B37" s="40" t="s">
        <v>4147</v>
      </c>
      <c r="C37" s="41"/>
    </row>
    <row r="38">
      <c r="A38" s="39">
        <v>3.0</v>
      </c>
      <c r="B38" s="40" t="s">
        <v>4148</v>
      </c>
      <c r="C38" s="41"/>
    </row>
    <row r="39">
      <c r="A39" s="43">
        <v>4.0</v>
      </c>
      <c r="B39" s="49" t="s">
        <v>4149</v>
      </c>
      <c r="C39" s="45"/>
    </row>
    <row r="40">
      <c r="A40" s="35"/>
      <c r="B40" s="35"/>
      <c r="C40" s="35"/>
    </row>
    <row r="41">
      <c r="A41" s="34" t="s">
        <v>760</v>
      </c>
    </row>
    <row r="42">
      <c r="A42" s="35"/>
      <c r="B42" s="35"/>
      <c r="C42" s="35"/>
    </row>
    <row r="43">
      <c r="A43" s="36" t="s">
        <v>749</v>
      </c>
      <c r="B43" s="37" t="s">
        <v>757</v>
      </c>
      <c r="C43" s="38"/>
    </row>
    <row r="44">
      <c r="A44" s="39">
        <v>1.0</v>
      </c>
      <c r="B44" s="40" t="s">
        <v>4150</v>
      </c>
      <c r="C44" s="41"/>
    </row>
    <row r="45">
      <c r="A45" s="39">
        <v>2.0</v>
      </c>
      <c r="B45" s="40" t="s">
        <v>4151</v>
      </c>
      <c r="C45" s="41"/>
    </row>
    <row r="46">
      <c r="A46" s="39">
        <v>3.0</v>
      </c>
      <c r="B46" s="40" t="s">
        <v>4152</v>
      </c>
      <c r="C46" s="41"/>
    </row>
    <row r="47">
      <c r="A47" s="43">
        <v>4.0</v>
      </c>
      <c r="B47" s="49" t="s">
        <v>4153</v>
      </c>
      <c r="C47" s="45"/>
    </row>
    <row r="48">
      <c r="A48" s="35"/>
      <c r="B48" s="35"/>
      <c r="C48" s="35"/>
    </row>
    <row r="49">
      <c r="A49" s="34" t="s">
        <v>763</v>
      </c>
    </row>
    <row r="50">
      <c r="A50" s="35"/>
      <c r="B50" s="35"/>
      <c r="C50" s="35"/>
    </row>
    <row r="51">
      <c r="A51" s="36" t="s">
        <v>749</v>
      </c>
      <c r="B51" s="37" t="s">
        <v>757</v>
      </c>
      <c r="C51" s="38"/>
    </row>
    <row r="52">
      <c r="A52" s="39">
        <v>1.0</v>
      </c>
      <c r="B52" s="40" t="s">
        <v>4154</v>
      </c>
      <c r="C52" s="41"/>
    </row>
    <row r="53">
      <c r="A53" s="39">
        <v>2.0</v>
      </c>
      <c r="B53" s="40" t="s">
        <v>4155</v>
      </c>
      <c r="C53" s="41"/>
    </row>
    <row r="54">
      <c r="A54" s="39">
        <v>3.0</v>
      </c>
      <c r="B54" s="40" t="s">
        <v>4156</v>
      </c>
      <c r="C54" s="41"/>
    </row>
    <row r="55">
      <c r="A55" s="39">
        <v>4.0</v>
      </c>
      <c r="B55" s="40" t="s">
        <v>4157</v>
      </c>
      <c r="C55" s="41"/>
    </row>
    <row r="56">
      <c r="A56" s="39">
        <v>5.0</v>
      </c>
      <c r="B56" s="40" t="s">
        <v>4158</v>
      </c>
      <c r="C56" s="41"/>
    </row>
    <row r="57">
      <c r="A57" s="43">
        <v>6.0</v>
      </c>
      <c r="B57" s="49" t="s">
        <v>4159</v>
      </c>
      <c r="C57" s="45"/>
    </row>
  </sheetData>
  <mergeCells count="7">
    <mergeCell ref="A1:C1"/>
    <mergeCell ref="A11:C11"/>
    <mergeCell ref="A13:C13"/>
    <mergeCell ref="A15:C15"/>
    <mergeCell ref="A33:C33"/>
    <mergeCell ref="A41:C41"/>
    <mergeCell ref="A49:C49"/>
  </mergeCells>
  <hyperlinks>
    <hyperlink r:id="rId1" ref="B9"/>
  </hyperlinks>
  <drawing r:id="rId2"/>
</worksheet>
</file>

<file path=xl/worksheets/sheet12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2" max="2" width="87.63"/>
    <col customWidth="1" min="3" max="3" width="20.13"/>
  </cols>
  <sheetData>
    <row r="1">
      <c r="A1" s="34" t="s">
        <v>742</v>
      </c>
    </row>
    <row r="2">
      <c r="A2" s="35"/>
      <c r="B2" s="35"/>
      <c r="C2" s="35"/>
    </row>
    <row r="3">
      <c r="A3" s="36" t="s">
        <v>743</v>
      </c>
      <c r="B3" s="37" t="s">
        <v>744</v>
      </c>
      <c r="C3" s="38"/>
    </row>
    <row r="4">
      <c r="A4" s="39" t="s">
        <v>6</v>
      </c>
      <c r="B4" s="40" t="s">
        <v>596</v>
      </c>
      <c r="C4" s="41"/>
    </row>
    <row r="5">
      <c r="A5" s="39" t="s">
        <v>745</v>
      </c>
      <c r="B5" s="42">
        <v>46177.0</v>
      </c>
      <c r="C5" s="41"/>
    </row>
    <row r="6">
      <c r="A6" s="39" t="s">
        <v>0</v>
      </c>
      <c r="B6" s="40" t="s">
        <v>549</v>
      </c>
      <c r="C6" s="41"/>
    </row>
    <row r="7">
      <c r="A7" s="39" t="s">
        <v>7</v>
      </c>
      <c r="B7" s="40" t="s">
        <v>45</v>
      </c>
      <c r="C7" s="41"/>
    </row>
    <row r="8">
      <c r="A8" s="39" t="s">
        <v>746</v>
      </c>
      <c r="B8" s="40">
        <v>5.0</v>
      </c>
      <c r="C8" s="41"/>
    </row>
    <row r="9">
      <c r="A9" s="43" t="s">
        <v>8</v>
      </c>
      <c r="B9" s="44" t="s">
        <v>601</v>
      </c>
      <c r="C9" s="45"/>
    </row>
    <row r="10">
      <c r="A10" s="35"/>
      <c r="B10" s="35"/>
      <c r="C10" s="35"/>
    </row>
    <row r="11">
      <c r="A11" s="34" t="s">
        <v>747</v>
      </c>
    </row>
    <row r="12">
      <c r="A12" s="35"/>
      <c r="B12" s="35"/>
      <c r="C12" s="35"/>
    </row>
    <row r="13">
      <c r="A13" s="46" t="s">
        <v>602</v>
      </c>
    </row>
    <row r="14">
      <c r="A14" s="35"/>
      <c r="B14" s="35"/>
      <c r="C14" s="35"/>
    </row>
    <row r="15">
      <c r="A15" s="34" t="s">
        <v>748</v>
      </c>
    </row>
    <row r="16">
      <c r="A16" s="35"/>
      <c r="B16" s="35"/>
      <c r="C16" s="35"/>
    </row>
    <row r="17">
      <c r="A17" s="36" t="s">
        <v>749</v>
      </c>
      <c r="B17" s="37" t="s">
        <v>750</v>
      </c>
      <c r="C17" s="47" t="s">
        <v>751</v>
      </c>
    </row>
    <row r="18">
      <c r="A18" s="39">
        <v>1.0</v>
      </c>
      <c r="B18" s="40" t="s">
        <v>4160</v>
      </c>
      <c r="C18" s="48" t="s">
        <v>753</v>
      </c>
    </row>
    <row r="19">
      <c r="A19" s="39">
        <v>2.0</v>
      </c>
      <c r="B19" s="40" t="s">
        <v>4161</v>
      </c>
      <c r="C19" s="48" t="s">
        <v>753</v>
      </c>
    </row>
    <row r="20">
      <c r="A20" s="39">
        <v>3.0</v>
      </c>
      <c r="B20" s="40" t="s">
        <v>4162</v>
      </c>
      <c r="C20" s="48" t="s">
        <v>753</v>
      </c>
    </row>
    <row r="21">
      <c r="A21" s="39">
        <v>4.0</v>
      </c>
      <c r="B21" s="40" t="s">
        <v>4163</v>
      </c>
      <c r="C21" s="48" t="s">
        <v>753</v>
      </c>
    </row>
    <row r="22">
      <c r="A22" s="43">
        <v>5.0</v>
      </c>
      <c r="B22" s="49" t="s">
        <v>4164</v>
      </c>
      <c r="C22" s="50" t="s">
        <v>753</v>
      </c>
    </row>
    <row r="23">
      <c r="A23" s="35"/>
      <c r="B23" s="35"/>
      <c r="C23" s="35"/>
    </row>
    <row r="24">
      <c r="A24" s="34" t="s">
        <v>756</v>
      </c>
    </row>
    <row r="25">
      <c r="A25" s="35"/>
      <c r="B25" s="35"/>
      <c r="C25" s="35"/>
    </row>
    <row r="26">
      <c r="A26" s="36" t="s">
        <v>749</v>
      </c>
      <c r="B26" s="37" t="s">
        <v>757</v>
      </c>
      <c r="C26" s="38"/>
    </row>
    <row r="27">
      <c r="A27" s="39">
        <v>1.0</v>
      </c>
      <c r="B27" s="40" t="s">
        <v>4165</v>
      </c>
      <c r="C27" s="41"/>
    </row>
    <row r="28">
      <c r="A28" s="43">
        <v>2.0</v>
      </c>
      <c r="B28" s="49" t="s">
        <v>4166</v>
      </c>
      <c r="C28" s="45"/>
    </row>
    <row r="29">
      <c r="A29" s="35"/>
      <c r="B29" s="35"/>
      <c r="C29" s="35"/>
    </row>
    <row r="30">
      <c r="A30" s="34" t="s">
        <v>760</v>
      </c>
    </row>
    <row r="31">
      <c r="A31" s="35"/>
      <c r="B31" s="35"/>
      <c r="C31" s="35"/>
    </row>
    <row r="32">
      <c r="A32" s="36" t="s">
        <v>749</v>
      </c>
      <c r="B32" s="37" t="s">
        <v>757</v>
      </c>
      <c r="C32" s="38"/>
    </row>
    <row r="33">
      <c r="A33" s="43">
        <v>1.0</v>
      </c>
      <c r="B33" s="49" t="s">
        <v>1061</v>
      </c>
      <c r="C33" s="45"/>
    </row>
    <row r="34">
      <c r="A34" s="35"/>
      <c r="B34" s="35"/>
      <c r="C34" s="35"/>
    </row>
    <row r="35">
      <c r="A35" s="34" t="s">
        <v>763</v>
      </c>
    </row>
    <row r="36">
      <c r="A36" s="35"/>
      <c r="B36" s="35"/>
      <c r="C36" s="35"/>
    </row>
    <row r="37">
      <c r="A37" s="36" t="s">
        <v>749</v>
      </c>
      <c r="B37" s="37" t="s">
        <v>757</v>
      </c>
      <c r="C37" s="38"/>
    </row>
    <row r="38">
      <c r="A38" s="39">
        <v>1.0</v>
      </c>
      <c r="B38" s="40" t="s">
        <v>4167</v>
      </c>
      <c r="C38" s="41"/>
    </row>
    <row r="39">
      <c r="A39" s="39">
        <v>2.0</v>
      </c>
      <c r="B39" s="40" t="s">
        <v>4168</v>
      </c>
      <c r="C39" s="41"/>
    </row>
    <row r="40">
      <c r="A40" s="43">
        <v>3.0</v>
      </c>
      <c r="B40" s="49" t="s">
        <v>4169</v>
      </c>
      <c r="C40" s="45"/>
    </row>
  </sheetData>
  <mergeCells count="7">
    <mergeCell ref="A1:C1"/>
    <mergeCell ref="A11:C11"/>
    <mergeCell ref="A13:C13"/>
    <mergeCell ref="A15:C15"/>
    <mergeCell ref="A24:C24"/>
    <mergeCell ref="A30:C30"/>
    <mergeCell ref="A35:C35"/>
  </mergeCells>
  <hyperlinks>
    <hyperlink r:id="rId1" ref="B9"/>
  </hyperlinks>
  <drawing r:id="rId2"/>
</worksheet>
</file>

<file path=xl/worksheets/sheet13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2" max="2" width="87.63"/>
    <col customWidth="1" min="3" max="3" width="20.13"/>
  </cols>
  <sheetData>
    <row r="1">
      <c r="A1" s="34" t="s">
        <v>742</v>
      </c>
    </row>
    <row r="2">
      <c r="A2" s="35"/>
      <c r="B2" s="35"/>
      <c r="C2" s="35"/>
    </row>
    <row r="3">
      <c r="A3" s="36" t="s">
        <v>743</v>
      </c>
      <c r="B3" s="37" t="s">
        <v>744</v>
      </c>
      <c r="C3" s="38"/>
    </row>
    <row r="4">
      <c r="A4" s="39" t="s">
        <v>6</v>
      </c>
      <c r="B4" s="40" t="s">
        <v>606</v>
      </c>
      <c r="C4" s="41"/>
    </row>
    <row r="5">
      <c r="A5" s="39" t="s">
        <v>745</v>
      </c>
      <c r="B5" s="42">
        <v>46178.0</v>
      </c>
      <c r="C5" s="41"/>
    </row>
    <row r="6">
      <c r="A6" s="39" t="s">
        <v>0</v>
      </c>
      <c r="B6" s="40" t="s">
        <v>549</v>
      </c>
      <c r="C6" s="41"/>
    </row>
    <row r="7">
      <c r="A7" s="39" t="s">
        <v>7</v>
      </c>
      <c r="B7" s="40" t="s">
        <v>607</v>
      </c>
      <c r="C7" s="41"/>
    </row>
    <row r="8">
      <c r="A8" s="39" t="s">
        <v>746</v>
      </c>
      <c r="B8" s="40">
        <v>6.0</v>
      </c>
      <c r="C8" s="41"/>
    </row>
    <row r="9">
      <c r="A9" s="43" t="s">
        <v>8</v>
      </c>
      <c r="B9" s="44" t="s">
        <v>608</v>
      </c>
      <c r="C9" s="45"/>
    </row>
    <row r="10">
      <c r="A10" s="35"/>
      <c r="B10" s="35"/>
      <c r="C10" s="35"/>
    </row>
    <row r="11">
      <c r="A11" s="34" t="s">
        <v>747</v>
      </c>
    </row>
    <row r="12">
      <c r="A12" s="35"/>
      <c r="B12" s="35"/>
      <c r="C12" s="35"/>
    </row>
    <row r="13">
      <c r="A13" s="46" t="s">
        <v>4170</v>
      </c>
    </row>
    <row r="14">
      <c r="A14" s="35"/>
      <c r="B14" s="35"/>
      <c r="C14" s="35"/>
    </row>
    <row r="15">
      <c r="A15" s="34" t="s">
        <v>748</v>
      </c>
    </row>
    <row r="16">
      <c r="A16" s="35"/>
      <c r="B16" s="35"/>
      <c r="C16" s="35"/>
    </row>
    <row r="17">
      <c r="A17" s="36" t="s">
        <v>749</v>
      </c>
      <c r="B17" s="37" t="s">
        <v>750</v>
      </c>
      <c r="C17" s="47" t="s">
        <v>751</v>
      </c>
    </row>
    <row r="18">
      <c r="A18" s="39">
        <v>1.0</v>
      </c>
      <c r="B18" s="40" t="s">
        <v>4171</v>
      </c>
      <c r="C18" s="81">
        <v>46180.0</v>
      </c>
    </row>
    <row r="19">
      <c r="A19" s="39">
        <v>2.0</v>
      </c>
      <c r="B19" s="40" t="s">
        <v>4172</v>
      </c>
      <c r="C19" s="81">
        <v>46180.0</v>
      </c>
    </row>
    <row r="20">
      <c r="A20" s="39">
        <v>3.0</v>
      </c>
      <c r="B20" s="40" t="s">
        <v>4173</v>
      </c>
      <c r="C20" s="81">
        <v>46180.0</v>
      </c>
    </row>
    <row r="21">
      <c r="A21" s="39">
        <v>4.0</v>
      </c>
      <c r="B21" s="40" t="s">
        <v>4174</v>
      </c>
      <c r="C21" s="48" t="s">
        <v>753</v>
      </c>
    </row>
    <row r="22">
      <c r="A22" s="39">
        <v>5.0</v>
      </c>
      <c r="B22" s="40" t="s">
        <v>4175</v>
      </c>
      <c r="C22" s="48" t="s">
        <v>753</v>
      </c>
    </row>
    <row r="23">
      <c r="A23" s="39">
        <v>6.0</v>
      </c>
      <c r="B23" s="40" t="s">
        <v>4176</v>
      </c>
      <c r="C23" s="81">
        <v>46182.0</v>
      </c>
    </row>
    <row r="24">
      <c r="A24" s="43">
        <v>7.0</v>
      </c>
      <c r="B24" s="49" t="s">
        <v>4177</v>
      </c>
      <c r="C24" s="50" t="s">
        <v>753</v>
      </c>
    </row>
    <row r="25">
      <c r="A25" s="35"/>
      <c r="B25" s="35"/>
      <c r="C25" s="35"/>
    </row>
    <row r="26">
      <c r="A26" s="34" t="s">
        <v>756</v>
      </c>
    </row>
    <row r="27">
      <c r="A27" s="35"/>
      <c r="B27" s="35"/>
      <c r="C27" s="35"/>
    </row>
    <row r="28">
      <c r="A28" s="36" t="s">
        <v>749</v>
      </c>
      <c r="B28" s="37" t="s">
        <v>757</v>
      </c>
      <c r="C28" s="38"/>
    </row>
    <row r="29">
      <c r="A29" s="39">
        <v>1.0</v>
      </c>
      <c r="B29" s="40" t="s">
        <v>4178</v>
      </c>
      <c r="C29" s="41"/>
    </row>
    <row r="30">
      <c r="A30" s="39">
        <v>2.0</v>
      </c>
      <c r="B30" s="40" t="s">
        <v>4179</v>
      </c>
      <c r="C30" s="41"/>
    </row>
    <row r="31">
      <c r="A31" s="39">
        <v>3.0</v>
      </c>
      <c r="B31" s="40" t="s">
        <v>4180</v>
      </c>
      <c r="C31" s="41"/>
    </row>
    <row r="32">
      <c r="A32" s="39">
        <v>4.0</v>
      </c>
      <c r="B32" s="40" t="s">
        <v>4181</v>
      </c>
      <c r="C32" s="41"/>
    </row>
    <row r="33">
      <c r="A33" s="43">
        <v>5.0</v>
      </c>
      <c r="B33" s="49" t="s">
        <v>4182</v>
      </c>
      <c r="C33" s="45"/>
    </row>
    <row r="34">
      <c r="A34" s="35"/>
      <c r="B34" s="35"/>
      <c r="C34" s="35"/>
    </row>
    <row r="35">
      <c r="A35" s="34" t="s">
        <v>760</v>
      </c>
    </row>
    <row r="36">
      <c r="A36" s="35"/>
      <c r="B36" s="35"/>
      <c r="C36" s="35"/>
    </row>
    <row r="37">
      <c r="A37" s="36" t="s">
        <v>749</v>
      </c>
      <c r="B37" s="37" t="s">
        <v>757</v>
      </c>
      <c r="C37" s="38"/>
    </row>
    <row r="38">
      <c r="A38" s="39">
        <v>1.0</v>
      </c>
      <c r="B38" s="40" t="s">
        <v>4183</v>
      </c>
      <c r="C38" s="41"/>
    </row>
    <row r="39">
      <c r="A39" s="39">
        <v>2.0</v>
      </c>
      <c r="B39" s="40" t="s">
        <v>4184</v>
      </c>
      <c r="C39" s="41"/>
    </row>
    <row r="40">
      <c r="A40" s="39">
        <v>3.0</v>
      </c>
      <c r="B40" s="40" t="s">
        <v>4185</v>
      </c>
      <c r="C40" s="41"/>
    </row>
    <row r="41">
      <c r="A41" s="43">
        <v>4.0</v>
      </c>
      <c r="B41" s="49" t="s">
        <v>4186</v>
      </c>
      <c r="C41" s="45"/>
    </row>
    <row r="42">
      <c r="A42" s="35"/>
      <c r="B42" s="35"/>
      <c r="C42" s="35"/>
    </row>
    <row r="43">
      <c r="A43" s="34" t="s">
        <v>763</v>
      </c>
    </row>
    <row r="44">
      <c r="A44" s="35"/>
      <c r="B44" s="35"/>
      <c r="C44" s="35"/>
    </row>
    <row r="45">
      <c r="A45" s="36" t="s">
        <v>749</v>
      </c>
      <c r="B45" s="37" t="s">
        <v>757</v>
      </c>
      <c r="C45" s="38"/>
    </row>
    <row r="46">
      <c r="A46" s="39">
        <v>1.0</v>
      </c>
      <c r="B46" s="40" t="s">
        <v>4187</v>
      </c>
      <c r="C46" s="41"/>
    </row>
    <row r="47">
      <c r="A47" s="39">
        <v>2.0</v>
      </c>
      <c r="B47" s="40" t="s">
        <v>4188</v>
      </c>
      <c r="C47" s="41"/>
    </row>
    <row r="48">
      <c r="A48" s="39">
        <v>3.0</v>
      </c>
      <c r="B48" s="40" t="s">
        <v>4189</v>
      </c>
      <c r="C48" s="41"/>
    </row>
    <row r="49">
      <c r="A49" s="39">
        <v>4.0</v>
      </c>
      <c r="B49" s="40" t="s">
        <v>4190</v>
      </c>
      <c r="C49" s="41"/>
    </row>
    <row r="50">
      <c r="A50" s="43">
        <v>5.0</v>
      </c>
      <c r="B50" s="49" t="s">
        <v>4191</v>
      </c>
      <c r="C50" s="45"/>
    </row>
  </sheetData>
  <mergeCells count="7">
    <mergeCell ref="A1:C1"/>
    <mergeCell ref="A11:C11"/>
    <mergeCell ref="A13:C13"/>
    <mergeCell ref="A15:C15"/>
    <mergeCell ref="A26:C26"/>
    <mergeCell ref="A35:C35"/>
    <mergeCell ref="A43:C43"/>
  </mergeCells>
  <hyperlinks>
    <hyperlink r:id="rId1" ref="B9"/>
  </hyperlinks>
  <drawing r:id="rId2"/>
</worksheet>
</file>

<file path=xl/worksheets/sheet13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2" max="2" width="87.63"/>
    <col customWidth="1" min="3" max="3" width="20.13"/>
  </cols>
  <sheetData>
    <row r="1">
      <c r="A1" s="34" t="s">
        <v>742</v>
      </c>
    </row>
    <row r="2">
      <c r="A2" s="35"/>
      <c r="B2" s="35"/>
      <c r="C2" s="35"/>
    </row>
    <row r="3">
      <c r="A3" s="36" t="s">
        <v>743</v>
      </c>
      <c r="B3" s="37" t="s">
        <v>744</v>
      </c>
      <c r="C3" s="38"/>
    </row>
    <row r="4">
      <c r="A4" s="39" t="s">
        <v>6</v>
      </c>
      <c r="B4" s="40" t="s">
        <v>612</v>
      </c>
      <c r="C4" s="41"/>
    </row>
    <row r="5">
      <c r="A5" s="39" t="s">
        <v>745</v>
      </c>
      <c r="B5" s="42">
        <v>46178.0</v>
      </c>
      <c r="C5" s="41"/>
    </row>
    <row r="6">
      <c r="A6" s="39" t="s">
        <v>0</v>
      </c>
      <c r="B6" s="40" t="s">
        <v>549</v>
      </c>
      <c r="C6" s="41"/>
    </row>
    <row r="7">
      <c r="A7" s="39" t="s">
        <v>7</v>
      </c>
      <c r="B7" s="40" t="s">
        <v>245</v>
      </c>
      <c r="C7" s="41"/>
    </row>
    <row r="8">
      <c r="A8" s="39" t="s">
        <v>746</v>
      </c>
      <c r="B8" s="40">
        <v>4.0</v>
      </c>
      <c r="C8" s="41"/>
    </row>
    <row r="9">
      <c r="A9" s="43" t="s">
        <v>8</v>
      </c>
      <c r="B9" s="44" t="s">
        <v>613</v>
      </c>
      <c r="C9" s="45"/>
    </row>
    <row r="10">
      <c r="A10" s="35"/>
      <c r="B10" s="35"/>
      <c r="C10" s="35"/>
    </row>
    <row r="11">
      <c r="A11" s="34" t="s">
        <v>747</v>
      </c>
    </row>
    <row r="12">
      <c r="A12" s="35"/>
      <c r="B12" s="35"/>
      <c r="C12" s="35"/>
    </row>
    <row r="13">
      <c r="A13" s="46" t="s">
        <v>4192</v>
      </c>
    </row>
    <row r="14">
      <c r="A14" s="35"/>
      <c r="B14" s="35"/>
      <c r="C14" s="35"/>
    </row>
    <row r="15">
      <c r="A15" s="34" t="s">
        <v>748</v>
      </c>
    </row>
    <row r="16">
      <c r="A16" s="35"/>
      <c r="B16" s="35"/>
      <c r="C16" s="35"/>
    </row>
    <row r="17">
      <c r="A17" s="36" t="s">
        <v>749</v>
      </c>
      <c r="B17" s="37" t="s">
        <v>750</v>
      </c>
      <c r="C17" s="47" t="s">
        <v>751</v>
      </c>
    </row>
    <row r="18">
      <c r="A18" s="39">
        <v>1.0</v>
      </c>
      <c r="B18" s="40" t="s">
        <v>4193</v>
      </c>
      <c r="C18" s="48" t="s">
        <v>753</v>
      </c>
    </row>
    <row r="19">
      <c r="A19" s="39">
        <v>2.0</v>
      </c>
      <c r="B19" s="40" t="s">
        <v>4194</v>
      </c>
      <c r="C19" s="48" t="s">
        <v>753</v>
      </c>
    </row>
    <row r="20">
      <c r="A20" s="39">
        <v>3.0</v>
      </c>
      <c r="B20" s="40" t="s">
        <v>4195</v>
      </c>
      <c r="C20" s="48" t="s">
        <v>753</v>
      </c>
    </row>
    <row r="21">
      <c r="A21" s="39">
        <v>4.0</v>
      </c>
      <c r="B21" s="40" t="s">
        <v>4196</v>
      </c>
      <c r="C21" s="48" t="s">
        <v>753</v>
      </c>
    </row>
    <row r="22">
      <c r="A22" s="39">
        <v>5.0</v>
      </c>
      <c r="B22" s="40" t="s">
        <v>4197</v>
      </c>
      <c r="C22" s="48" t="s">
        <v>753</v>
      </c>
    </row>
    <row r="23">
      <c r="A23" s="43">
        <v>6.0</v>
      </c>
      <c r="B23" s="49" t="s">
        <v>4198</v>
      </c>
      <c r="C23" s="82">
        <v>46182.0</v>
      </c>
    </row>
    <row r="24">
      <c r="A24" s="35"/>
      <c r="B24" s="35"/>
      <c r="C24" s="35"/>
    </row>
    <row r="25">
      <c r="A25" s="34" t="s">
        <v>756</v>
      </c>
    </row>
    <row r="26">
      <c r="A26" s="35"/>
      <c r="B26" s="35"/>
      <c r="C26" s="35"/>
    </row>
    <row r="27">
      <c r="A27" s="36" t="s">
        <v>749</v>
      </c>
      <c r="B27" s="37" t="s">
        <v>757</v>
      </c>
      <c r="C27" s="38"/>
    </row>
    <row r="28">
      <c r="A28" s="39">
        <v>1.0</v>
      </c>
      <c r="B28" s="40" t="s">
        <v>4199</v>
      </c>
      <c r="C28" s="41"/>
    </row>
    <row r="29">
      <c r="A29" s="39">
        <v>2.0</v>
      </c>
      <c r="B29" s="40" t="s">
        <v>4200</v>
      </c>
      <c r="C29" s="41"/>
    </row>
    <row r="30">
      <c r="A30" s="39">
        <v>3.0</v>
      </c>
      <c r="B30" s="40" t="s">
        <v>4201</v>
      </c>
      <c r="C30" s="41"/>
    </row>
    <row r="31">
      <c r="A31" s="43">
        <v>4.0</v>
      </c>
      <c r="B31" s="49" t="s">
        <v>4202</v>
      </c>
      <c r="C31" s="45"/>
    </row>
    <row r="32">
      <c r="A32" s="35"/>
      <c r="B32" s="35"/>
      <c r="C32" s="35"/>
    </row>
    <row r="33">
      <c r="A33" s="34" t="s">
        <v>760</v>
      </c>
    </row>
    <row r="34">
      <c r="A34" s="35"/>
      <c r="B34" s="35"/>
      <c r="C34" s="35"/>
    </row>
    <row r="35">
      <c r="A35" s="36" t="s">
        <v>749</v>
      </c>
      <c r="B35" s="37" t="s">
        <v>757</v>
      </c>
      <c r="C35" s="38"/>
    </row>
    <row r="36">
      <c r="A36" s="39">
        <v>1.0</v>
      </c>
      <c r="B36" s="40" t="s">
        <v>4203</v>
      </c>
      <c r="C36" s="41"/>
    </row>
    <row r="37">
      <c r="A37" s="39">
        <v>2.0</v>
      </c>
      <c r="B37" s="40" t="s">
        <v>4204</v>
      </c>
      <c r="C37" s="41"/>
    </row>
    <row r="38">
      <c r="A38" s="43">
        <v>3.0</v>
      </c>
      <c r="B38" s="49" t="s">
        <v>4205</v>
      </c>
      <c r="C38" s="45"/>
    </row>
    <row r="39">
      <c r="A39" s="35"/>
      <c r="B39" s="35"/>
      <c r="C39" s="35"/>
    </row>
    <row r="40">
      <c r="A40" s="34" t="s">
        <v>763</v>
      </c>
    </row>
    <row r="41">
      <c r="A41" s="35"/>
      <c r="B41" s="35"/>
      <c r="C41" s="35"/>
    </row>
    <row r="42">
      <c r="A42" s="36" t="s">
        <v>749</v>
      </c>
      <c r="B42" s="37" t="s">
        <v>757</v>
      </c>
      <c r="C42" s="38"/>
    </row>
    <row r="43">
      <c r="A43" s="39">
        <v>1.0</v>
      </c>
      <c r="B43" s="40" t="s">
        <v>4206</v>
      </c>
      <c r="C43" s="41"/>
    </row>
    <row r="44">
      <c r="A44" s="39">
        <v>2.0</v>
      </c>
      <c r="B44" s="40" t="s">
        <v>4207</v>
      </c>
      <c r="C44" s="41"/>
    </row>
    <row r="45">
      <c r="A45" s="39">
        <v>3.0</v>
      </c>
      <c r="B45" s="40" t="s">
        <v>4208</v>
      </c>
      <c r="C45" s="41"/>
    </row>
    <row r="46">
      <c r="A46" s="39">
        <v>4.0</v>
      </c>
      <c r="B46" s="40" t="s">
        <v>4209</v>
      </c>
      <c r="C46" s="41"/>
    </row>
    <row r="47">
      <c r="A47" s="43">
        <v>5.0</v>
      </c>
      <c r="B47" s="49" t="s">
        <v>4210</v>
      </c>
      <c r="C47" s="45"/>
    </row>
  </sheetData>
  <mergeCells count="7">
    <mergeCell ref="A1:C1"/>
    <mergeCell ref="A11:C11"/>
    <mergeCell ref="A13:C13"/>
    <mergeCell ref="A15:C15"/>
    <mergeCell ref="A25:C25"/>
    <mergeCell ref="A33:C33"/>
    <mergeCell ref="A40:C40"/>
  </mergeCells>
  <hyperlinks>
    <hyperlink r:id="rId1" ref="B9"/>
  </hyperlinks>
  <drawing r:id="rId2"/>
</worksheet>
</file>

<file path=xl/worksheets/sheet13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2" max="2" width="87.63"/>
    <col customWidth="1" min="3" max="3" width="20.13"/>
  </cols>
  <sheetData>
    <row r="1">
      <c r="A1" s="34" t="s">
        <v>742</v>
      </c>
    </row>
    <row r="2">
      <c r="A2" s="35"/>
      <c r="B2" s="35"/>
      <c r="C2" s="35"/>
    </row>
    <row r="3">
      <c r="A3" s="36" t="s">
        <v>743</v>
      </c>
      <c r="B3" s="37" t="s">
        <v>744</v>
      </c>
      <c r="C3" s="38"/>
    </row>
    <row r="4">
      <c r="A4" s="39" t="s">
        <v>6</v>
      </c>
      <c r="B4" s="40" t="s">
        <v>617</v>
      </c>
      <c r="C4" s="41"/>
    </row>
    <row r="5">
      <c r="A5" s="39" t="s">
        <v>745</v>
      </c>
      <c r="B5" s="42">
        <v>46178.0</v>
      </c>
      <c r="C5" s="41"/>
    </row>
    <row r="6">
      <c r="A6" s="39" t="s">
        <v>0</v>
      </c>
      <c r="B6" s="40" t="s">
        <v>549</v>
      </c>
      <c r="C6" s="41"/>
    </row>
    <row r="7">
      <c r="A7" s="39" t="s">
        <v>7</v>
      </c>
      <c r="B7" s="40" t="s">
        <v>80</v>
      </c>
      <c r="C7" s="41"/>
    </row>
    <row r="8">
      <c r="A8" s="39" t="s">
        <v>746</v>
      </c>
      <c r="B8" s="40">
        <v>4.0</v>
      </c>
      <c r="C8" s="41"/>
    </row>
    <row r="9">
      <c r="A9" s="43" t="s">
        <v>8</v>
      </c>
      <c r="B9" s="44" t="s">
        <v>618</v>
      </c>
      <c r="C9" s="45"/>
    </row>
    <row r="10">
      <c r="A10" s="35"/>
      <c r="B10" s="35"/>
      <c r="C10" s="35"/>
    </row>
    <row r="11">
      <c r="A11" s="34" t="s">
        <v>747</v>
      </c>
    </row>
    <row r="12">
      <c r="A12" s="35"/>
      <c r="B12" s="35"/>
      <c r="C12" s="35"/>
    </row>
    <row r="13">
      <c r="A13" s="46" t="s">
        <v>619</v>
      </c>
    </row>
    <row r="14">
      <c r="A14" s="35"/>
      <c r="B14" s="35"/>
      <c r="C14" s="35"/>
    </row>
    <row r="15">
      <c r="A15" s="34" t="s">
        <v>748</v>
      </c>
    </row>
    <row r="16">
      <c r="A16" s="35"/>
      <c r="B16" s="35"/>
      <c r="C16" s="35"/>
    </row>
    <row r="17">
      <c r="A17" s="36" t="s">
        <v>749</v>
      </c>
      <c r="B17" s="37" t="s">
        <v>750</v>
      </c>
      <c r="C17" s="47" t="s">
        <v>751</v>
      </c>
    </row>
    <row r="18">
      <c r="A18" s="39">
        <v>1.0</v>
      </c>
      <c r="B18" s="40" t="s">
        <v>4211</v>
      </c>
      <c r="C18" s="48" t="s">
        <v>753</v>
      </c>
    </row>
    <row r="19">
      <c r="A19" s="39">
        <v>2.0</v>
      </c>
      <c r="B19" s="40" t="s">
        <v>4212</v>
      </c>
      <c r="C19" s="48" t="s">
        <v>753</v>
      </c>
    </row>
    <row r="20">
      <c r="A20" s="39">
        <v>3.0</v>
      </c>
      <c r="B20" s="40" t="s">
        <v>4213</v>
      </c>
      <c r="C20" s="48" t="s">
        <v>753</v>
      </c>
    </row>
    <row r="21">
      <c r="A21" s="39">
        <v>4.0</v>
      </c>
      <c r="B21" s="40" t="s">
        <v>4214</v>
      </c>
      <c r="C21" s="48" t="s">
        <v>753</v>
      </c>
    </row>
    <row r="22">
      <c r="A22" s="39">
        <v>5.0</v>
      </c>
      <c r="B22" s="40" t="s">
        <v>4215</v>
      </c>
      <c r="C22" s="48" t="s">
        <v>753</v>
      </c>
    </row>
    <row r="23">
      <c r="A23" s="43">
        <v>6.0</v>
      </c>
      <c r="B23" s="49" t="s">
        <v>4216</v>
      </c>
      <c r="C23" s="50" t="s">
        <v>753</v>
      </c>
    </row>
    <row r="24">
      <c r="A24" s="35"/>
      <c r="B24" s="35"/>
      <c r="C24" s="35"/>
    </row>
    <row r="25">
      <c r="A25" s="34" t="s">
        <v>756</v>
      </c>
    </row>
    <row r="26">
      <c r="A26" s="35"/>
      <c r="B26" s="35"/>
      <c r="C26" s="35"/>
    </row>
    <row r="27">
      <c r="A27" s="36" t="s">
        <v>749</v>
      </c>
      <c r="B27" s="37" t="s">
        <v>757</v>
      </c>
      <c r="C27" s="38"/>
    </row>
    <row r="28">
      <c r="A28" s="39">
        <v>1.0</v>
      </c>
      <c r="B28" s="40" t="s">
        <v>4217</v>
      </c>
      <c r="C28" s="41"/>
    </row>
    <row r="29">
      <c r="A29" s="43">
        <v>2.0</v>
      </c>
      <c r="B29" s="49" t="s">
        <v>4218</v>
      </c>
      <c r="C29" s="45"/>
    </row>
    <row r="30">
      <c r="A30" s="35"/>
      <c r="B30" s="35"/>
      <c r="C30" s="35"/>
    </row>
    <row r="31">
      <c r="A31" s="34" t="s">
        <v>760</v>
      </c>
    </row>
    <row r="32">
      <c r="A32" s="35"/>
      <c r="B32" s="35"/>
      <c r="C32" s="35"/>
    </row>
    <row r="33">
      <c r="A33" s="36" t="s">
        <v>749</v>
      </c>
      <c r="B33" s="37" t="s">
        <v>757</v>
      </c>
      <c r="C33" s="38"/>
    </row>
    <row r="34">
      <c r="A34" s="39">
        <v>1.0</v>
      </c>
      <c r="B34" s="40" t="s">
        <v>4219</v>
      </c>
      <c r="C34" s="41"/>
    </row>
    <row r="35">
      <c r="A35" s="39">
        <v>2.0</v>
      </c>
      <c r="B35" s="40" t="s">
        <v>4220</v>
      </c>
      <c r="C35" s="41"/>
    </row>
    <row r="36">
      <c r="A36" s="43">
        <v>3.0</v>
      </c>
      <c r="B36" s="49" t="s">
        <v>4221</v>
      </c>
      <c r="C36" s="45"/>
    </row>
    <row r="37">
      <c r="A37" s="35"/>
      <c r="B37" s="35"/>
      <c r="C37" s="35"/>
    </row>
    <row r="38">
      <c r="A38" s="34" t="s">
        <v>763</v>
      </c>
    </row>
    <row r="39">
      <c r="A39" s="35"/>
      <c r="B39" s="35"/>
      <c r="C39" s="35"/>
    </row>
    <row r="40">
      <c r="A40" s="36" t="s">
        <v>749</v>
      </c>
      <c r="B40" s="37" t="s">
        <v>757</v>
      </c>
      <c r="C40" s="38"/>
    </row>
    <row r="41">
      <c r="A41" s="39">
        <v>1.0</v>
      </c>
      <c r="B41" s="40" t="s">
        <v>4222</v>
      </c>
      <c r="C41" s="41"/>
    </row>
    <row r="42">
      <c r="A42" s="39">
        <v>2.0</v>
      </c>
      <c r="B42" s="40" t="s">
        <v>4223</v>
      </c>
      <c r="C42" s="41"/>
    </row>
    <row r="43">
      <c r="A43" s="39">
        <v>3.0</v>
      </c>
      <c r="B43" s="40" t="s">
        <v>4224</v>
      </c>
      <c r="C43" s="41"/>
    </row>
    <row r="44">
      <c r="A44" s="39">
        <v>4.0</v>
      </c>
      <c r="B44" s="40" t="s">
        <v>4225</v>
      </c>
      <c r="C44" s="41"/>
    </row>
    <row r="45">
      <c r="A45" s="43">
        <v>5.0</v>
      </c>
      <c r="B45" s="49" t="s">
        <v>4226</v>
      </c>
      <c r="C45" s="45"/>
    </row>
  </sheetData>
  <mergeCells count="7">
    <mergeCell ref="A1:C1"/>
    <mergeCell ref="A11:C11"/>
    <mergeCell ref="A13:C13"/>
    <mergeCell ref="A15:C15"/>
    <mergeCell ref="A25:C25"/>
    <mergeCell ref="A31:C31"/>
    <mergeCell ref="A38:C38"/>
  </mergeCells>
  <hyperlinks>
    <hyperlink r:id="rId1" ref="B9"/>
  </hyperlinks>
  <drawing r:id="rId2"/>
</worksheet>
</file>

<file path=xl/worksheets/sheet13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2" max="2" width="87.63"/>
    <col customWidth="1" min="3" max="3" width="20.13"/>
  </cols>
  <sheetData>
    <row r="1">
      <c r="A1" s="34" t="s">
        <v>742</v>
      </c>
    </row>
    <row r="2">
      <c r="A2" s="35"/>
      <c r="B2" s="35"/>
      <c r="C2" s="35"/>
    </row>
    <row r="3">
      <c r="A3" s="36" t="s">
        <v>743</v>
      </c>
      <c r="B3" s="37" t="s">
        <v>744</v>
      </c>
      <c r="C3" s="38"/>
    </row>
    <row r="4">
      <c r="A4" s="39" t="s">
        <v>6</v>
      </c>
      <c r="B4" s="40" t="s">
        <v>623</v>
      </c>
      <c r="C4" s="41"/>
    </row>
    <row r="5">
      <c r="A5" s="39" t="s">
        <v>745</v>
      </c>
      <c r="B5" s="42">
        <v>46178.0</v>
      </c>
      <c r="C5" s="41"/>
    </row>
    <row r="6">
      <c r="A6" s="39" t="s">
        <v>0</v>
      </c>
      <c r="B6" s="40" t="s">
        <v>549</v>
      </c>
      <c r="C6" s="41"/>
    </row>
    <row r="7">
      <c r="A7" s="39" t="s">
        <v>7</v>
      </c>
      <c r="B7" s="40" t="s">
        <v>68</v>
      </c>
      <c r="C7" s="41"/>
    </row>
    <row r="8">
      <c r="A8" s="39" t="s">
        <v>746</v>
      </c>
      <c r="B8" s="40">
        <v>6.0</v>
      </c>
      <c r="C8" s="41"/>
    </row>
    <row r="9">
      <c r="A9" s="43" t="s">
        <v>8</v>
      </c>
      <c r="B9" s="44" t="s">
        <v>624</v>
      </c>
      <c r="C9" s="45"/>
    </row>
    <row r="10">
      <c r="A10" s="35"/>
      <c r="B10" s="35"/>
      <c r="C10" s="35"/>
    </row>
    <row r="11">
      <c r="A11" s="34" t="s">
        <v>747</v>
      </c>
    </row>
    <row r="12">
      <c r="A12" s="35"/>
      <c r="B12" s="35"/>
      <c r="C12" s="35"/>
    </row>
    <row r="13">
      <c r="A13" s="46" t="s">
        <v>625</v>
      </c>
    </row>
    <row r="14">
      <c r="A14" s="35"/>
      <c r="B14" s="35"/>
      <c r="C14" s="35"/>
    </row>
    <row r="15">
      <c r="A15" s="34" t="s">
        <v>748</v>
      </c>
    </row>
    <row r="16">
      <c r="A16" s="35"/>
      <c r="B16" s="35"/>
      <c r="C16" s="35"/>
    </row>
    <row r="17">
      <c r="A17" s="36" t="s">
        <v>749</v>
      </c>
      <c r="B17" s="37" t="s">
        <v>750</v>
      </c>
      <c r="C17" s="47" t="s">
        <v>751</v>
      </c>
    </row>
    <row r="18">
      <c r="A18" s="39">
        <v>1.0</v>
      </c>
      <c r="B18" s="40" t="s">
        <v>4227</v>
      </c>
      <c r="C18" s="48" t="s">
        <v>753</v>
      </c>
    </row>
    <row r="19">
      <c r="A19" s="39">
        <v>2.0</v>
      </c>
      <c r="B19" s="40" t="s">
        <v>4228</v>
      </c>
      <c r="C19" s="48" t="s">
        <v>1418</v>
      </c>
    </row>
    <row r="20">
      <c r="A20" s="39">
        <v>3.0</v>
      </c>
      <c r="B20" s="40" t="s">
        <v>4229</v>
      </c>
      <c r="C20" s="48" t="s">
        <v>1418</v>
      </c>
    </row>
    <row r="21">
      <c r="A21" s="39">
        <v>4.0</v>
      </c>
      <c r="B21" s="40" t="s">
        <v>4230</v>
      </c>
      <c r="C21" s="48" t="s">
        <v>753</v>
      </c>
    </row>
    <row r="22">
      <c r="A22" s="39">
        <v>5.0</v>
      </c>
      <c r="B22" s="40" t="s">
        <v>4231</v>
      </c>
      <c r="C22" s="48" t="s">
        <v>753</v>
      </c>
    </row>
    <row r="23">
      <c r="A23" s="43">
        <v>6.0</v>
      </c>
      <c r="B23" s="49" t="s">
        <v>4232</v>
      </c>
      <c r="C23" s="50" t="s">
        <v>753</v>
      </c>
    </row>
    <row r="24">
      <c r="A24" s="35"/>
      <c r="B24" s="35"/>
      <c r="C24" s="35"/>
    </row>
    <row r="25">
      <c r="A25" s="34" t="s">
        <v>756</v>
      </c>
    </row>
    <row r="26">
      <c r="A26" s="35"/>
      <c r="B26" s="35"/>
      <c r="C26" s="35"/>
    </row>
    <row r="27">
      <c r="A27" s="36" t="s">
        <v>749</v>
      </c>
      <c r="B27" s="37" t="s">
        <v>757</v>
      </c>
      <c r="C27" s="38"/>
    </row>
    <row r="28">
      <c r="A28" s="39">
        <v>1.0</v>
      </c>
      <c r="B28" s="40" t="s">
        <v>4233</v>
      </c>
      <c r="C28" s="41"/>
    </row>
    <row r="29">
      <c r="A29" s="39">
        <v>2.0</v>
      </c>
      <c r="B29" s="40" t="s">
        <v>4234</v>
      </c>
      <c r="C29" s="41"/>
    </row>
    <row r="30">
      <c r="A30" s="43">
        <v>3.0</v>
      </c>
      <c r="B30" s="49" t="s">
        <v>4235</v>
      </c>
      <c r="C30" s="45"/>
    </row>
    <row r="31">
      <c r="A31" s="35"/>
      <c r="B31" s="35"/>
      <c r="C31" s="35"/>
    </row>
    <row r="32">
      <c r="A32" s="34" t="s">
        <v>760</v>
      </c>
    </row>
    <row r="33">
      <c r="A33" s="35"/>
      <c r="B33" s="35"/>
      <c r="C33" s="35"/>
    </row>
    <row r="34">
      <c r="A34" s="36" t="s">
        <v>749</v>
      </c>
      <c r="B34" s="37" t="s">
        <v>757</v>
      </c>
      <c r="C34" s="38"/>
    </row>
    <row r="35">
      <c r="A35" s="39">
        <v>1.0</v>
      </c>
      <c r="B35" s="40" t="s">
        <v>4236</v>
      </c>
      <c r="C35" s="41"/>
    </row>
    <row r="36">
      <c r="A36" s="43">
        <v>2.0</v>
      </c>
      <c r="B36" s="49" t="s">
        <v>4237</v>
      </c>
      <c r="C36" s="45"/>
    </row>
    <row r="37">
      <c r="A37" s="35"/>
      <c r="B37" s="35"/>
      <c r="C37" s="35"/>
    </row>
    <row r="38">
      <c r="A38" s="34" t="s">
        <v>763</v>
      </c>
    </row>
    <row r="39">
      <c r="A39" s="35"/>
      <c r="B39" s="35"/>
      <c r="C39" s="35"/>
    </row>
    <row r="40">
      <c r="A40" s="36" t="s">
        <v>749</v>
      </c>
      <c r="B40" s="37" t="s">
        <v>757</v>
      </c>
      <c r="C40" s="38"/>
    </row>
    <row r="41">
      <c r="A41" s="39">
        <v>1.0</v>
      </c>
      <c r="B41" s="40" t="s">
        <v>4238</v>
      </c>
      <c r="C41" s="41"/>
    </row>
    <row r="42">
      <c r="A42" s="39">
        <v>2.0</v>
      </c>
      <c r="B42" s="40" t="s">
        <v>4239</v>
      </c>
      <c r="C42" s="41"/>
    </row>
    <row r="43">
      <c r="A43" s="39">
        <v>3.0</v>
      </c>
      <c r="B43" s="40" t="s">
        <v>4240</v>
      </c>
      <c r="C43" s="41"/>
    </row>
    <row r="44">
      <c r="A44" s="39">
        <v>4.0</v>
      </c>
      <c r="B44" s="40" t="s">
        <v>4241</v>
      </c>
      <c r="C44" s="41"/>
    </row>
    <row r="45">
      <c r="A45" s="43">
        <v>5.0</v>
      </c>
      <c r="B45" s="49" t="s">
        <v>4242</v>
      </c>
      <c r="C45" s="45"/>
    </row>
  </sheetData>
  <mergeCells count="7">
    <mergeCell ref="A1:C1"/>
    <mergeCell ref="A11:C11"/>
    <mergeCell ref="A13:C13"/>
    <mergeCell ref="A15:C15"/>
    <mergeCell ref="A25:C25"/>
    <mergeCell ref="A32:C32"/>
    <mergeCell ref="A38:C38"/>
  </mergeCells>
  <hyperlinks>
    <hyperlink r:id="rId1" ref="B9"/>
  </hyperlinks>
  <drawing r:id="rId2"/>
</worksheet>
</file>

<file path=xl/worksheets/sheet13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2" max="2" width="87.63"/>
    <col customWidth="1" min="3" max="3" width="20.13"/>
  </cols>
  <sheetData>
    <row r="1">
      <c r="A1" s="34" t="s">
        <v>742</v>
      </c>
    </row>
    <row r="2">
      <c r="A2" s="35"/>
      <c r="B2" s="35"/>
      <c r="C2" s="35"/>
    </row>
    <row r="3">
      <c r="A3" s="36" t="s">
        <v>743</v>
      </c>
      <c r="B3" s="37" t="s">
        <v>744</v>
      </c>
      <c r="C3" s="38"/>
    </row>
    <row r="4">
      <c r="A4" s="39" t="s">
        <v>6</v>
      </c>
      <c r="B4" s="40" t="s">
        <v>627</v>
      </c>
      <c r="C4" s="41"/>
    </row>
    <row r="5">
      <c r="A5" s="39" t="s">
        <v>745</v>
      </c>
      <c r="B5" s="42">
        <v>46178.0</v>
      </c>
      <c r="C5" s="41"/>
    </row>
    <row r="6">
      <c r="A6" s="39" t="s">
        <v>0</v>
      </c>
      <c r="B6" s="40" t="s">
        <v>549</v>
      </c>
      <c r="C6" s="41"/>
    </row>
    <row r="7">
      <c r="A7" s="39" t="s">
        <v>7</v>
      </c>
      <c r="B7" s="40" t="s">
        <v>251</v>
      </c>
      <c r="C7" s="41"/>
    </row>
    <row r="8">
      <c r="A8" s="39" t="s">
        <v>746</v>
      </c>
      <c r="B8" s="40">
        <v>1.0</v>
      </c>
      <c r="C8" s="41"/>
    </row>
    <row r="9">
      <c r="A9" s="43" t="s">
        <v>8</v>
      </c>
      <c r="B9" s="44" t="s">
        <v>628</v>
      </c>
      <c r="C9" s="45"/>
    </row>
    <row r="10">
      <c r="A10" s="35"/>
      <c r="B10" s="35"/>
      <c r="C10" s="35"/>
    </row>
    <row r="11">
      <c r="A11" s="34" t="s">
        <v>747</v>
      </c>
    </row>
    <row r="12">
      <c r="A12" s="35"/>
      <c r="B12" s="35"/>
      <c r="C12" s="35"/>
    </row>
    <row r="13">
      <c r="A13" s="46" t="s">
        <v>4243</v>
      </c>
    </row>
    <row r="14">
      <c r="A14" s="35"/>
      <c r="B14" s="35"/>
      <c r="C14" s="35"/>
    </row>
    <row r="15">
      <c r="A15" s="34" t="s">
        <v>748</v>
      </c>
    </row>
    <row r="16">
      <c r="A16" s="35"/>
      <c r="B16" s="35"/>
      <c r="C16" s="35"/>
    </row>
    <row r="17">
      <c r="A17" s="36" t="s">
        <v>749</v>
      </c>
      <c r="B17" s="37" t="s">
        <v>750</v>
      </c>
      <c r="C17" s="47" t="s">
        <v>751</v>
      </c>
    </row>
    <row r="18">
      <c r="A18" s="39">
        <v>1.0</v>
      </c>
      <c r="B18" s="40" t="s">
        <v>4244</v>
      </c>
      <c r="C18" s="48" t="s">
        <v>753</v>
      </c>
    </row>
    <row r="19">
      <c r="A19" s="39">
        <v>2.0</v>
      </c>
      <c r="B19" s="40" t="s">
        <v>4245</v>
      </c>
      <c r="C19" s="48" t="s">
        <v>753</v>
      </c>
    </row>
    <row r="20">
      <c r="A20" s="39">
        <v>3.0</v>
      </c>
      <c r="B20" s="40" t="s">
        <v>4246</v>
      </c>
      <c r="C20" s="48" t="s">
        <v>753</v>
      </c>
    </row>
    <row r="21">
      <c r="A21" s="39">
        <v>4.0</v>
      </c>
      <c r="B21" s="40" t="s">
        <v>4247</v>
      </c>
      <c r="C21" s="48" t="s">
        <v>753</v>
      </c>
    </row>
    <row r="22">
      <c r="A22" s="39">
        <v>5.0</v>
      </c>
      <c r="B22" s="40" t="s">
        <v>4248</v>
      </c>
      <c r="C22" s="48" t="s">
        <v>753</v>
      </c>
    </row>
    <row r="23">
      <c r="A23" s="39">
        <v>6.0</v>
      </c>
      <c r="B23" s="40" t="s">
        <v>4249</v>
      </c>
      <c r="C23" s="48" t="s">
        <v>753</v>
      </c>
    </row>
    <row r="24">
      <c r="A24" s="39">
        <v>7.0</v>
      </c>
      <c r="B24" s="40" t="s">
        <v>4250</v>
      </c>
      <c r="C24" s="48" t="s">
        <v>753</v>
      </c>
    </row>
    <row r="25">
      <c r="A25" s="39">
        <v>8.0</v>
      </c>
      <c r="B25" s="40" t="s">
        <v>4251</v>
      </c>
      <c r="C25" s="48" t="s">
        <v>753</v>
      </c>
    </row>
    <row r="26">
      <c r="A26" s="39">
        <v>9.0</v>
      </c>
      <c r="B26" s="40" t="s">
        <v>4252</v>
      </c>
      <c r="C26" s="48" t="s">
        <v>753</v>
      </c>
    </row>
    <row r="27">
      <c r="A27" s="39">
        <v>10.0</v>
      </c>
      <c r="B27" s="40" t="s">
        <v>4253</v>
      </c>
      <c r="C27" s="48" t="s">
        <v>753</v>
      </c>
    </row>
    <row r="28">
      <c r="A28" s="39">
        <v>11.0</v>
      </c>
      <c r="B28" s="40" t="s">
        <v>4254</v>
      </c>
      <c r="C28" s="48" t="s">
        <v>753</v>
      </c>
    </row>
    <row r="29">
      <c r="A29" s="39">
        <v>12.0</v>
      </c>
      <c r="B29" s="40" t="s">
        <v>4255</v>
      </c>
      <c r="C29" s="48" t="s">
        <v>753</v>
      </c>
    </row>
    <row r="30">
      <c r="A30" s="39">
        <v>13.0</v>
      </c>
      <c r="B30" s="40" t="s">
        <v>4256</v>
      </c>
      <c r="C30" s="48" t="s">
        <v>753</v>
      </c>
    </row>
    <row r="31">
      <c r="A31" s="39">
        <v>14.0</v>
      </c>
      <c r="B31" s="40" t="s">
        <v>4257</v>
      </c>
      <c r="C31" s="48" t="s">
        <v>753</v>
      </c>
    </row>
    <row r="32">
      <c r="A32" s="39">
        <v>15.0</v>
      </c>
      <c r="B32" s="40" t="s">
        <v>4258</v>
      </c>
      <c r="C32" s="48" t="s">
        <v>753</v>
      </c>
    </row>
    <row r="33">
      <c r="A33" s="39">
        <v>16.0</v>
      </c>
      <c r="B33" s="40" t="s">
        <v>4259</v>
      </c>
      <c r="C33" s="48" t="s">
        <v>753</v>
      </c>
    </row>
    <row r="34">
      <c r="A34" s="39">
        <v>17.0</v>
      </c>
      <c r="B34" s="40" t="s">
        <v>4260</v>
      </c>
      <c r="C34" s="48" t="s">
        <v>753</v>
      </c>
    </row>
    <row r="35">
      <c r="A35" s="39">
        <v>18.0</v>
      </c>
      <c r="B35" s="40" t="s">
        <v>4261</v>
      </c>
      <c r="C35" s="48" t="s">
        <v>753</v>
      </c>
    </row>
    <row r="36">
      <c r="A36" s="39">
        <v>19.0</v>
      </c>
      <c r="B36" s="40" t="s">
        <v>4262</v>
      </c>
      <c r="C36" s="48" t="s">
        <v>753</v>
      </c>
    </row>
    <row r="37">
      <c r="A37" s="39">
        <v>20.0</v>
      </c>
      <c r="B37" s="40" t="s">
        <v>4263</v>
      </c>
      <c r="C37" s="48" t="s">
        <v>753</v>
      </c>
    </row>
    <row r="38">
      <c r="A38" s="39">
        <v>21.0</v>
      </c>
      <c r="B38" s="40" t="s">
        <v>4264</v>
      </c>
      <c r="C38" s="48" t="s">
        <v>753</v>
      </c>
    </row>
    <row r="39">
      <c r="A39" s="39">
        <v>22.0</v>
      </c>
      <c r="B39" s="40" t="s">
        <v>4265</v>
      </c>
      <c r="C39" s="48" t="s">
        <v>753</v>
      </c>
    </row>
    <row r="40">
      <c r="A40" s="43">
        <v>23.0</v>
      </c>
      <c r="B40" s="49" t="s">
        <v>4266</v>
      </c>
      <c r="C40" s="50" t="s">
        <v>753</v>
      </c>
    </row>
    <row r="41">
      <c r="A41" s="35"/>
      <c r="B41" s="35"/>
      <c r="C41" s="35"/>
    </row>
    <row r="42">
      <c r="A42" s="34" t="s">
        <v>756</v>
      </c>
    </row>
    <row r="43">
      <c r="A43" s="35"/>
      <c r="B43" s="35"/>
      <c r="C43" s="35"/>
    </row>
    <row r="44">
      <c r="A44" s="36" t="s">
        <v>749</v>
      </c>
      <c r="B44" s="37" t="s">
        <v>757</v>
      </c>
      <c r="C44" s="38"/>
    </row>
    <row r="45">
      <c r="A45" s="39">
        <v>1.0</v>
      </c>
      <c r="B45" s="40" t="s">
        <v>4267</v>
      </c>
      <c r="C45" s="41"/>
    </row>
    <row r="46">
      <c r="A46" s="39">
        <v>2.0</v>
      </c>
      <c r="B46" s="40" t="s">
        <v>4268</v>
      </c>
      <c r="C46" s="41"/>
    </row>
    <row r="47">
      <c r="A47" s="43">
        <v>3.0</v>
      </c>
      <c r="B47" s="49" t="s">
        <v>4269</v>
      </c>
      <c r="C47" s="45"/>
    </row>
    <row r="48">
      <c r="A48" s="35"/>
      <c r="B48" s="35"/>
      <c r="C48" s="35"/>
    </row>
    <row r="49">
      <c r="A49" s="34" t="s">
        <v>760</v>
      </c>
    </row>
    <row r="50">
      <c r="A50" s="35"/>
      <c r="B50" s="35"/>
      <c r="C50" s="35"/>
    </row>
    <row r="51">
      <c r="A51" s="36" t="s">
        <v>749</v>
      </c>
      <c r="B51" s="37" t="s">
        <v>757</v>
      </c>
      <c r="C51" s="38"/>
    </row>
    <row r="52">
      <c r="A52" s="39">
        <v>1.0</v>
      </c>
      <c r="B52" s="40" t="s">
        <v>4270</v>
      </c>
      <c r="C52" s="41"/>
    </row>
    <row r="53">
      <c r="A53" s="39">
        <v>2.0</v>
      </c>
      <c r="B53" s="40" t="s">
        <v>4271</v>
      </c>
      <c r="C53" s="41"/>
    </row>
    <row r="54">
      <c r="A54" s="39">
        <v>3.0</v>
      </c>
      <c r="B54" s="40" t="s">
        <v>4272</v>
      </c>
      <c r="C54" s="41"/>
    </row>
    <row r="55">
      <c r="A55" s="43">
        <v>4.0</v>
      </c>
      <c r="B55" s="49" t="s">
        <v>4273</v>
      </c>
      <c r="C55" s="45"/>
    </row>
    <row r="56">
      <c r="A56" s="35"/>
      <c r="B56" s="35"/>
      <c r="C56" s="35"/>
    </row>
    <row r="57">
      <c r="A57" s="34" t="s">
        <v>763</v>
      </c>
    </row>
    <row r="58">
      <c r="A58" s="35"/>
      <c r="B58" s="35"/>
      <c r="C58" s="35"/>
    </row>
    <row r="59">
      <c r="A59" s="36" t="s">
        <v>749</v>
      </c>
      <c r="B59" s="37" t="s">
        <v>757</v>
      </c>
      <c r="C59" s="38"/>
    </row>
    <row r="60">
      <c r="A60" s="39">
        <v>1.0</v>
      </c>
      <c r="B60" s="40" t="s">
        <v>4274</v>
      </c>
      <c r="C60" s="41"/>
    </row>
    <row r="61">
      <c r="A61" s="39">
        <v>2.0</v>
      </c>
      <c r="B61" s="40" t="s">
        <v>4275</v>
      </c>
      <c r="C61" s="41"/>
    </row>
    <row r="62">
      <c r="A62" s="39">
        <v>3.0</v>
      </c>
      <c r="B62" s="40" t="s">
        <v>4276</v>
      </c>
      <c r="C62" s="41"/>
    </row>
    <row r="63">
      <c r="A63" s="39">
        <v>4.0</v>
      </c>
      <c r="B63" s="40" t="s">
        <v>4277</v>
      </c>
      <c r="C63" s="41"/>
    </row>
    <row r="64">
      <c r="A64" s="43">
        <v>5.0</v>
      </c>
      <c r="B64" s="49" t="s">
        <v>4278</v>
      </c>
      <c r="C64" s="45"/>
    </row>
  </sheetData>
  <mergeCells count="7">
    <mergeCell ref="A1:C1"/>
    <mergeCell ref="A11:C11"/>
    <mergeCell ref="A13:C13"/>
    <mergeCell ref="A15:C15"/>
    <mergeCell ref="A42:C42"/>
    <mergeCell ref="A49:C49"/>
    <mergeCell ref="A57:C57"/>
  </mergeCells>
  <hyperlinks>
    <hyperlink r:id="rId1" ref="B9"/>
  </hyperlinks>
  <drawing r:id="rId2"/>
</worksheet>
</file>

<file path=xl/worksheets/sheet13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2" max="2" width="87.63"/>
    <col customWidth="1" min="3" max="3" width="20.13"/>
  </cols>
  <sheetData>
    <row r="1">
      <c r="A1" s="34" t="s">
        <v>742</v>
      </c>
    </row>
    <row r="2">
      <c r="A2" s="35"/>
      <c r="B2" s="35"/>
      <c r="C2" s="35"/>
    </row>
    <row r="3">
      <c r="A3" s="36" t="s">
        <v>743</v>
      </c>
      <c r="B3" s="37" t="s">
        <v>744</v>
      </c>
      <c r="C3" s="38"/>
    </row>
    <row r="4">
      <c r="A4" s="39" t="s">
        <v>6</v>
      </c>
      <c r="B4" s="40" t="s">
        <v>632</v>
      </c>
      <c r="C4" s="41"/>
    </row>
    <row r="5">
      <c r="A5" s="39" t="s">
        <v>745</v>
      </c>
      <c r="B5" s="42">
        <v>46181.0</v>
      </c>
      <c r="C5" s="41"/>
    </row>
    <row r="6">
      <c r="A6" s="39" t="s">
        <v>0</v>
      </c>
      <c r="B6" s="40" t="s">
        <v>631</v>
      </c>
      <c r="C6" s="41"/>
    </row>
    <row r="7">
      <c r="A7" s="39" t="s">
        <v>7</v>
      </c>
      <c r="B7" s="40" t="s">
        <v>429</v>
      </c>
      <c r="C7" s="41"/>
    </row>
    <row r="8">
      <c r="A8" s="39" t="s">
        <v>746</v>
      </c>
      <c r="B8" s="40">
        <v>4.0</v>
      </c>
      <c r="C8" s="41"/>
    </row>
    <row r="9">
      <c r="A9" s="43" t="s">
        <v>8</v>
      </c>
      <c r="B9" s="44" t="s">
        <v>633</v>
      </c>
      <c r="C9" s="45"/>
    </row>
    <row r="10">
      <c r="A10" s="35"/>
      <c r="B10" s="35"/>
      <c r="C10" s="35"/>
    </row>
    <row r="11">
      <c r="A11" s="34" t="s">
        <v>747</v>
      </c>
    </row>
    <row r="12">
      <c r="A12" s="35"/>
      <c r="B12" s="35"/>
      <c r="C12" s="35"/>
    </row>
    <row r="13">
      <c r="A13" s="46" t="s">
        <v>634</v>
      </c>
    </row>
    <row r="14">
      <c r="A14" s="35"/>
      <c r="B14" s="35"/>
      <c r="C14" s="35"/>
    </row>
    <row r="15">
      <c r="A15" s="34" t="s">
        <v>748</v>
      </c>
    </row>
    <row r="16">
      <c r="A16" s="35"/>
      <c r="B16" s="35"/>
      <c r="C16" s="35"/>
    </row>
    <row r="17">
      <c r="A17" s="36" t="s">
        <v>749</v>
      </c>
      <c r="B17" s="37" t="s">
        <v>750</v>
      </c>
      <c r="C17" s="47" t="s">
        <v>751</v>
      </c>
    </row>
    <row r="18">
      <c r="A18" s="39">
        <v>1.0</v>
      </c>
      <c r="B18" s="40" t="s">
        <v>4279</v>
      </c>
      <c r="C18" s="48" t="s">
        <v>1418</v>
      </c>
    </row>
    <row r="19">
      <c r="A19" s="39">
        <v>2.0</v>
      </c>
      <c r="B19" s="40" t="s">
        <v>4280</v>
      </c>
      <c r="C19" s="48" t="s">
        <v>1418</v>
      </c>
    </row>
    <row r="20">
      <c r="A20" s="39">
        <v>3.0</v>
      </c>
      <c r="B20" s="40" t="s">
        <v>4281</v>
      </c>
      <c r="C20" s="48" t="s">
        <v>1418</v>
      </c>
    </row>
    <row r="21">
      <c r="A21" s="39">
        <v>4.0</v>
      </c>
      <c r="B21" s="40" t="s">
        <v>4282</v>
      </c>
      <c r="C21" s="48" t="s">
        <v>1418</v>
      </c>
    </row>
    <row r="22">
      <c r="A22" s="39">
        <v>5.0</v>
      </c>
      <c r="B22" s="40" t="s">
        <v>4283</v>
      </c>
      <c r="C22" s="48" t="s">
        <v>1418</v>
      </c>
    </row>
    <row r="23">
      <c r="A23" s="39">
        <v>6.0</v>
      </c>
      <c r="B23" s="40" t="s">
        <v>4284</v>
      </c>
      <c r="C23" s="48" t="s">
        <v>1418</v>
      </c>
    </row>
    <row r="24">
      <c r="A24" s="39">
        <v>7.0</v>
      </c>
      <c r="B24" s="40" t="s">
        <v>4285</v>
      </c>
      <c r="C24" s="48" t="s">
        <v>1418</v>
      </c>
    </row>
    <row r="25">
      <c r="A25" s="43">
        <v>8.0</v>
      </c>
      <c r="B25" s="49" t="s">
        <v>4286</v>
      </c>
      <c r="C25" s="50" t="s">
        <v>1418</v>
      </c>
    </row>
    <row r="26">
      <c r="A26" s="35"/>
      <c r="B26" s="35"/>
      <c r="C26" s="35"/>
    </row>
    <row r="27">
      <c r="A27" s="34" t="s">
        <v>756</v>
      </c>
    </row>
    <row r="28">
      <c r="A28" s="35"/>
      <c r="B28" s="35"/>
      <c r="C28" s="35"/>
    </row>
    <row r="29">
      <c r="A29" s="36" t="s">
        <v>749</v>
      </c>
      <c r="B29" s="37" t="s">
        <v>757</v>
      </c>
      <c r="C29" s="38"/>
    </row>
    <row r="30">
      <c r="A30" s="39">
        <v>1.0</v>
      </c>
      <c r="B30" s="40" t="s">
        <v>4287</v>
      </c>
      <c r="C30" s="41"/>
    </row>
    <row r="31">
      <c r="A31" s="39">
        <v>2.0</v>
      </c>
      <c r="B31" s="40" t="s">
        <v>4288</v>
      </c>
      <c r="C31" s="41"/>
    </row>
    <row r="32">
      <c r="A32" s="39">
        <v>3.0</v>
      </c>
      <c r="B32" s="40" t="s">
        <v>4289</v>
      </c>
      <c r="C32" s="41"/>
    </row>
    <row r="33">
      <c r="A33" s="43">
        <v>4.0</v>
      </c>
      <c r="B33" s="49" t="s">
        <v>4290</v>
      </c>
      <c r="C33" s="45"/>
    </row>
    <row r="34">
      <c r="A34" s="35"/>
      <c r="B34" s="35"/>
      <c r="C34" s="35"/>
    </row>
    <row r="35">
      <c r="A35" s="34" t="s">
        <v>760</v>
      </c>
    </row>
    <row r="36">
      <c r="A36" s="35"/>
      <c r="B36" s="35"/>
      <c r="C36" s="35"/>
    </row>
    <row r="37">
      <c r="A37" s="36" t="s">
        <v>749</v>
      </c>
      <c r="B37" s="37" t="s">
        <v>757</v>
      </c>
      <c r="C37" s="38"/>
    </row>
    <row r="38">
      <c r="A38" s="39">
        <v>1.0</v>
      </c>
      <c r="B38" s="40" t="s">
        <v>4291</v>
      </c>
      <c r="C38" s="41"/>
    </row>
    <row r="39">
      <c r="A39" s="39">
        <v>2.0</v>
      </c>
      <c r="B39" s="40" t="s">
        <v>4292</v>
      </c>
      <c r="C39" s="41"/>
    </row>
    <row r="40">
      <c r="A40" s="39">
        <v>3.0</v>
      </c>
      <c r="B40" s="40" t="s">
        <v>4293</v>
      </c>
      <c r="C40" s="41"/>
    </row>
    <row r="41">
      <c r="A41" s="43">
        <v>4.0</v>
      </c>
      <c r="B41" s="49" t="s">
        <v>4294</v>
      </c>
      <c r="C41" s="45"/>
    </row>
    <row r="42">
      <c r="A42" s="35"/>
      <c r="B42" s="35"/>
      <c r="C42" s="35"/>
    </row>
    <row r="43">
      <c r="A43" s="34" t="s">
        <v>763</v>
      </c>
    </row>
    <row r="44">
      <c r="A44" s="35"/>
      <c r="B44" s="35"/>
      <c r="C44" s="35"/>
    </row>
    <row r="45">
      <c r="A45" s="36" t="s">
        <v>749</v>
      </c>
      <c r="B45" s="37" t="s">
        <v>757</v>
      </c>
      <c r="C45" s="38"/>
    </row>
    <row r="46">
      <c r="A46" s="39">
        <v>1.0</v>
      </c>
      <c r="B46" s="40" t="s">
        <v>4295</v>
      </c>
      <c r="C46" s="41"/>
    </row>
    <row r="47">
      <c r="A47" s="39">
        <v>2.0</v>
      </c>
      <c r="B47" s="40" t="s">
        <v>4296</v>
      </c>
      <c r="C47" s="41"/>
    </row>
    <row r="48">
      <c r="A48" s="39">
        <v>3.0</v>
      </c>
      <c r="B48" s="40" t="s">
        <v>4297</v>
      </c>
      <c r="C48" s="41"/>
    </row>
    <row r="49">
      <c r="A49" s="39">
        <v>4.0</v>
      </c>
      <c r="B49" s="40" t="s">
        <v>4298</v>
      </c>
      <c r="C49" s="41"/>
    </row>
    <row r="50">
      <c r="A50" s="39">
        <v>5.0</v>
      </c>
      <c r="B50" s="40" t="s">
        <v>4299</v>
      </c>
      <c r="C50" s="41"/>
    </row>
    <row r="51">
      <c r="A51" s="39">
        <v>6.0</v>
      </c>
      <c r="B51" s="40" t="s">
        <v>4300</v>
      </c>
      <c r="C51" s="41"/>
    </row>
    <row r="52">
      <c r="A52" s="39">
        <v>7.0</v>
      </c>
      <c r="B52" s="40" t="s">
        <v>4301</v>
      </c>
      <c r="C52" s="41"/>
    </row>
    <row r="53">
      <c r="A53" s="43">
        <v>8.0</v>
      </c>
      <c r="B53" s="49" t="s">
        <v>4302</v>
      </c>
      <c r="C53" s="45"/>
    </row>
  </sheetData>
  <mergeCells count="7">
    <mergeCell ref="A1:C1"/>
    <mergeCell ref="A11:C11"/>
    <mergeCell ref="A13:C13"/>
    <mergeCell ref="A15:C15"/>
    <mergeCell ref="A27:C27"/>
    <mergeCell ref="A35:C35"/>
    <mergeCell ref="A43:C43"/>
  </mergeCells>
  <hyperlinks>
    <hyperlink r:id="rId1" ref="B9"/>
  </hyperlinks>
  <drawing r:id="rId2"/>
</worksheet>
</file>

<file path=xl/worksheets/sheet13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2" max="2" width="87.63"/>
    <col customWidth="1" min="3" max="3" width="20.13"/>
  </cols>
  <sheetData>
    <row r="1">
      <c r="A1" s="34" t="s">
        <v>742</v>
      </c>
    </row>
    <row r="2">
      <c r="A2" s="35"/>
      <c r="B2" s="35"/>
      <c r="C2" s="35"/>
    </row>
    <row r="3">
      <c r="A3" s="36" t="s">
        <v>743</v>
      </c>
      <c r="B3" s="37" t="s">
        <v>744</v>
      </c>
      <c r="C3" s="38"/>
    </row>
    <row r="4">
      <c r="A4" s="39" t="s">
        <v>6</v>
      </c>
      <c r="B4" s="40" t="s">
        <v>636</v>
      </c>
      <c r="C4" s="41"/>
    </row>
    <row r="5">
      <c r="A5" s="39" t="s">
        <v>745</v>
      </c>
      <c r="B5" s="42">
        <v>46181.0</v>
      </c>
      <c r="C5" s="41"/>
    </row>
    <row r="6">
      <c r="A6" s="39" t="s">
        <v>0</v>
      </c>
      <c r="B6" s="40" t="s">
        <v>631</v>
      </c>
      <c r="C6" s="41"/>
    </row>
    <row r="7">
      <c r="A7" s="39" t="s">
        <v>7</v>
      </c>
      <c r="B7" s="40" t="s">
        <v>265</v>
      </c>
      <c r="C7" s="41"/>
    </row>
    <row r="8">
      <c r="A8" s="39" t="s">
        <v>746</v>
      </c>
      <c r="B8" s="40">
        <v>2.0</v>
      </c>
      <c r="C8" s="41"/>
    </row>
    <row r="9">
      <c r="A9" s="43" t="s">
        <v>8</v>
      </c>
      <c r="B9" s="44" t="s">
        <v>637</v>
      </c>
      <c r="C9" s="45"/>
    </row>
    <row r="10">
      <c r="A10" s="35"/>
      <c r="B10" s="35"/>
      <c r="C10" s="35"/>
    </row>
    <row r="11">
      <c r="A11" s="34" t="s">
        <v>747</v>
      </c>
    </row>
    <row r="12">
      <c r="A12" s="35"/>
      <c r="B12" s="35"/>
      <c r="C12" s="35"/>
    </row>
    <row r="13">
      <c r="A13" s="46" t="s">
        <v>638</v>
      </c>
    </row>
    <row r="14">
      <c r="A14" s="35"/>
      <c r="B14" s="35"/>
      <c r="C14" s="35"/>
    </row>
    <row r="15">
      <c r="A15" s="34" t="s">
        <v>748</v>
      </c>
    </row>
    <row r="16">
      <c r="A16" s="35"/>
      <c r="B16" s="35"/>
      <c r="C16" s="35"/>
    </row>
    <row r="17">
      <c r="A17" s="36" t="s">
        <v>749</v>
      </c>
      <c r="B17" s="37" t="s">
        <v>750</v>
      </c>
      <c r="C17" s="47" t="s">
        <v>751</v>
      </c>
    </row>
    <row r="18">
      <c r="A18" s="39">
        <v>1.0</v>
      </c>
      <c r="B18" s="40" t="s">
        <v>4303</v>
      </c>
      <c r="C18" s="48" t="s">
        <v>753</v>
      </c>
    </row>
    <row r="19">
      <c r="A19" s="39">
        <v>2.0</v>
      </c>
      <c r="B19" s="40" t="s">
        <v>4304</v>
      </c>
      <c r="C19" s="48" t="s">
        <v>1418</v>
      </c>
    </row>
    <row r="20">
      <c r="A20" s="39">
        <v>3.0</v>
      </c>
      <c r="B20" s="40" t="s">
        <v>4305</v>
      </c>
      <c r="C20" s="48" t="s">
        <v>753</v>
      </c>
    </row>
    <row r="21">
      <c r="A21" s="39">
        <v>4.0</v>
      </c>
      <c r="B21" s="40" t="s">
        <v>4306</v>
      </c>
      <c r="C21" s="48" t="s">
        <v>753</v>
      </c>
    </row>
    <row r="22">
      <c r="A22" s="39">
        <v>5.0</v>
      </c>
      <c r="B22" s="40" t="s">
        <v>4307</v>
      </c>
      <c r="C22" s="48" t="s">
        <v>753</v>
      </c>
    </row>
    <row r="23">
      <c r="A23" s="39">
        <v>6.0</v>
      </c>
      <c r="B23" s="40" t="s">
        <v>4308</v>
      </c>
      <c r="C23" s="48" t="s">
        <v>753</v>
      </c>
    </row>
    <row r="24">
      <c r="A24" s="39">
        <v>7.0</v>
      </c>
      <c r="B24" s="40" t="s">
        <v>4309</v>
      </c>
      <c r="C24" s="48" t="s">
        <v>753</v>
      </c>
    </row>
    <row r="25">
      <c r="A25" s="39">
        <v>8.0</v>
      </c>
      <c r="B25" s="40" t="s">
        <v>4310</v>
      </c>
      <c r="C25" s="48" t="s">
        <v>753</v>
      </c>
    </row>
    <row r="26">
      <c r="A26" s="39">
        <v>9.0</v>
      </c>
      <c r="B26" s="40" t="s">
        <v>4311</v>
      </c>
      <c r="C26" s="48" t="s">
        <v>753</v>
      </c>
    </row>
    <row r="27">
      <c r="A27" s="39">
        <v>10.0</v>
      </c>
      <c r="B27" s="40" t="s">
        <v>4312</v>
      </c>
      <c r="C27" s="48" t="s">
        <v>753</v>
      </c>
    </row>
    <row r="28">
      <c r="A28" s="43">
        <v>11.0</v>
      </c>
      <c r="B28" s="49" t="s">
        <v>4313</v>
      </c>
      <c r="C28" s="50" t="s">
        <v>753</v>
      </c>
    </row>
    <row r="29">
      <c r="A29" s="35"/>
      <c r="B29" s="35"/>
      <c r="C29" s="35"/>
    </row>
    <row r="30">
      <c r="A30" s="34" t="s">
        <v>756</v>
      </c>
    </row>
    <row r="31">
      <c r="A31" s="35"/>
      <c r="B31" s="35"/>
      <c r="C31" s="35"/>
    </row>
    <row r="32">
      <c r="A32" s="36" t="s">
        <v>749</v>
      </c>
      <c r="B32" s="37" t="s">
        <v>757</v>
      </c>
      <c r="C32" s="38"/>
    </row>
    <row r="33">
      <c r="A33" s="39">
        <v>1.0</v>
      </c>
      <c r="B33" s="40" t="s">
        <v>4314</v>
      </c>
      <c r="C33" s="41"/>
    </row>
    <row r="34">
      <c r="A34" s="39">
        <v>2.0</v>
      </c>
      <c r="B34" s="40" t="s">
        <v>4315</v>
      </c>
      <c r="C34" s="41"/>
    </row>
    <row r="35">
      <c r="A35" s="43">
        <v>3.0</v>
      </c>
      <c r="B35" s="49" t="s">
        <v>4316</v>
      </c>
      <c r="C35" s="45"/>
    </row>
    <row r="36">
      <c r="A36" s="35"/>
      <c r="B36" s="35"/>
      <c r="C36" s="35"/>
    </row>
    <row r="37">
      <c r="A37" s="34" t="s">
        <v>760</v>
      </c>
    </row>
    <row r="38">
      <c r="A38" s="35"/>
      <c r="B38" s="35"/>
      <c r="C38" s="35"/>
    </row>
    <row r="39">
      <c r="A39" s="36" t="s">
        <v>749</v>
      </c>
      <c r="B39" s="37" t="s">
        <v>757</v>
      </c>
      <c r="C39" s="38"/>
    </row>
    <row r="40">
      <c r="A40" s="39">
        <v>1.0</v>
      </c>
      <c r="B40" s="40" t="s">
        <v>4317</v>
      </c>
      <c r="C40" s="41"/>
    </row>
    <row r="41">
      <c r="A41" s="39">
        <v>2.0</v>
      </c>
      <c r="B41" s="40" t="s">
        <v>4318</v>
      </c>
      <c r="C41" s="41"/>
    </row>
    <row r="42">
      <c r="A42" s="43">
        <v>3.0</v>
      </c>
      <c r="B42" s="49" t="s">
        <v>4319</v>
      </c>
      <c r="C42" s="45"/>
    </row>
    <row r="43">
      <c r="A43" s="35"/>
      <c r="B43" s="35"/>
      <c r="C43" s="35"/>
    </row>
    <row r="44">
      <c r="A44" s="34" t="s">
        <v>763</v>
      </c>
    </row>
    <row r="45">
      <c r="A45" s="35"/>
      <c r="B45" s="35"/>
      <c r="C45" s="35"/>
    </row>
    <row r="46">
      <c r="A46" s="36" t="s">
        <v>749</v>
      </c>
      <c r="B46" s="37" t="s">
        <v>757</v>
      </c>
      <c r="C46" s="38"/>
    </row>
    <row r="47">
      <c r="A47" s="39">
        <v>1.0</v>
      </c>
      <c r="B47" s="40" t="s">
        <v>4320</v>
      </c>
      <c r="C47" s="41"/>
    </row>
    <row r="48">
      <c r="A48" s="39">
        <v>2.0</v>
      </c>
      <c r="B48" s="40" t="s">
        <v>4321</v>
      </c>
      <c r="C48" s="41"/>
    </row>
    <row r="49">
      <c r="A49" s="39">
        <v>3.0</v>
      </c>
      <c r="B49" s="40" t="s">
        <v>4322</v>
      </c>
      <c r="C49" s="41"/>
    </row>
    <row r="50">
      <c r="A50" s="39">
        <v>4.0</v>
      </c>
      <c r="B50" s="40" t="s">
        <v>4323</v>
      </c>
      <c r="C50" s="41"/>
    </row>
    <row r="51">
      <c r="A51" s="39">
        <v>5.0</v>
      </c>
      <c r="B51" s="40" t="s">
        <v>4324</v>
      </c>
      <c r="C51" s="41"/>
    </row>
    <row r="52">
      <c r="A52" s="39">
        <v>6.0</v>
      </c>
      <c r="B52" s="40" t="s">
        <v>4325</v>
      </c>
      <c r="C52" s="41"/>
    </row>
    <row r="53">
      <c r="A53" s="43">
        <v>7.0</v>
      </c>
      <c r="B53" s="49" t="s">
        <v>4326</v>
      </c>
      <c r="C53" s="45"/>
    </row>
  </sheetData>
  <mergeCells count="7">
    <mergeCell ref="A1:C1"/>
    <mergeCell ref="A11:C11"/>
    <mergeCell ref="A13:C13"/>
    <mergeCell ref="A15:C15"/>
    <mergeCell ref="A30:C30"/>
    <mergeCell ref="A37:C37"/>
    <mergeCell ref="A44:C44"/>
  </mergeCells>
  <hyperlinks>
    <hyperlink r:id="rId1" ref="B9"/>
  </hyperlinks>
  <drawing r:id="rId2"/>
</worksheet>
</file>

<file path=xl/worksheets/sheet13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2" max="2" width="87.63"/>
    <col customWidth="1" min="3" max="3" width="20.13"/>
  </cols>
  <sheetData>
    <row r="1">
      <c r="A1" s="34" t="s">
        <v>742</v>
      </c>
    </row>
    <row r="2">
      <c r="A2" s="35"/>
      <c r="B2" s="35"/>
      <c r="C2" s="35"/>
    </row>
    <row r="3">
      <c r="A3" s="36" t="s">
        <v>743</v>
      </c>
      <c r="B3" s="37" t="s">
        <v>744</v>
      </c>
      <c r="C3" s="38"/>
    </row>
    <row r="4">
      <c r="A4" s="39" t="s">
        <v>6</v>
      </c>
      <c r="B4" s="40" t="s">
        <v>640</v>
      </c>
      <c r="C4" s="41"/>
    </row>
    <row r="5">
      <c r="A5" s="39" t="s">
        <v>745</v>
      </c>
      <c r="B5" s="42">
        <v>46181.0</v>
      </c>
      <c r="C5" s="41"/>
    </row>
    <row r="6">
      <c r="A6" s="39" t="s">
        <v>0</v>
      </c>
      <c r="B6" s="40" t="s">
        <v>631</v>
      </c>
      <c r="C6" s="41"/>
    </row>
    <row r="7">
      <c r="A7" s="39" t="s">
        <v>7</v>
      </c>
      <c r="B7" s="40" t="s">
        <v>139</v>
      </c>
      <c r="C7" s="41"/>
    </row>
    <row r="8">
      <c r="A8" s="39" t="s">
        <v>746</v>
      </c>
      <c r="B8" s="40">
        <v>1.0</v>
      </c>
      <c r="C8" s="41"/>
    </row>
    <row r="9">
      <c r="A9" s="43" t="s">
        <v>8</v>
      </c>
      <c r="B9" s="44" t="s">
        <v>641</v>
      </c>
      <c r="C9" s="45"/>
    </row>
    <row r="10">
      <c r="A10" s="35"/>
      <c r="B10" s="35"/>
      <c r="C10" s="35"/>
    </row>
    <row r="11">
      <c r="A11" s="34" t="s">
        <v>747</v>
      </c>
    </row>
    <row r="12">
      <c r="A12" s="35"/>
      <c r="B12" s="35"/>
      <c r="C12" s="35"/>
    </row>
    <row r="13">
      <c r="A13" s="46" t="s">
        <v>4327</v>
      </c>
    </row>
    <row r="14">
      <c r="A14" s="35"/>
      <c r="B14" s="35"/>
      <c r="C14" s="35"/>
    </row>
    <row r="15">
      <c r="A15" s="34" t="s">
        <v>748</v>
      </c>
    </row>
    <row r="16">
      <c r="A16" s="35"/>
      <c r="B16" s="35"/>
      <c r="C16" s="35"/>
    </row>
    <row r="17">
      <c r="A17" s="36" t="s">
        <v>749</v>
      </c>
      <c r="B17" s="37" t="s">
        <v>750</v>
      </c>
      <c r="C17" s="47" t="s">
        <v>751</v>
      </c>
    </row>
    <row r="18">
      <c r="A18" s="39">
        <v>1.0</v>
      </c>
      <c r="B18" s="40" t="s">
        <v>4328</v>
      </c>
      <c r="C18" s="48" t="s">
        <v>753</v>
      </c>
    </row>
    <row r="19">
      <c r="A19" s="39">
        <v>2.0</v>
      </c>
      <c r="B19" s="40" t="s">
        <v>4329</v>
      </c>
      <c r="C19" s="48" t="s">
        <v>753</v>
      </c>
    </row>
    <row r="20">
      <c r="A20" s="39">
        <v>3.0</v>
      </c>
      <c r="B20" s="40" t="s">
        <v>4330</v>
      </c>
      <c r="C20" s="48" t="s">
        <v>753</v>
      </c>
    </row>
    <row r="21">
      <c r="A21" s="39">
        <v>4.0</v>
      </c>
      <c r="B21" s="40" t="s">
        <v>4331</v>
      </c>
      <c r="C21" s="48" t="s">
        <v>753</v>
      </c>
    </row>
    <row r="22">
      <c r="A22" s="39">
        <v>5.0</v>
      </c>
      <c r="B22" s="40" t="s">
        <v>4332</v>
      </c>
      <c r="C22" s="48" t="s">
        <v>753</v>
      </c>
    </row>
    <row r="23">
      <c r="A23" s="39">
        <v>6.0</v>
      </c>
      <c r="B23" s="40" t="s">
        <v>4333</v>
      </c>
      <c r="C23" s="48" t="s">
        <v>753</v>
      </c>
    </row>
    <row r="24">
      <c r="A24" s="39">
        <v>7.0</v>
      </c>
      <c r="B24" s="40" t="s">
        <v>4334</v>
      </c>
      <c r="C24" s="48" t="s">
        <v>753</v>
      </c>
    </row>
    <row r="25">
      <c r="A25" s="39">
        <v>8.0</v>
      </c>
      <c r="B25" s="40" t="s">
        <v>4335</v>
      </c>
      <c r="C25" s="48" t="s">
        <v>753</v>
      </c>
    </row>
    <row r="26">
      <c r="A26" s="39">
        <v>9.0</v>
      </c>
      <c r="B26" s="40" t="s">
        <v>4336</v>
      </c>
      <c r="C26" s="48" t="s">
        <v>753</v>
      </c>
    </row>
    <row r="27">
      <c r="A27" s="39">
        <v>10.0</v>
      </c>
      <c r="B27" s="40" t="s">
        <v>4337</v>
      </c>
      <c r="C27" s="48" t="s">
        <v>753</v>
      </c>
    </row>
    <row r="28">
      <c r="A28" s="39">
        <v>11.0</v>
      </c>
      <c r="B28" s="40" t="s">
        <v>4338</v>
      </c>
      <c r="C28" s="48" t="s">
        <v>753</v>
      </c>
    </row>
    <row r="29">
      <c r="A29" s="39">
        <v>12.0</v>
      </c>
      <c r="B29" s="40" t="s">
        <v>4339</v>
      </c>
      <c r="C29" s="48" t="s">
        <v>753</v>
      </c>
    </row>
    <row r="30">
      <c r="A30" s="43">
        <v>13.0</v>
      </c>
      <c r="B30" s="49" t="s">
        <v>4340</v>
      </c>
      <c r="C30" s="50" t="s">
        <v>753</v>
      </c>
    </row>
    <row r="31">
      <c r="A31" s="35"/>
      <c r="B31" s="35"/>
      <c r="C31" s="35"/>
    </row>
    <row r="32">
      <c r="A32" s="34" t="s">
        <v>756</v>
      </c>
    </row>
    <row r="33">
      <c r="A33" s="35"/>
      <c r="B33" s="35"/>
      <c r="C33" s="35"/>
    </row>
    <row r="34">
      <c r="A34" s="36" t="s">
        <v>749</v>
      </c>
      <c r="B34" s="37" t="s">
        <v>757</v>
      </c>
      <c r="C34" s="38"/>
    </row>
    <row r="35">
      <c r="A35" s="39">
        <v>1.0</v>
      </c>
      <c r="B35" s="40" t="s">
        <v>4341</v>
      </c>
      <c r="C35" s="41"/>
    </row>
    <row r="36">
      <c r="A36" s="43">
        <v>2.0</v>
      </c>
      <c r="B36" s="49" t="s">
        <v>4342</v>
      </c>
      <c r="C36" s="45"/>
    </row>
    <row r="37">
      <c r="A37" s="35"/>
      <c r="B37" s="35"/>
      <c r="C37" s="35"/>
    </row>
    <row r="38">
      <c r="A38" s="34" t="s">
        <v>760</v>
      </c>
    </row>
    <row r="39">
      <c r="A39" s="35"/>
      <c r="B39" s="35"/>
      <c r="C39" s="35"/>
    </row>
    <row r="40">
      <c r="A40" s="36" t="s">
        <v>749</v>
      </c>
      <c r="B40" s="37" t="s">
        <v>757</v>
      </c>
      <c r="C40" s="38"/>
    </row>
    <row r="41">
      <c r="A41" s="39">
        <v>1.0</v>
      </c>
      <c r="B41" s="40" t="s">
        <v>4343</v>
      </c>
      <c r="C41" s="41"/>
    </row>
    <row r="42">
      <c r="A42" s="39">
        <v>2.0</v>
      </c>
      <c r="B42" s="40" t="s">
        <v>4344</v>
      </c>
      <c r="C42" s="41"/>
    </row>
    <row r="43">
      <c r="A43" s="39">
        <v>3.0</v>
      </c>
      <c r="B43" s="40" t="s">
        <v>4345</v>
      </c>
      <c r="C43" s="41"/>
    </row>
    <row r="44">
      <c r="A44" s="43">
        <v>4.0</v>
      </c>
      <c r="B44" s="49" t="s">
        <v>4346</v>
      </c>
      <c r="C44" s="45"/>
    </row>
    <row r="45">
      <c r="A45" s="35"/>
      <c r="B45" s="35"/>
      <c r="C45" s="35"/>
    </row>
    <row r="46">
      <c r="A46" s="34" t="s">
        <v>763</v>
      </c>
    </row>
    <row r="47">
      <c r="A47" s="35"/>
      <c r="B47" s="35"/>
      <c r="C47" s="35"/>
    </row>
    <row r="48">
      <c r="A48" s="36" t="s">
        <v>749</v>
      </c>
      <c r="B48" s="37" t="s">
        <v>757</v>
      </c>
      <c r="C48" s="38"/>
    </row>
    <row r="49">
      <c r="A49" s="39">
        <v>1.0</v>
      </c>
      <c r="B49" s="40" t="s">
        <v>4347</v>
      </c>
      <c r="C49" s="41"/>
    </row>
    <row r="50">
      <c r="A50" s="39">
        <v>2.0</v>
      </c>
      <c r="B50" s="40" t="s">
        <v>4348</v>
      </c>
      <c r="C50" s="41"/>
    </row>
    <row r="51">
      <c r="A51" s="39">
        <v>3.0</v>
      </c>
      <c r="B51" s="40" t="s">
        <v>4349</v>
      </c>
      <c r="C51" s="41"/>
    </row>
    <row r="52">
      <c r="A52" s="39">
        <v>4.0</v>
      </c>
      <c r="B52" s="40" t="s">
        <v>4350</v>
      </c>
      <c r="C52" s="41"/>
    </row>
    <row r="53">
      <c r="A53" s="39">
        <v>5.0</v>
      </c>
      <c r="B53" s="40" t="s">
        <v>4351</v>
      </c>
      <c r="C53" s="41"/>
    </row>
    <row r="54">
      <c r="A54" s="39">
        <v>6.0</v>
      </c>
      <c r="B54" s="40" t="s">
        <v>4352</v>
      </c>
      <c r="C54" s="41"/>
    </row>
    <row r="55">
      <c r="A55" s="39">
        <v>7.0</v>
      </c>
      <c r="B55" s="40" t="s">
        <v>4353</v>
      </c>
      <c r="C55" s="41"/>
    </row>
    <row r="56">
      <c r="A56" s="43">
        <v>8.0</v>
      </c>
      <c r="B56" s="49" t="s">
        <v>4354</v>
      </c>
      <c r="C56" s="45"/>
    </row>
  </sheetData>
  <mergeCells count="7">
    <mergeCell ref="A1:C1"/>
    <mergeCell ref="A11:C11"/>
    <mergeCell ref="A13:C13"/>
    <mergeCell ref="A15:C15"/>
    <mergeCell ref="A32:C32"/>
    <mergeCell ref="A38:C38"/>
    <mergeCell ref="A46:C46"/>
  </mergeCells>
  <hyperlinks>
    <hyperlink r:id="rId1" ref="B9"/>
  </hyperlinks>
  <drawing r:id="rId2"/>
</worksheet>
</file>

<file path=xl/worksheets/sheet13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2" max="2" width="87.63"/>
    <col customWidth="1" min="3" max="3" width="20.13"/>
  </cols>
  <sheetData>
    <row r="1">
      <c r="A1" s="34" t="s">
        <v>742</v>
      </c>
    </row>
    <row r="2">
      <c r="A2" s="35"/>
      <c r="B2" s="35"/>
      <c r="C2" s="35"/>
    </row>
    <row r="3">
      <c r="A3" s="36" t="s">
        <v>743</v>
      </c>
      <c r="B3" s="37" t="s">
        <v>744</v>
      </c>
      <c r="C3" s="38"/>
    </row>
    <row r="4">
      <c r="A4" s="39" t="s">
        <v>6</v>
      </c>
      <c r="B4" s="40" t="s">
        <v>640</v>
      </c>
      <c r="C4" s="41"/>
    </row>
    <row r="5">
      <c r="A5" s="39" t="s">
        <v>745</v>
      </c>
      <c r="B5" s="42">
        <v>46181.0</v>
      </c>
      <c r="C5" s="41"/>
    </row>
    <row r="6">
      <c r="A6" s="39" t="s">
        <v>0</v>
      </c>
      <c r="B6" s="40" t="s">
        <v>631</v>
      </c>
      <c r="C6" s="41"/>
    </row>
    <row r="7">
      <c r="A7" s="39" t="s">
        <v>7</v>
      </c>
      <c r="B7" s="40" t="s">
        <v>92</v>
      </c>
      <c r="C7" s="41"/>
    </row>
    <row r="8">
      <c r="A8" s="39" t="s">
        <v>746</v>
      </c>
      <c r="B8" s="40">
        <v>2.0</v>
      </c>
      <c r="C8" s="41"/>
    </row>
    <row r="9">
      <c r="A9" s="43" t="s">
        <v>8</v>
      </c>
      <c r="B9" s="44" t="s">
        <v>644</v>
      </c>
      <c r="C9" s="45"/>
    </row>
    <row r="10">
      <c r="A10" s="35"/>
      <c r="B10" s="35"/>
      <c r="C10" s="35"/>
    </row>
    <row r="11">
      <c r="A11" s="34" t="s">
        <v>747</v>
      </c>
    </row>
    <row r="12">
      <c r="A12" s="35"/>
      <c r="B12" s="35"/>
      <c r="C12" s="35"/>
    </row>
    <row r="13">
      <c r="A13" s="46" t="s">
        <v>645</v>
      </c>
    </row>
    <row r="14">
      <c r="A14" s="35"/>
      <c r="B14" s="35"/>
      <c r="C14" s="35"/>
    </row>
    <row r="15">
      <c r="A15" s="34" t="s">
        <v>748</v>
      </c>
    </row>
    <row r="16">
      <c r="A16" s="35"/>
      <c r="B16" s="35"/>
      <c r="C16" s="35"/>
    </row>
    <row r="17">
      <c r="A17" s="36" t="s">
        <v>749</v>
      </c>
      <c r="B17" s="37" t="s">
        <v>750</v>
      </c>
      <c r="C17" s="47" t="s">
        <v>751</v>
      </c>
    </row>
    <row r="18">
      <c r="A18" s="39">
        <v>1.0</v>
      </c>
      <c r="B18" s="40" t="s">
        <v>4355</v>
      </c>
      <c r="C18" s="48" t="s">
        <v>753</v>
      </c>
    </row>
    <row r="19">
      <c r="A19" s="39">
        <v>2.0</v>
      </c>
      <c r="B19" s="40" t="s">
        <v>4356</v>
      </c>
      <c r="C19" s="48" t="s">
        <v>753</v>
      </c>
    </row>
    <row r="20">
      <c r="A20" s="39">
        <v>3.0</v>
      </c>
      <c r="B20" s="40" t="s">
        <v>4357</v>
      </c>
      <c r="C20" s="48" t="s">
        <v>753</v>
      </c>
    </row>
    <row r="21">
      <c r="A21" s="39">
        <v>4.0</v>
      </c>
      <c r="B21" s="40" t="s">
        <v>4358</v>
      </c>
      <c r="C21" s="48" t="s">
        <v>753</v>
      </c>
    </row>
    <row r="22">
      <c r="A22" s="39">
        <v>5.0</v>
      </c>
      <c r="B22" s="40" t="s">
        <v>4359</v>
      </c>
      <c r="C22" s="48" t="s">
        <v>753</v>
      </c>
    </row>
    <row r="23">
      <c r="A23" s="39">
        <v>6.0</v>
      </c>
      <c r="B23" s="40" t="s">
        <v>4360</v>
      </c>
      <c r="C23" s="48" t="s">
        <v>753</v>
      </c>
    </row>
    <row r="24">
      <c r="A24" s="39">
        <v>7.0</v>
      </c>
      <c r="B24" s="40" t="s">
        <v>4361</v>
      </c>
      <c r="C24" s="48" t="s">
        <v>753</v>
      </c>
    </row>
    <row r="25">
      <c r="A25" s="39">
        <v>8.0</v>
      </c>
      <c r="B25" s="40" t="s">
        <v>4362</v>
      </c>
      <c r="C25" s="48" t="s">
        <v>753</v>
      </c>
    </row>
    <row r="26">
      <c r="A26" s="39">
        <v>9.0</v>
      </c>
      <c r="B26" s="40" t="s">
        <v>4363</v>
      </c>
      <c r="C26" s="48" t="s">
        <v>753</v>
      </c>
    </row>
    <row r="27">
      <c r="A27" s="39">
        <v>10.0</v>
      </c>
      <c r="B27" s="40" t="s">
        <v>4364</v>
      </c>
      <c r="C27" s="48" t="s">
        <v>753</v>
      </c>
    </row>
    <row r="28">
      <c r="A28" s="39">
        <v>11.0</v>
      </c>
      <c r="B28" s="40" t="s">
        <v>4365</v>
      </c>
      <c r="C28" s="48" t="s">
        <v>753</v>
      </c>
    </row>
    <row r="29">
      <c r="A29" s="43">
        <v>12.0</v>
      </c>
      <c r="B29" s="49" t="s">
        <v>4366</v>
      </c>
      <c r="C29" s="50" t="s">
        <v>753</v>
      </c>
    </row>
    <row r="30">
      <c r="A30" s="35"/>
      <c r="B30" s="35"/>
      <c r="C30" s="35"/>
    </row>
    <row r="31">
      <c r="A31" s="34" t="s">
        <v>756</v>
      </c>
    </row>
    <row r="32">
      <c r="A32" s="35"/>
      <c r="B32" s="35"/>
      <c r="C32" s="35"/>
    </row>
    <row r="33">
      <c r="A33" s="36" t="s">
        <v>749</v>
      </c>
      <c r="B33" s="37" t="s">
        <v>757</v>
      </c>
      <c r="C33" s="38"/>
    </row>
    <row r="34">
      <c r="A34" s="39">
        <v>1.0</v>
      </c>
      <c r="B34" s="40" t="s">
        <v>4367</v>
      </c>
      <c r="C34" s="41"/>
    </row>
    <row r="35">
      <c r="A35" s="39">
        <v>2.0</v>
      </c>
      <c r="B35" s="40" t="s">
        <v>4368</v>
      </c>
      <c r="C35" s="41"/>
    </row>
    <row r="36">
      <c r="A36" s="39">
        <v>3.0</v>
      </c>
      <c r="B36" s="40" t="s">
        <v>4369</v>
      </c>
      <c r="C36" s="41"/>
    </row>
    <row r="37">
      <c r="A37" s="39">
        <v>4.0</v>
      </c>
      <c r="B37" s="40" t="s">
        <v>4370</v>
      </c>
      <c r="C37" s="41"/>
    </row>
    <row r="38">
      <c r="A38" s="43">
        <v>5.0</v>
      </c>
      <c r="B38" s="49" t="s">
        <v>4371</v>
      </c>
      <c r="C38" s="45"/>
    </row>
    <row r="39">
      <c r="A39" s="35"/>
      <c r="B39" s="35"/>
      <c r="C39" s="35"/>
    </row>
    <row r="40">
      <c r="A40" s="34" t="s">
        <v>760</v>
      </c>
    </row>
    <row r="41">
      <c r="A41" s="35"/>
      <c r="B41" s="35"/>
      <c r="C41" s="35"/>
    </row>
    <row r="42">
      <c r="A42" s="36" t="s">
        <v>749</v>
      </c>
      <c r="B42" s="37" t="s">
        <v>757</v>
      </c>
      <c r="C42" s="38"/>
    </row>
    <row r="43">
      <c r="A43" s="39">
        <v>1.0</v>
      </c>
      <c r="B43" s="40" t="s">
        <v>4372</v>
      </c>
      <c r="C43" s="41"/>
    </row>
    <row r="44">
      <c r="A44" s="39">
        <v>2.0</v>
      </c>
      <c r="B44" s="40" t="s">
        <v>4373</v>
      </c>
      <c r="C44" s="41"/>
    </row>
    <row r="45">
      <c r="A45" s="39">
        <v>3.0</v>
      </c>
      <c r="B45" s="40" t="s">
        <v>4374</v>
      </c>
      <c r="C45" s="41"/>
    </row>
    <row r="46">
      <c r="A46" s="43">
        <v>4.0</v>
      </c>
      <c r="B46" s="49" t="s">
        <v>4375</v>
      </c>
      <c r="C46" s="45"/>
    </row>
    <row r="47">
      <c r="A47" s="35"/>
      <c r="B47" s="35"/>
      <c r="C47" s="35"/>
    </row>
    <row r="48">
      <c r="A48" s="34" t="s">
        <v>763</v>
      </c>
    </row>
    <row r="49">
      <c r="A49" s="35"/>
      <c r="B49" s="35"/>
      <c r="C49" s="35"/>
    </row>
    <row r="50">
      <c r="A50" s="36" t="s">
        <v>749</v>
      </c>
      <c r="B50" s="37" t="s">
        <v>757</v>
      </c>
      <c r="C50" s="38"/>
    </row>
    <row r="51">
      <c r="A51" s="39">
        <v>1.0</v>
      </c>
      <c r="B51" s="40" t="s">
        <v>4376</v>
      </c>
      <c r="C51" s="41"/>
    </row>
    <row r="52">
      <c r="A52" s="39">
        <v>2.0</v>
      </c>
      <c r="B52" s="40" t="s">
        <v>4377</v>
      </c>
      <c r="C52" s="41"/>
    </row>
    <row r="53">
      <c r="A53" s="39">
        <v>3.0</v>
      </c>
      <c r="B53" s="40" t="s">
        <v>4378</v>
      </c>
      <c r="C53" s="41"/>
    </row>
    <row r="54">
      <c r="A54" s="39">
        <v>4.0</v>
      </c>
      <c r="B54" s="40" t="s">
        <v>4379</v>
      </c>
      <c r="C54" s="41"/>
    </row>
    <row r="55">
      <c r="A55" s="39">
        <v>5.0</v>
      </c>
      <c r="B55" s="40" t="s">
        <v>4380</v>
      </c>
      <c r="C55" s="41"/>
    </row>
    <row r="56">
      <c r="A56" s="39">
        <v>6.0</v>
      </c>
      <c r="B56" s="40" t="s">
        <v>4381</v>
      </c>
      <c r="C56" s="41"/>
    </row>
    <row r="57">
      <c r="A57" s="43">
        <v>7.0</v>
      </c>
      <c r="B57" s="49" t="s">
        <v>4382</v>
      </c>
      <c r="C57" s="45"/>
    </row>
  </sheetData>
  <mergeCells count="7">
    <mergeCell ref="A1:C1"/>
    <mergeCell ref="A11:C11"/>
    <mergeCell ref="A13:C13"/>
    <mergeCell ref="A15:C15"/>
    <mergeCell ref="A31:C31"/>
    <mergeCell ref="A40:C40"/>
    <mergeCell ref="A48:C48"/>
  </mergeCells>
  <hyperlinks>
    <hyperlink r:id="rId1" ref="B9"/>
  </hyperlinks>
  <drawing r:id="rId2"/>
</worksheet>
</file>

<file path=xl/worksheets/sheet13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2" max="2" width="87.63"/>
    <col customWidth="1" min="3" max="3" width="20.13"/>
  </cols>
  <sheetData>
    <row r="1">
      <c r="A1" s="34" t="s">
        <v>742</v>
      </c>
    </row>
    <row r="2">
      <c r="A2" s="35"/>
      <c r="B2" s="35"/>
      <c r="C2" s="35"/>
    </row>
    <row r="3">
      <c r="A3" s="36" t="s">
        <v>743</v>
      </c>
      <c r="B3" s="37" t="s">
        <v>744</v>
      </c>
      <c r="C3" s="38"/>
    </row>
    <row r="4">
      <c r="A4" s="39" t="s">
        <v>6</v>
      </c>
      <c r="B4" s="40" t="s">
        <v>648</v>
      </c>
      <c r="C4" s="41"/>
    </row>
    <row r="5">
      <c r="A5" s="39" t="s">
        <v>745</v>
      </c>
      <c r="B5" s="42">
        <v>46181.0</v>
      </c>
      <c r="C5" s="41"/>
    </row>
    <row r="6">
      <c r="A6" s="39" t="s">
        <v>0</v>
      </c>
      <c r="B6" s="40" t="s">
        <v>631</v>
      </c>
      <c r="C6" s="41"/>
    </row>
    <row r="7">
      <c r="A7" s="39" t="s">
        <v>7</v>
      </c>
      <c r="B7" s="40" t="s">
        <v>429</v>
      </c>
      <c r="C7" s="41"/>
    </row>
    <row r="8">
      <c r="A8" s="39" t="s">
        <v>746</v>
      </c>
      <c r="B8" s="40">
        <v>3.0</v>
      </c>
      <c r="C8" s="41"/>
    </row>
    <row r="9">
      <c r="A9" s="43" t="s">
        <v>8</v>
      </c>
      <c r="B9" s="44" t="s">
        <v>649</v>
      </c>
      <c r="C9" s="45"/>
    </row>
    <row r="10">
      <c r="A10" s="35"/>
      <c r="B10" s="35"/>
      <c r="C10" s="35"/>
    </row>
    <row r="11">
      <c r="A11" s="34" t="s">
        <v>747</v>
      </c>
    </row>
    <row r="12">
      <c r="A12" s="35"/>
      <c r="B12" s="35"/>
      <c r="C12" s="35"/>
    </row>
    <row r="13">
      <c r="A13" s="46" t="s">
        <v>650</v>
      </c>
    </row>
    <row r="14">
      <c r="A14" s="35"/>
      <c r="B14" s="35"/>
      <c r="C14" s="35"/>
    </row>
    <row r="15">
      <c r="A15" s="34" t="s">
        <v>748</v>
      </c>
    </row>
    <row r="16">
      <c r="A16" s="35"/>
      <c r="B16" s="35"/>
      <c r="C16" s="35"/>
    </row>
    <row r="17">
      <c r="A17" s="36" t="s">
        <v>749</v>
      </c>
      <c r="B17" s="37" t="s">
        <v>750</v>
      </c>
      <c r="C17" s="47" t="s">
        <v>751</v>
      </c>
    </row>
    <row r="18">
      <c r="A18" s="39">
        <v>1.0</v>
      </c>
      <c r="B18" s="40" t="s">
        <v>4383</v>
      </c>
      <c r="C18" s="48" t="s">
        <v>1418</v>
      </c>
    </row>
    <row r="19">
      <c r="A19" s="39">
        <v>2.0</v>
      </c>
      <c r="B19" s="40" t="s">
        <v>4384</v>
      </c>
      <c r="C19" s="48" t="s">
        <v>1418</v>
      </c>
    </row>
    <row r="20">
      <c r="A20" s="39">
        <v>3.0</v>
      </c>
      <c r="B20" s="40" t="s">
        <v>4385</v>
      </c>
      <c r="C20" s="48" t="s">
        <v>1418</v>
      </c>
    </row>
    <row r="21">
      <c r="A21" s="39">
        <v>4.0</v>
      </c>
      <c r="B21" s="40" t="s">
        <v>4386</v>
      </c>
      <c r="C21" s="48" t="s">
        <v>1418</v>
      </c>
    </row>
    <row r="22">
      <c r="A22" s="39">
        <v>5.0</v>
      </c>
      <c r="B22" s="40" t="s">
        <v>4387</v>
      </c>
      <c r="C22" s="48" t="s">
        <v>1418</v>
      </c>
    </row>
    <row r="23">
      <c r="A23" s="39">
        <v>6.0</v>
      </c>
      <c r="B23" s="40" t="s">
        <v>4388</v>
      </c>
      <c r="C23" s="48" t="s">
        <v>1418</v>
      </c>
    </row>
    <row r="24">
      <c r="A24" s="43">
        <v>7.0</v>
      </c>
      <c r="B24" s="49" t="s">
        <v>4389</v>
      </c>
      <c r="C24" s="50" t="s">
        <v>1418</v>
      </c>
    </row>
    <row r="25">
      <c r="A25" s="35"/>
      <c r="B25" s="35"/>
      <c r="C25" s="35"/>
    </row>
    <row r="26">
      <c r="A26" s="34" t="s">
        <v>756</v>
      </c>
    </row>
    <row r="27">
      <c r="A27" s="35"/>
      <c r="B27" s="35"/>
      <c r="C27" s="35"/>
    </row>
    <row r="28">
      <c r="A28" s="36" t="s">
        <v>749</v>
      </c>
      <c r="B28" s="37" t="s">
        <v>757</v>
      </c>
      <c r="C28" s="38"/>
    </row>
    <row r="29">
      <c r="A29" s="39">
        <v>1.0</v>
      </c>
      <c r="B29" s="40" t="s">
        <v>4390</v>
      </c>
      <c r="C29" s="41"/>
    </row>
    <row r="30">
      <c r="A30" s="39">
        <v>2.0</v>
      </c>
      <c r="B30" s="40" t="s">
        <v>4391</v>
      </c>
      <c r="C30" s="41"/>
    </row>
    <row r="31">
      <c r="A31" s="39">
        <v>3.0</v>
      </c>
      <c r="B31" s="40" t="s">
        <v>4392</v>
      </c>
      <c r="C31" s="41"/>
    </row>
    <row r="32">
      <c r="A32" s="43">
        <v>4.0</v>
      </c>
      <c r="B32" s="49" t="s">
        <v>4393</v>
      </c>
      <c r="C32" s="45"/>
    </row>
    <row r="33">
      <c r="A33" s="35"/>
      <c r="B33" s="35"/>
      <c r="C33" s="35"/>
    </row>
    <row r="34">
      <c r="A34" s="34" t="s">
        <v>760</v>
      </c>
    </row>
    <row r="35">
      <c r="A35" s="35"/>
      <c r="B35" s="35"/>
      <c r="C35" s="35"/>
    </row>
    <row r="36">
      <c r="A36" s="36" t="s">
        <v>749</v>
      </c>
      <c r="B36" s="37" t="s">
        <v>757</v>
      </c>
      <c r="C36" s="38"/>
    </row>
    <row r="37">
      <c r="A37" s="39">
        <v>1.0</v>
      </c>
      <c r="B37" s="40" t="s">
        <v>4394</v>
      </c>
      <c r="C37" s="41"/>
    </row>
    <row r="38">
      <c r="A38" s="43">
        <v>2.0</v>
      </c>
      <c r="B38" s="49" t="s">
        <v>4395</v>
      </c>
      <c r="C38" s="45"/>
    </row>
    <row r="39">
      <c r="A39" s="35"/>
      <c r="B39" s="35"/>
      <c r="C39" s="35"/>
    </row>
    <row r="40">
      <c r="A40" s="34" t="s">
        <v>763</v>
      </c>
    </row>
    <row r="41">
      <c r="A41" s="35"/>
      <c r="B41" s="35"/>
      <c r="C41" s="35"/>
    </row>
    <row r="42">
      <c r="A42" s="36" t="s">
        <v>749</v>
      </c>
      <c r="B42" s="37" t="s">
        <v>757</v>
      </c>
      <c r="C42" s="38"/>
    </row>
    <row r="43">
      <c r="A43" s="39">
        <v>1.0</v>
      </c>
      <c r="B43" s="40" t="s">
        <v>4396</v>
      </c>
      <c r="C43" s="41"/>
    </row>
    <row r="44">
      <c r="A44" s="39">
        <v>2.0</v>
      </c>
      <c r="B44" s="40" t="s">
        <v>4397</v>
      </c>
      <c r="C44" s="41"/>
    </row>
    <row r="45">
      <c r="A45" s="39">
        <v>3.0</v>
      </c>
      <c r="B45" s="40" t="s">
        <v>4398</v>
      </c>
      <c r="C45" s="41"/>
    </row>
    <row r="46">
      <c r="A46" s="43">
        <v>4.0</v>
      </c>
      <c r="B46" s="49" t="s">
        <v>4399</v>
      </c>
      <c r="C46" s="45"/>
    </row>
  </sheetData>
  <mergeCells count="7">
    <mergeCell ref="A1:C1"/>
    <mergeCell ref="A11:C11"/>
    <mergeCell ref="A13:C13"/>
    <mergeCell ref="A15:C15"/>
    <mergeCell ref="A26:C26"/>
    <mergeCell ref="A34:C34"/>
    <mergeCell ref="A40:C40"/>
  </mergeCells>
  <hyperlinks>
    <hyperlink r:id="rId1" ref="B9"/>
  </hyperlinks>
  <drawing r:id="rId2"/>
</worksheet>
</file>

<file path=xl/worksheets/sheet14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2" max="2" width="87.63"/>
    <col customWidth="1" min="3" max="3" width="20.13"/>
  </cols>
  <sheetData>
    <row r="1">
      <c r="A1" s="34" t="s">
        <v>742</v>
      </c>
    </row>
    <row r="2">
      <c r="A2" s="35"/>
      <c r="B2" s="35"/>
      <c r="C2" s="35"/>
    </row>
    <row r="3">
      <c r="A3" s="36" t="s">
        <v>743</v>
      </c>
      <c r="B3" s="37" t="s">
        <v>744</v>
      </c>
      <c r="C3" s="38"/>
    </row>
    <row r="4">
      <c r="A4" s="39" t="s">
        <v>6</v>
      </c>
      <c r="B4" s="40" t="s">
        <v>653</v>
      </c>
      <c r="C4" s="41"/>
    </row>
    <row r="5">
      <c r="A5" s="39" t="s">
        <v>745</v>
      </c>
      <c r="B5" s="42">
        <v>46182.0</v>
      </c>
      <c r="C5" s="41"/>
    </row>
    <row r="6">
      <c r="A6" s="39" t="s">
        <v>0</v>
      </c>
      <c r="B6" s="40" t="s">
        <v>631</v>
      </c>
      <c r="C6" s="41"/>
    </row>
    <row r="7">
      <c r="A7" s="39" t="s">
        <v>7</v>
      </c>
      <c r="B7" s="40" t="s">
        <v>518</v>
      </c>
      <c r="C7" s="41"/>
    </row>
    <row r="8">
      <c r="A8" s="39" t="s">
        <v>746</v>
      </c>
      <c r="B8" s="40">
        <v>4.0</v>
      </c>
      <c r="C8" s="41"/>
    </row>
    <row r="9">
      <c r="A9" s="43" t="s">
        <v>8</v>
      </c>
      <c r="B9" s="44" t="s">
        <v>654</v>
      </c>
      <c r="C9" s="45"/>
    </row>
    <row r="10">
      <c r="A10" s="35"/>
      <c r="B10" s="35"/>
      <c r="C10" s="35"/>
    </row>
    <row r="11">
      <c r="A11" s="34" t="s">
        <v>747</v>
      </c>
    </row>
    <row r="12">
      <c r="A12" s="35"/>
      <c r="B12" s="35"/>
      <c r="C12" s="35"/>
    </row>
    <row r="13">
      <c r="A13" s="46" t="s">
        <v>4400</v>
      </c>
    </row>
    <row r="14">
      <c r="A14" s="35"/>
      <c r="B14" s="35"/>
      <c r="C14" s="35"/>
    </row>
    <row r="15">
      <c r="A15" s="34" t="s">
        <v>748</v>
      </c>
    </row>
    <row r="16">
      <c r="A16" s="35"/>
      <c r="B16" s="35"/>
      <c r="C16" s="35"/>
    </row>
    <row r="17">
      <c r="A17" s="36" t="s">
        <v>749</v>
      </c>
      <c r="B17" s="37" t="s">
        <v>750</v>
      </c>
      <c r="C17" s="47" t="s">
        <v>751</v>
      </c>
    </row>
    <row r="18">
      <c r="A18" s="39">
        <v>1.0</v>
      </c>
      <c r="B18" s="40" t="s">
        <v>4401</v>
      </c>
      <c r="C18" s="78">
        <v>46183.0</v>
      </c>
    </row>
    <row r="19">
      <c r="A19" s="39">
        <v>2.0</v>
      </c>
      <c r="B19" s="40" t="s">
        <v>4402</v>
      </c>
      <c r="C19" s="48" t="s">
        <v>4403</v>
      </c>
    </row>
    <row r="20">
      <c r="A20" s="39">
        <v>3.0</v>
      </c>
      <c r="B20" s="40" t="s">
        <v>4404</v>
      </c>
      <c r="C20" s="48" t="s">
        <v>4405</v>
      </c>
    </row>
    <row r="21">
      <c r="A21" s="39">
        <v>4.0</v>
      </c>
      <c r="B21" s="40" t="s">
        <v>4406</v>
      </c>
      <c r="C21" s="48" t="s">
        <v>4407</v>
      </c>
    </row>
    <row r="22">
      <c r="A22" s="39">
        <v>5.0</v>
      </c>
      <c r="B22" s="40" t="s">
        <v>4408</v>
      </c>
      <c r="C22" s="48" t="s">
        <v>4409</v>
      </c>
    </row>
    <row r="23">
      <c r="A23" s="39">
        <v>6.0</v>
      </c>
      <c r="B23" s="40" t="s">
        <v>4410</v>
      </c>
      <c r="C23" s="78">
        <v>46182.0</v>
      </c>
    </row>
    <row r="24">
      <c r="A24" s="39">
        <v>7.0</v>
      </c>
      <c r="B24" s="40" t="s">
        <v>4411</v>
      </c>
      <c r="C24" s="48" t="s">
        <v>4407</v>
      </c>
    </row>
    <row r="25">
      <c r="A25" s="39">
        <v>8.0</v>
      </c>
      <c r="B25" s="40" t="s">
        <v>4412</v>
      </c>
      <c r="C25" s="78">
        <v>46182.0</v>
      </c>
    </row>
    <row r="26">
      <c r="A26" s="39">
        <v>9.0</v>
      </c>
      <c r="B26" s="40" t="s">
        <v>4413</v>
      </c>
      <c r="C26" s="48" t="s">
        <v>4414</v>
      </c>
    </row>
    <row r="27">
      <c r="A27" s="39">
        <v>10.0</v>
      </c>
      <c r="B27" s="40" t="s">
        <v>4415</v>
      </c>
      <c r="C27" s="48" t="s">
        <v>4416</v>
      </c>
    </row>
    <row r="28">
      <c r="A28" s="39">
        <v>11.0</v>
      </c>
      <c r="B28" s="40" t="s">
        <v>4417</v>
      </c>
      <c r="C28" s="48" t="s">
        <v>4418</v>
      </c>
    </row>
    <row r="29">
      <c r="A29" s="43">
        <v>12.0</v>
      </c>
      <c r="B29" s="49" t="s">
        <v>4419</v>
      </c>
      <c r="C29" s="50" t="s">
        <v>4409</v>
      </c>
    </row>
    <row r="30">
      <c r="A30" s="35"/>
      <c r="B30" s="35"/>
      <c r="C30" s="35"/>
    </row>
    <row r="31">
      <c r="A31" s="34" t="s">
        <v>756</v>
      </c>
    </row>
    <row r="32">
      <c r="A32" s="35"/>
      <c r="B32" s="35"/>
      <c r="C32" s="35"/>
    </row>
    <row r="33">
      <c r="A33" s="36" t="s">
        <v>749</v>
      </c>
      <c r="B33" s="37" t="s">
        <v>757</v>
      </c>
      <c r="C33" s="38"/>
    </row>
    <row r="34">
      <c r="A34" s="39">
        <v>1.0</v>
      </c>
      <c r="B34" s="40" t="s">
        <v>4420</v>
      </c>
      <c r="C34" s="41"/>
    </row>
    <row r="35">
      <c r="A35" s="39">
        <v>2.0</v>
      </c>
      <c r="B35" s="40" t="s">
        <v>4421</v>
      </c>
      <c r="C35" s="41"/>
    </row>
    <row r="36">
      <c r="A36" s="39">
        <v>3.0</v>
      </c>
      <c r="B36" s="40" t="s">
        <v>4422</v>
      </c>
      <c r="C36" s="41"/>
    </row>
    <row r="37">
      <c r="A37" s="43">
        <v>4.0</v>
      </c>
      <c r="B37" s="49" t="s">
        <v>4423</v>
      </c>
      <c r="C37" s="45"/>
    </row>
    <row r="38">
      <c r="A38" s="35"/>
      <c r="B38" s="35"/>
      <c r="C38" s="35"/>
    </row>
    <row r="39">
      <c r="A39" s="34" t="s">
        <v>760</v>
      </c>
    </row>
    <row r="40">
      <c r="A40" s="35"/>
      <c r="B40" s="35"/>
      <c r="C40" s="35"/>
    </row>
    <row r="41">
      <c r="A41" s="36" t="s">
        <v>749</v>
      </c>
      <c r="B41" s="37" t="s">
        <v>757</v>
      </c>
      <c r="C41" s="38"/>
    </row>
    <row r="42">
      <c r="A42" s="39">
        <v>1.0</v>
      </c>
      <c r="B42" s="40" t="s">
        <v>4424</v>
      </c>
      <c r="C42" s="41"/>
    </row>
    <row r="43">
      <c r="A43" s="39">
        <v>2.0</v>
      </c>
      <c r="B43" s="40" t="s">
        <v>4425</v>
      </c>
      <c r="C43" s="41"/>
    </row>
    <row r="44">
      <c r="A44" s="39">
        <v>3.0</v>
      </c>
      <c r="B44" s="40" t="s">
        <v>4426</v>
      </c>
      <c r="C44" s="41"/>
    </row>
    <row r="45">
      <c r="A45" s="39">
        <v>4.0</v>
      </c>
      <c r="B45" s="40" t="s">
        <v>4427</v>
      </c>
      <c r="C45" s="41"/>
    </row>
    <row r="46">
      <c r="A46" s="43">
        <v>5.0</v>
      </c>
      <c r="B46" s="49" t="s">
        <v>4428</v>
      </c>
      <c r="C46" s="45"/>
    </row>
    <row r="47">
      <c r="A47" s="35"/>
      <c r="B47" s="35"/>
      <c r="C47" s="35"/>
    </row>
    <row r="48">
      <c r="A48" s="34" t="s">
        <v>763</v>
      </c>
    </row>
    <row r="49">
      <c r="A49" s="35"/>
      <c r="B49" s="35"/>
      <c r="C49" s="35"/>
    </row>
    <row r="50">
      <c r="A50" s="36" t="s">
        <v>749</v>
      </c>
      <c r="B50" s="37" t="s">
        <v>757</v>
      </c>
      <c r="C50" s="38"/>
    </row>
    <row r="51">
      <c r="A51" s="39">
        <v>1.0</v>
      </c>
      <c r="B51" s="40" t="s">
        <v>4429</v>
      </c>
      <c r="C51" s="41"/>
    </row>
    <row r="52">
      <c r="A52" s="39">
        <v>2.0</v>
      </c>
      <c r="B52" s="40" t="s">
        <v>4430</v>
      </c>
      <c r="C52" s="41"/>
    </row>
    <row r="53">
      <c r="A53" s="39">
        <v>3.0</v>
      </c>
      <c r="B53" s="40" t="s">
        <v>4431</v>
      </c>
      <c r="C53" s="41"/>
    </row>
    <row r="54">
      <c r="A54" s="39">
        <v>4.0</v>
      </c>
      <c r="B54" s="40" t="s">
        <v>4432</v>
      </c>
      <c r="C54" s="41"/>
    </row>
    <row r="55">
      <c r="A55" s="39">
        <v>5.0</v>
      </c>
      <c r="B55" s="40" t="s">
        <v>4433</v>
      </c>
      <c r="C55" s="41"/>
    </row>
    <row r="56">
      <c r="A56" s="39">
        <v>6.0</v>
      </c>
      <c r="B56" s="40" t="s">
        <v>4434</v>
      </c>
      <c r="C56" s="41"/>
    </row>
    <row r="57">
      <c r="A57" s="43">
        <v>7.0</v>
      </c>
      <c r="B57" s="49" t="s">
        <v>4435</v>
      </c>
      <c r="C57" s="45"/>
    </row>
  </sheetData>
  <mergeCells count="7">
    <mergeCell ref="A1:C1"/>
    <mergeCell ref="A11:C11"/>
    <mergeCell ref="A13:C13"/>
    <mergeCell ref="A15:C15"/>
    <mergeCell ref="A31:C31"/>
    <mergeCell ref="A39:C39"/>
    <mergeCell ref="A48:C48"/>
  </mergeCells>
  <hyperlinks>
    <hyperlink r:id="rId1" ref="B9"/>
  </hyperlinks>
  <drawing r:id="rId2"/>
</worksheet>
</file>

<file path=xl/worksheets/sheet14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2" max="2" width="87.63"/>
    <col customWidth="1" min="3" max="3" width="20.13"/>
  </cols>
  <sheetData>
    <row r="1">
      <c r="A1" s="34" t="s">
        <v>742</v>
      </c>
    </row>
    <row r="2">
      <c r="A2" s="35"/>
      <c r="B2" s="35"/>
      <c r="C2" s="35"/>
    </row>
    <row r="3">
      <c r="A3" s="36" t="s">
        <v>743</v>
      </c>
      <c r="B3" s="37" t="s">
        <v>744</v>
      </c>
      <c r="C3" s="38"/>
    </row>
    <row r="4">
      <c r="A4" s="39" t="s">
        <v>6</v>
      </c>
      <c r="B4" s="40" t="s">
        <v>658</v>
      </c>
      <c r="C4" s="41"/>
    </row>
    <row r="5">
      <c r="A5" s="39" t="s">
        <v>745</v>
      </c>
      <c r="B5" s="42">
        <v>46182.0</v>
      </c>
      <c r="C5" s="41"/>
    </row>
    <row r="6">
      <c r="A6" s="39" t="s">
        <v>0</v>
      </c>
      <c r="B6" s="40" t="s">
        <v>631</v>
      </c>
      <c r="C6" s="41"/>
    </row>
    <row r="7">
      <c r="A7" s="39" t="s">
        <v>7</v>
      </c>
      <c r="B7" s="40" t="s">
        <v>429</v>
      </c>
      <c r="C7" s="41"/>
    </row>
    <row r="8">
      <c r="A8" s="39" t="s">
        <v>746</v>
      </c>
      <c r="B8" s="40">
        <v>2.0</v>
      </c>
      <c r="C8" s="41"/>
    </row>
    <row r="9">
      <c r="A9" s="43" t="s">
        <v>8</v>
      </c>
      <c r="B9" s="44" t="s">
        <v>659</v>
      </c>
      <c r="C9" s="45"/>
    </row>
    <row r="10">
      <c r="A10" s="35"/>
      <c r="B10" s="35"/>
      <c r="C10" s="35"/>
    </row>
    <row r="11">
      <c r="A11" s="34" t="s">
        <v>747</v>
      </c>
    </row>
    <row r="12">
      <c r="A12" s="35"/>
      <c r="B12" s="35"/>
      <c r="C12" s="35"/>
    </row>
    <row r="13">
      <c r="A13" s="46" t="s">
        <v>660</v>
      </c>
    </row>
    <row r="14">
      <c r="A14" s="35"/>
      <c r="B14" s="35"/>
      <c r="C14" s="35"/>
    </row>
    <row r="15">
      <c r="A15" s="34" t="s">
        <v>748</v>
      </c>
    </row>
    <row r="16">
      <c r="A16" s="35"/>
      <c r="B16" s="35"/>
      <c r="C16" s="35"/>
    </row>
    <row r="17">
      <c r="A17" s="36" t="s">
        <v>749</v>
      </c>
      <c r="B17" s="37" t="s">
        <v>750</v>
      </c>
      <c r="C17" s="47" t="s">
        <v>751</v>
      </c>
    </row>
    <row r="18">
      <c r="A18" s="39">
        <v>1.0</v>
      </c>
      <c r="B18" s="40" t="s">
        <v>4436</v>
      </c>
      <c r="C18" s="48" t="s">
        <v>753</v>
      </c>
    </row>
    <row r="19">
      <c r="A19" s="39">
        <v>2.0</v>
      </c>
      <c r="B19" s="40" t="s">
        <v>4437</v>
      </c>
      <c r="C19" s="48" t="s">
        <v>753</v>
      </c>
    </row>
    <row r="20">
      <c r="A20" s="39">
        <v>3.0</v>
      </c>
      <c r="B20" s="40" t="s">
        <v>4438</v>
      </c>
      <c r="C20" s="48" t="s">
        <v>753</v>
      </c>
    </row>
    <row r="21">
      <c r="A21" s="39">
        <v>4.0</v>
      </c>
      <c r="B21" s="40" t="s">
        <v>4439</v>
      </c>
      <c r="C21" s="48" t="s">
        <v>753</v>
      </c>
    </row>
    <row r="22">
      <c r="A22" s="39">
        <v>5.0</v>
      </c>
      <c r="B22" s="40" t="s">
        <v>4440</v>
      </c>
      <c r="C22" s="48" t="s">
        <v>753</v>
      </c>
    </row>
    <row r="23">
      <c r="A23" s="43">
        <v>6.0</v>
      </c>
      <c r="B23" s="49" t="s">
        <v>4441</v>
      </c>
      <c r="C23" s="50" t="s">
        <v>753</v>
      </c>
    </row>
    <row r="24">
      <c r="A24" s="35"/>
      <c r="B24" s="35"/>
      <c r="C24" s="35"/>
    </row>
    <row r="25">
      <c r="A25" s="34" t="s">
        <v>756</v>
      </c>
    </row>
    <row r="26">
      <c r="A26" s="35"/>
      <c r="B26" s="35"/>
      <c r="C26" s="35"/>
    </row>
    <row r="27">
      <c r="A27" s="36" t="s">
        <v>749</v>
      </c>
      <c r="B27" s="37" t="s">
        <v>757</v>
      </c>
      <c r="C27" s="38"/>
    </row>
    <row r="28">
      <c r="A28" s="39">
        <v>1.0</v>
      </c>
      <c r="B28" s="40" t="s">
        <v>4442</v>
      </c>
      <c r="C28" s="41"/>
    </row>
    <row r="29">
      <c r="A29" s="39">
        <v>2.0</v>
      </c>
      <c r="B29" s="40" t="s">
        <v>4443</v>
      </c>
      <c r="C29" s="41"/>
    </row>
    <row r="30">
      <c r="A30" s="43">
        <v>3.0</v>
      </c>
      <c r="B30" s="49" t="s">
        <v>4444</v>
      </c>
      <c r="C30" s="45"/>
    </row>
    <row r="31">
      <c r="A31" s="35"/>
      <c r="B31" s="35"/>
      <c r="C31" s="35"/>
    </row>
    <row r="32">
      <c r="A32" s="34" t="s">
        <v>760</v>
      </c>
    </row>
    <row r="33">
      <c r="A33" s="35"/>
      <c r="B33" s="35"/>
      <c r="C33" s="35"/>
    </row>
    <row r="34">
      <c r="A34" s="36" t="s">
        <v>749</v>
      </c>
      <c r="B34" s="37" t="s">
        <v>757</v>
      </c>
      <c r="C34" s="38"/>
    </row>
    <row r="35">
      <c r="A35" s="39">
        <v>1.0</v>
      </c>
      <c r="B35" s="40" t="s">
        <v>4445</v>
      </c>
      <c r="C35" s="41"/>
    </row>
    <row r="36">
      <c r="A36" s="39">
        <v>2.0</v>
      </c>
      <c r="B36" s="40" t="s">
        <v>4446</v>
      </c>
      <c r="C36" s="41"/>
    </row>
    <row r="37">
      <c r="A37" s="43">
        <v>3.0</v>
      </c>
      <c r="B37" s="49" t="s">
        <v>4447</v>
      </c>
      <c r="C37" s="45"/>
    </row>
    <row r="38">
      <c r="A38" s="35"/>
      <c r="B38" s="35"/>
      <c r="C38" s="35"/>
    </row>
    <row r="39">
      <c r="A39" s="34" t="s">
        <v>763</v>
      </c>
    </row>
    <row r="40">
      <c r="A40" s="35"/>
      <c r="B40" s="35"/>
      <c r="C40" s="35"/>
    </row>
    <row r="41">
      <c r="A41" s="36" t="s">
        <v>749</v>
      </c>
      <c r="B41" s="37" t="s">
        <v>757</v>
      </c>
      <c r="C41" s="38"/>
    </row>
    <row r="42">
      <c r="A42" s="39">
        <v>1.0</v>
      </c>
      <c r="B42" s="40" t="s">
        <v>4448</v>
      </c>
      <c r="C42" s="41"/>
    </row>
    <row r="43">
      <c r="A43" s="39">
        <v>2.0</v>
      </c>
      <c r="B43" s="40" t="s">
        <v>4449</v>
      </c>
      <c r="C43" s="41"/>
    </row>
    <row r="44">
      <c r="A44" s="39">
        <v>3.0</v>
      </c>
      <c r="B44" s="40" t="s">
        <v>4450</v>
      </c>
      <c r="C44" s="41"/>
    </row>
    <row r="45">
      <c r="A45" s="39">
        <v>4.0</v>
      </c>
      <c r="B45" s="40" t="s">
        <v>4451</v>
      </c>
      <c r="C45" s="41"/>
    </row>
    <row r="46">
      <c r="A46" s="39">
        <v>5.0</v>
      </c>
      <c r="B46" s="40" t="s">
        <v>4452</v>
      </c>
      <c r="C46" s="41"/>
    </row>
    <row r="47">
      <c r="A47" s="43">
        <v>6.0</v>
      </c>
      <c r="B47" s="49" t="s">
        <v>4453</v>
      </c>
      <c r="C47" s="45"/>
    </row>
  </sheetData>
  <mergeCells count="7">
    <mergeCell ref="A1:C1"/>
    <mergeCell ref="A11:C11"/>
    <mergeCell ref="A13:C13"/>
    <mergeCell ref="A15:C15"/>
    <mergeCell ref="A25:C25"/>
    <mergeCell ref="A32:C32"/>
    <mergeCell ref="A39:C39"/>
  </mergeCells>
  <hyperlinks>
    <hyperlink r:id="rId1" ref="B9"/>
  </hyperlinks>
  <drawing r:id="rId2"/>
</worksheet>
</file>

<file path=xl/worksheets/sheet14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2" max="2" width="87.63"/>
    <col customWidth="1" min="3" max="3" width="20.13"/>
  </cols>
  <sheetData>
    <row r="1">
      <c r="A1" s="34" t="s">
        <v>742</v>
      </c>
    </row>
    <row r="2">
      <c r="A2" s="35"/>
      <c r="B2" s="35"/>
      <c r="C2" s="35"/>
    </row>
    <row r="3">
      <c r="A3" s="36" t="s">
        <v>743</v>
      </c>
      <c r="B3" s="37" t="s">
        <v>744</v>
      </c>
      <c r="C3" s="38"/>
    </row>
    <row r="4">
      <c r="A4" s="39" t="s">
        <v>6</v>
      </c>
      <c r="B4" s="40" t="s">
        <v>662</v>
      </c>
      <c r="C4" s="41"/>
    </row>
    <row r="5">
      <c r="A5" s="39" t="s">
        <v>745</v>
      </c>
      <c r="B5" s="42">
        <v>46183.0</v>
      </c>
      <c r="C5" s="41"/>
    </row>
    <row r="6">
      <c r="A6" s="39" t="s">
        <v>0</v>
      </c>
      <c r="B6" s="40" t="s">
        <v>631</v>
      </c>
      <c r="C6" s="41"/>
    </row>
    <row r="7">
      <c r="A7" s="39" t="s">
        <v>7</v>
      </c>
      <c r="B7" s="40" t="s">
        <v>120</v>
      </c>
      <c r="C7" s="41"/>
    </row>
    <row r="8">
      <c r="A8" s="39" t="s">
        <v>746</v>
      </c>
      <c r="B8" s="40">
        <v>1.0</v>
      </c>
      <c r="C8" s="41"/>
    </row>
    <row r="9">
      <c r="A9" s="43" t="s">
        <v>8</v>
      </c>
      <c r="B9" s="44" t="s">
        <v>663</v>
      </c>
      <c r="C9" s="45"/>
    </row>
    <row r="10">
      <c r="A10" s="35"/>
      <c r="B10" s="35"/>
      <c r="C10" s="35"/>
    </row>
    <row r="11">
      <c r="A11" s="34" t="s">
        <v>747</v>
      </c>
    </row>
    <row r="12">
      <c r="A12" s="35"/>
      <c r="B12" s="35"/>
      <c r="C12" s="35"/>
    </row>
    <row r="13">
      <c r="A13" s="46" t="s">
        <v>664</v>
      </c>
    </row>
    <row r="14">
      <c r="A14" s="35"/>
      <c r="B14" s="35"/>
      <c r="C14" s="35"/>
    </row>
    <row r="15">
      <c r="A15" s="34" t="s">
        <v>748</v>
      </c>
    </row>
    <row r="16">
      <c r="A16" s="35"/>
      <c r="B16" s="35"/>
      <c r="C16" s="35"/>
    </row>
    <row r="17">
      <c r="A17" s="36" t="s">
        <v>749</v>
      </c>
      <c r="B17" s="37" t="s">
        <v>750</v>
      </c>
      <c r="C17" s="47" t="s">
        <v>751</v>
      </c>
    </row>
    <row r="18">
      <c r="A18" s="43">
        <v>1.0</v>
      </c>
      <c r="B18" s="49" t="s">
        <v>1059</v>
      </c>
      <c r="C18" s="50" t="s">
        <v>753</v>
      </c>
    </row>
    <row r="19">
      <c r="A19" s="35"/>
      <c r="B19" s="35"/>
      <c r="C19" s="35"/>
    </row>
    <row r="20">
      <c r="A20" s="34" t="s">
        <v>756</v>
      </c>
    </row>
    <row r="21">
      <c r="A21" s="35"/>
      <c r="B21" s="35"/>
      <c r="C21" s="35"/>
    </row>
    <row r="22">
      <c r="A22" s="36" t="s">
        <v>749</v>
      </c>
      <c r="B22" s="37" t="s">
        <v>757</v>
      </c>
      <c r="C22" s="38"/>
    </row>
    <row r="23">
      <c r="A23" s="43">
        <v>1.0</v>
      </c>
      <c r="B23" s="49" t="s">
        <v>1060</v>
      </c>
      <c r="C23" s="45"/>
    </row>
    <row r="24">
      <c r="A24" s="35"/>
      <c r="B24" s="35"/>
      <c r="C24" s="35"/>
    </row>
    <row r="25">
      <c r="A25" s="34" t="s">
        <v>760</v>
      </c>
    </row>
    <row r="26">
      <c r="A26" s="35"/>
      <c r="B26" s="35"/>
      <c r="C26" s="35"/>
    </row>
    <row r="27">
      <c r="A27" s="36" t="s">
        <v>749</v>
      </c>
      <c r="B27" s="37" t="s">
        <v>757</v>
      </c>
      <c r="C27" s="38"/>
    </row>
    <row r="28">
      <c r="A28" s="43">
        <v>1.0</v>
      </c>
      <c r="B28" s="49" t="s">
        <v>1061</v>
      </c>
      <c r="C28" s="45"/>
    </row>
    <row r="29">
      <c r="A29" s="35"/>
      <c r="B29" s="35"/>
      <c r="C29" s="35"/>
    </row>
    <row r="30">
      <c r="A30" s="34" t="s">
        <v>763</v>
      </c>
    </row>
    <row r="31">
      <c r="A31" s="35"/>
      <c r="B31" s="35"/>
      <c r="C31" s="35"/>
    </row>
    <row r="32">
      <c r="A32" s="36" t="s">
        <v>749</v>
      </c>
      <c r="B32" s="37" t="s">
        <v>757</v>
      </c>
      <c r="C32" s="38"/>
    </row>
    <row r="33">
      <c r="A33" s="43">
        <v>1.0</v>
      </c>
      <c r="B33" s="49" t="s">
        <v>4454</v>
      </c>
      <c r="C33" s="45"/>
    </row>
  </sheetData>
  <mergeCells count="7">
    <mergeCell ref="A1:C1"/>
    <mergeCell ref="A11:C11"/>
    <mergeCell ref="A13:C13"/>
    <mergeCell ref="A15:C15"/>
    <mergeCell ref="A20:C20"/>
    <mergeCell ref="A25:C25"/>
    <mergeCell ref="A30:C30"/>
  </mergeCells>
  <hyperlinks>
    <hyperlink r:id="rId1" ref="B9"/>
  </hyperlinks>
  <drawing r:id="rId2"/>
</worksheet>
</file>

<file path=xl/worksheets/sheet14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2" max="2" width="87.63"/>
    <col customWidth="1" min="3" max="3" width="20.13"/>
  </cols>
  <sheetData>
    <row r="1">
      <c r="A1" s="34" t="s">
        <v>742</v>
      </c>
    </row>
    <row r="2">
      <c r="A2" s="35"/>
      <c r="B2" s="35"/>
      <c r="C2" s="35"/>
    </row>
    <row r="3">
      <c r="A3" s="36" t="s">
        <v>743</v>
      </c>
      <c r="B3" s="37" t="s">
        <v>744</v>
      </c>
      <c r="C3" s="38"/>
    </row>
    <row r="4">
      <c r="A4" s="39" t="s">
        <v>6</v>
      </c>
      <c r="B4" s="40" t="s">
        <v>666</v>
      </c>
      <c r="C4" s="41"/>
    </row>
    <row r="5">
      <c r="A5" s="39" t="s">
        <v>745</v>
      </c>
      <c r="B5" s="42">
        <v>46183.0</v>
      </c>
      <c r="C5" s="41"/>
    </row>
    <row r="6">
      <c r="A6" s="39" t="s">
        <v>0</v>
      </c>
      <c r="B6" s="40" t="s">
        <v>631</v>
      </c>
      <c r="C6" s="41"/>
    </row>
    <row r="7">
      <c r="A7" s="39" t="s">
        <v>7</v>
      </c>
      <c r="B7" s="40" t="s">
        <v>103</v>
      </c>
      <c r="C7" s="41"/>
    </row>
    <row r="8">
      <c r="A8" s="39" t="s">
        <v>746</v>
      </c>
      <c r="B8" s="40">
        <v>2.0</v>
      </c>
      <c r="C8" s="41"/>
    </row>
    <row r="9">
      <c r="A9" s="43" t="s">
        <v>8</v>
      </c>
      <c r="B9" s="44" t="s">
        <v>667</v>
      </c>
      <c r="C9" s="45"/>
    </row>
    <row r="10">
      <c r="A10" s="35"/>
      <c r="B10" s="35"/>
      <c r="C10" s="35"/>
    </row>
    <row r="11">
      <c r="A11" s="34" t="s">
        <v>747</v>
      </c>
    </row>
    <row r="12">
      <c r="A12" s="35"/>
      <c r="B12" s="35"/>
      <c r="C12" s="35"/>
    </row>
    <row r="13">
      <c r="A13" s="46" t="s">
        <v>668</v>
      </c>
    </row>
    <row r="14">
      <c r="A14" s="35"/>
      <c r="B14" s="35"/>
      <c r="C14" s="35"/>
    </row>
    <row r="15">
      <c r="A15" s="34" t="s">
        <v>748</v>
      </c>
    </row>
    <row r="16">
      <c r="A16" s="35"/>
      <c r="B16" s="35"/>
      <c r="C16" s="35"/>
    </row>
    <row r="17">
      <c r="A17" s="36" t="s">
        <v>749</v>
      </c>
      <c r="B17" s="37" t="s">
        <v>750</v>
      </c>
      <c r="C17" s="47" t="s">
        <v>751</v>
      </c>
    </row>
    <row r="18">
      <c r="A18" s="39">
        <v>1.0</v>
      </c>
      <c r="B18" s="40" t="s">
        <v>4455</v>
      </c>
      <c r="C18" s="48" t="s">
        <v>1418</v>
      </c>
    </row>
    <row r="19">
      <c r="A19" s="39">
        <v>2.0</v>
      </c>
      <c r="B19" s="40" t="s">
        <v>4456</v>
      </c>
      <c r="C19" s="48" t="s">
        <v>1418</v>
      </c>
    </row>
    <row r="20">
      <c r="A20" s="39">
        <v>3.0</v>
      </c>
      <c r="B20" s="40" t="s">
        <v>4457</v>
      </c>
      <c r="C20" s="48" t="s">
        <v>1418</v>
      </c>
    </row>
    <row r="21">
      <c r="A21" s="43">
        <v>4.0</v>
      </c>
      <c r="B21" s="49" t="s">
        <v>4458</v>
      </c>
      <c r="C21" s="50" t="s">
        <v>1418</v>
      </c>
    </row>
    <row r="22">
      <c r="A22" s="35"/>
      <c r="B22" s="35"/>
      <c r="C22" s="35"/>
    </row>
    <row r="23">
      <c r="A23" s="34" t="s">
        <v>756</v>
      </c>
    </row>
    <row r="24">
      <c r="A24" s="35"/>
      <c r="B24" s="35"/>
      <c r="C24" s="35"/>
    </row>
    <row r="25">
      <c r="A25" s="36" t="s">
        <v>749</v>
      </c>
      <c r="B25" s="37" t="s">
        <v>757</v>
      </c>
      <c r="C25" s="38"/>
    </row>
    <row r="26">
      <c r="A26" s="39">
        <v>1.0</v>
      </c>
      <c r="B26" s="40" t="s">
        <v>4459</v>
      </c>
      <c r="C26" s="41"/>
    </row>
    <row r="27">
      <c r="A27" s="43">
        <v>2.0</v>
      </c>
      <c r="B27" s="49" t="s">
        <v>4460</v>
      </c>
      <c r="C27" s="45"/>
    </row>
    <row r="28">
      <c r="A28" s="35"/>
      <c r="B28" s="35"/>
      <c r="C28" s="35"/>
    </row>
    <row r="29">
      <c r="A29" s="34" t="s">
        <v>760</v>
      </c>
    </row>
    <row r="30">
      <c r="A30" s="35"/>
      <c r="B30" s="35"/>
      <c r="C30" s="35"/>
    </row>
    <row r="31">
      <c r="A31" s="36" t="s">
        <v>749</v>
      </c>
      <c r="B31" s="37" t="s">
        <v>757</v>
      </c>
      <c r="C31" s="38"/>
    </row>
    <row r="32">
      <c r="A32" s="43">
        <v>1.0</v>
      </c>
      <c r="B32" s="49" t="s">
        <v>1061</v>
      </c>
      <c r="C32" s="45"/>
    </row>
    <row r="33">
      <c r="A33" s="35"/>
      <c r="B33" s="35"/>
      <c r="C33" s="35"/>
    </row>
    <row r="34">
      <c r="A34" s="34" t="s">
        <v>763</v>
      </c>
    </row>
    <row r="35">
      <c r="A35" s="35"/>
      <c r="B35" s="35"/>
      <c r="C35" s="35"/>
    </row>
    <row r="36">
      <c r="A36" s="36" t="s">
        <v>749</v>
      </c>
      <c r="B36" s="37" t="s">
        <v>757</v>
      </c>
      <c r="C36" s="38"/>
    </row>
    <row r="37">
      <c r="A37" s="39">
        <v>1.0</v>
      </c>
      <c r="B37" s="40" t="s">
        <v>4461</v>
      </c>
      <c r="C37" s="41"/>
    </row>
    <row r="38">
      <c r="A38" s="39">
        <v>2.0</v>
      </c>
      <c r="B38" s="40" t="s">
        <v>4462</v>
      </c>
      <c r="C38" s="41"/>
    </row>
    <row r="39">
      <c r="A39" s="39">
        <v>3.0</v>
      </c>
      <c r="B39" s="40" t="s">
        <v>4463</v>
      </c>
      <c r="C39" s="41"/>
    </row>
    <row r="40">
      <c r="A40" s="43">
        <v>4.0</v>
      </c>
      <c r="B40" s="49" t="s">
        <v>4464</v>
      </c>
      <c r="C40" s="45"/>
    </row>
  </sheetData>
  <mergeCells count="7">
    <mergeCell ref="A1:C1"/>
    <mergeCell ref="A11:C11"/>
    <mergeCell ref="A13:C13"/>
    <mergeCell ref="A15:C15"/>
    <mergeCell ref="A23:C23"/>
    <mergeCell ref="A29:C29"/>
    <mergeCell ref="A34:C34"/>
  </mergeCells>
  <hyperlinks>
    <hyperlink r:id="rId1" ref="B9"/>
  </hyperlinks>
  <drawing r:id="rId2"/>
</worksheet>
</file>

<file path=xl/worksheets/sheet14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2" max="2" width="87.63"/>
    <col customWidth="1" min="3" max="3" width="20.13"/>
  </cols>
  <sheetData>
    <row r="1">
      <c r="A1" s="34" t="s">
        <v>742</v>
      </c>
    </row>
    <row r="2">
      <c r="A2" s="35"/>
      <c r="B2" s="35"/>
      <c r="C2" s="35"/>
    </row>
    <row r="3">
      <c r="A3" s="36" t="s">
        <v>743</v>
      </c>
      <c r="B3" s="37" t="s">
        <v>744</v>
      </c>
      <c r="C3" s="38"/>
    </row>
    <row r="4">
      <c r="A4" s="39" t="s">
        <v>6</v>
      </c>
      <c r="B4" s="40" t="s">
        <v>670</v>
      </c>
      <c r="C4" s="41"/>
    </row>
    <row r="5">
      <c r="A5" s="39" t="s">
        <v>745</v>
      </c>
      <c r="B5" s="42">
        <v>46183.0</v>
      </c>
      <c r="C5" s="41"/>
    </row>
    <row r="6">
      <c r="A6" s="39" t="s">
        <v>0</v>
      </c>
      <c r="B6" s="40" t="s">
        <v>631</v>
      </c>
      <c r="C6" s="41"/>
    </row>
    <row r="7">
      <c r="A7" s="39" t="s">
        <v>7</v>
      </c>
      <c r="B7" s="40" t="s">
        <v>280</v>
      </c>
      <c r="C7" s="41"/>
    </row>
    <row r="8">
      <c r="A8" s="39" t="s">
        <v>746</v>
      </c>
      <c r="B8" s="40">
        <v>4.0</v>
      </c>
      <c r="C8" s="41"/>
    </row>
    <row r="9">
      <c r="A9" s="43" t="s">
        <v>8</v>
      </c>
      <c r="B9" s="44" t="s">
        <v>671</v>
      </c>
      <c r="C9" s="45"/>
    </row>
    <row r="10">
      <c r="A10" s="35"/>
      <c r="B10" s="35"/>
      <c r="C10" s="35"/>
    </row>
    <row r="11">
      <c r="A11" s="34" t="s">
        <v>747</v>
      </c>
    </row>
    <row r="12">
      <c r="A12" s="35"/>
      <c r="B12" s="35"/>
      <c r="C12" s="35"/>
    </row>
    <row r="13">
      <c r="A13" s="46" t="s">
        <v>672</v>
      </c>
    </row>
    <row r="14">
      <c r="A14" s="35"/>
      <c r="B14" s="35"/>
      <c r="C14" s="35"/>
    </row>
    <row r="15">
      <c r="A15" s="34" t="s">
        <v>748</v>
      </c>
    </row>
    <row r="16">
      <c r="A16" s="35"/>
      <c r="B16" s="35"/>
      <c r="C16" s="35"/>
    </row>
    <row r="17">
      <c r="A17" s="36" t="s">
        <v>749</v>
      </c>
      <c r="B17" s="37" t="s">
        <v>750</v>
      </c>
      <c r="C17" s="47" t="s">
        <v>751</v>
      </c>
    </row>
    <row r="18">
      <c r="A18" s="39">
        <v>1.0</v>
      </c>
      <c r="B18" s="40" t="s">
        <v>4465</v>
      </c>
      <c r="C18" s="48" t="s">
        <v>753</v>
      </c>
    </row>
    <row r="19">
      <c r="A19" s="39">
        <v>2.0</v>
      </c>
      <c r="B19" s="40" t="s">
        <v>4466</v>
      </c>
      <c r="C19" s="48" t="s">
        <v>753</v>
      </c>
    </row>
    <row r="20">
      <c r="A20" s="39">
        <v>3.0</v>
      </c>
      <c r="B20" s="40" t="s">
        <v>4467</v>
      </c>
      <c r="C20" s="48" t="s">
        <v>753</v>
      </c>
    </row>
    <row r="21">
      <c r="A21" s="39">
        <v>4.0</v>
      </c>
      <c r="B21" s="40" t="s">
        <v>4468</v>
      </c>
      <c r="C21" s="48" t="s">
        <v>753</v>
      </c>
    </row>
    <row r="22">
      <c r="A22" s="39">
        <v>5.0</v>
      </c>
      <c r="B22" s="40" t="s">
        <v>4469</v>
      </c>
      <c r="C22" s="48" t="s">
        <v>1418</v>
      </c>
    </row>
    <row r="23">
      <c r="A23" s="39">
        <v>6.0</v>
      </c>
      <c r="B23" s="40" t="s">
        <v>4470</v>
      </c>
      <c r="C23" s="48" t="s">
        <v>753</v>
      </c>
    </row>
    <row r="24">
      <c r="A24" s="39">
        <v>7.0</v>
      </c>
      <c r="B24" s="40" t="s">
        <v>4471</v>
      </c>
      <c r="C24" s="48" t="s">
        <v>753</v>
      </c>
    </row>
    <row r="25">
      <c r="A25" s="39">
        <v>8.0</v>
      </c>
      <c r="B25" s="40" t="s">
        <v>4472</v>
      </c>
      <c r="C25" s="48" t="s">
        <v>753</v>
      </c>
    </row>
    <row r="26">
      <c r="A26" s="39">
        <v>9.0</v>
      </c>
      <c r="B26" s="40" t="s">
        <v>4473</v>
      </c>
      <c r="C26" s="48" t="s">
        <v>753</v>
      </c>
    </row>
    <row r="27">
      <c r="A27" s="39">
        <v>10.0</v>
      </c>
      <c r="B27" s="40" t="s">
        <v>4474</v>
      </c>
      <c r="C27" s="48" t="s">
        <v>753</v>
      </c>
    </row>
    <row r="28">
      <c r="A28" s="39">
        <v>11.0</v>
      </c>
      <c r="B28" s="40" t="s">
        <v>4469</v>
      </c>
      <c r="C28" s="48" t="s">
        <v>1418</v>
      </c>
    </row>
    <row r="29">
      <c r="A29" s="39">
        <v>12.0</v>
      </c>
      <c r="B29" s="40" t="s">
        <v>4475</v>
      </c>
      <c r="C29" s="48" t="s">
        <v>753</v>
      </c>
    </row>
    <row r="30">
      <c r="A30" s="39">
        <v>13.0</v>
      </c>
      <c r="B30" s="40" t="s">
        <v>4476</v>
      </c>
      <c r="C30" s="48" t="s">
        <v>753</v>
      </c>
    </row>
    <row r="31">
      <c r="A31" s="39">
        <v>14.0</v>
      </c>
      <c r="B31" s="40" t="s">
        <v>4477</v>
      </c>
      <c r="C31" s="48" t="s">
        <v>753</v>
      </c>
    </row>
    <row r="32">
      <c r="A32" s="39">
        <v>15.0</v>
      </c>
      <c r="B32" s="40" t="s">
        <v>4469</v>
      </c>
      <c r="C32" s="48" t="s">
        <v>1418</v>
      </c>
    </row>
    <row r="33">
      <c r="A33" s="39">
        <v>16.0</v>
      </c>
      <c r="B33" s="40" t="s">
        <v>4478</v>
      </c>
      <c r="C33" s="48" t="s">
        <v>753</v>
      </c>
    </row>
    <row r="34">
      <c r="A34" s="39">
        <v>17.0</v>
      </c>
      <c r="B34" s="40" t="s">
        <v>4479</v>
      </c>
      <c r="C34" s="48" t="s">
        <v>753</v>
      </c>
    </row>
    <row r="35">
      <c r="A35" s="39">
        <v>18.0</v>
      </c>
      <c r="B35" s="40" t="s">
        <v>4480</v>
      </c>
      <c r="C35" s="48" t="s">
        <v>753</v>
      </c>
    </row>
    <row r="36">
      <c r="A36" s="39">
        <v>19.0</v>
      </c>
      <c r="B36" s="40" t="s">
        <v>4469</v>
      </c>
      <c r="C36" s="48" t="s">
        <v>1418</v>
      </c>
    </row>
    <row r="37">
      <c r="A37" s="43">
        <v>20.0</v>
      </c>
      <c r="B37" s="49" t="s">
        <v>4481</v>
      </c>
      <c r="C37" s="50" t="s">
        <v>1418</v>
      </c>
    </row>
    <row r="38">
      <c r="A38" s="35"/>
      <c r="B38" s="35"/>
      <c r="C38" s="35"/>
    </row>
    <row r="39">
      <c r="A39" s="34" t="s">
        <v>756</v>
      </c>
    </row>
    <row r="40">
      <c r="A40" s="35"/>
      <c r="B40" s="35"/>
      <c r="C40" s="35"/>
    </row>
    <row r="41">
      <c r="A41" s="36" t="s">
        <v>749</v>
      </c>
      <c r="B41" s="37" t="s">
        <v>757</v>
      </c>
      <c r="C41" s="38"/>
    </row>
    <row r="42">
      <c r="A42" s="39">
        <v>1.0</v>
      </c>
      <c r="B42" s="40" t="s">
        <v>4482</v>
      </c>
      <c r="C42" s="41"/>
    </row>
    <row r="43">
      <c r="A43" s="39">
        <v>2.0</v>
      </c>
      <c r="B43" s="40" t="s">
        <v>4483</v>
      </c>
      <c r="C43" s="41"/>
    </row>
    <row r="44">
      <c r="A44" s="39">
        <v>3.0</v>
      </c>
      <c r="B44" s="40" t="s">
        <v>4484</v>
      </c>
      <c r="C44" s="41"/>
    </row>
    <row r="45">
      <c r="A45" s="39">
        <v>4.0</v>
      </c>
      <c r="B45" s="40" t="s">
        <v>4485</v>
      </c>
      <c r="C45" s="41"/>
    </row>
    <row r="46">
      <c r="A46" s="43">
        <v>5.0</v>
      </c>
      <c r="B46" s="49" t="s">
        <v>4486</v>
      </c>
      <c r="C46" s="45"/>
    </row>
    <row r="47">
      <c r="A47" s="35"/>
      <c r="B47" s="35"/>
      <c r="C47" s="35"/>
    </row>
    <row r="48">
      <c r="A48" s="34" t="s">
        <v>760</v>
      </c>
    </row>
    <row r="49">
      <c r="A49" s="35"/>
      <c r="B49" s="35"/>
      <c r="C49" s="35"/>
    </row>
    <row r="50">
      <c r="A50" s="36" t="s">
        <v>749</v>
      </c>
      <c r="B50" s="37" t="s">
        <v>757</v>
      </c>
      <c r="C50" s="38"/>
    </row>
    <row r="51">
      <c r="A51" s="39">
        <v>1.0</v>
      </c>
      <c r="B51" s="40" t="s">
        <v>4487</v>
      </c>
      <c r="C51" s="41"/>
    </row>
    <row r="52">
      <c r="A52" s="43">
        <v>2.0</v>
      </c>
      <c r="B52" s="49" t="s">
        <v>4488</v>
      </c>
      <c r="C52" s="45"/>
    </row>
    <row r="53">
      <c r="A53" s="35"/>
      <c r="B53" s="35"/>
      <c r="C53" s="35"/>
    </row>
    <row r="54">
      <c r="A54" s="34" t="s">
        <v>763</v>
      </c>
    </row>
    <row r="55">
      <c r="A55" s="35"/>
      <c r="B55" s="35"/>
      <c r="C55" s="35"/>
    </row>
    <row r="56">
      <c r="A56" s="36" t="s">
        <v>749</v>
      </c>
      <c r="B56" s="37" t="s">
        <v>757</v>
      </c>
      <c r="C56" s="38"/>
    </row>
    <row r="57">
      <c r="A57" s="39">
        <v>1.0</v>
      </c>
      <c r="B57" s="40" t="s">
        <v>4489</v>
      </c>
      <c r="C57" s="41"/>
    </row>
    <row r="58">
      <c r="A58" s="39">
        <v>2.0</v>
      </c>
      <c r="B58" s="40" t="s">
        <v>4490</v>
      </c>
      <c r="C58" s="41"/>
    </row>
    <row r="59">
      <c r="A59" s="39">
        <v>3.0</v>
      </c>
      <c r="B59" s="40" t="s">
        <v>4491</v>
      </c>
      <c r="C59" s="41"/>
    </row>
    <row r="60">
      <c r="A60" s="39">
        <v>4.0</v>
      </c>
      <c r="B60" s="40" t="s">
        <v>4492</v>
      </c>
      <c r="C60" s="41"/>
    </row>
    <row r="61">
      <c r="A61" s="39">
        <v>5.0</v>
      </c>
      <c r="B61" s="40" t="s">
        <v>4493</v>
      </c>
      <c r="C61" s="41"/>
    </row>
    <row r="62">
      <c r="A62" s="39">
        <v>6.0</v>
      </c>
      <c r="B62" s="40" t="s">
        <v>4494</v>
      </c>
      <c r="C62" s="41"/>
    </row>
    <row r="63">
      <c r="A63" s="39">
        <v>7.0</v>
      </c>
      <c r="B63" s="40" t="s">
        <v>4495</v>
      </c>
      <c r="C63" s="41"/>
    </row>
    <row r="64">
      <c r="A64" s="43">
        <v>8.0</v>
      </c>
      <c r="B64" s="49" t="s">
        <v>899</v>
      </c>
      <c r="C64" s="45"/>
    </row>
  </sheetData>
  <mergeCells count="7">
    <mergeCell ref="A1:C1"/>
    <mergeCell ref="A11:C11"/>
    <mergeCell ref="A13:C13"/>
    <mergeCell ref="A15:C15"/>
    <mergeCell ref="A39:C39"/>
    <mergeCell ref="A48:C48"/>
    <mergeCell ref="A54:C54"/>
  </mergeCells>
  <hyperlinks>
    <hyperlink r:id="rId1" ref="B9"/>
  </hyperlinks>
  <drawing r:id="rId2"/>
</worksheet>
</file>

<file path=xl/worksheets/sheet14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2" max="2" width="87.63"/>
    <col customWidth="1" min="3" max="3" width="20.13"/>
  </cols>
  <sheetData>
    <row r="1">
      <c r="A1" s="34" t="s">
        <v>742</v>
      </c>
    </row>
    <row r="2">
      <c r="A2" s="35"/>
      <c r="B2" s="35"/>
      <c r="C2" s="35"/>
    </row>
    <row r="3">
      <c r="A3" s="36" t="s">
        <v>743</v>
      </c>
      <c r="B3" s="37" t="s">
        <v>744</v>
      </c>
      <c r="C3" s="38"/>
    </row>
    <row r="4">
      <c r="A4" s="39" t="s">
        <v>6</v>
      </c>
      <c r="B4" s="40" t="s">
        <v>674</v>
      </c>
      <c r="C4" s="41"/>
    </row>
    <row r="5">
      <c r="A5" s="39" t="s">
        <v>745</v>
      </c>
      <c r="B5" s="42">
        <v>46183.0</v>
      </c>
      <c r="C5" s="41"/>
    </row>
    <row r="6">
      <c r="A6" s="39" t="s">
        <v>0</v>
      </c>
      <c r="B6" s="40" t="s">
        <v>631</v>
      </c>
      <c r="C6" s="41"/>
    </row>
    <row r="7">
      <c r="A7" s="39" t="s">
        <v>7</v>
      </c>
      <c r="B7" s="40" t="s">
        <v>129</v>
      </c>
      <c r="C7" s="41"/>
    </row>
    <row r="8">
      <c r="A8" s="39" t="s">
        <v>746</v>
      </c>
      <c r="B8" s="40">
        <v>4.0</v>
      </c>
      <c r="C8" s="41"/>
    </row>
    <row r="9">
      <c r="A9" s="43" t="s">
        <v>8</v>
      </c>
      <c r="B9" s="44" t="s">
        <v>675</v>
      </c>
      <c r="C9" s="45"/>
    </row>
    <row r="10">
      <c r="A10" s="35"/>
      <c r="B10" s="35"/>
      <c r="C10" s="35"/>
    </row>
    <row r="11">
      <c r="A11" s="34" t="s">
        <v>747</v>
      </c>
    </row>
    <row r="12">
      <c r="A12" s="35"/>
      <c r="B12" s="35"/>
      <c r="C12" s="35"/>
    </row>
    <row r="13">
      <c r="A13" s="46" t="s">
        <v>4496</v>
      </c>
    </row>
    <row r="14">
      <c r="A14" s="35"/>
      <c r="B14" s="35"/>
      <c r="C14" s="35"/>
    </row>
    <row r="15">
      <c r="A15" s="34" t="s">
        <v>748</v>
      </c>
    </row>
    <row r="16">
      <c r="A16" s="35"/>
      <c r="B16" s="35"/>
      <c r="C16" s="35"/>
    </row>
    <row r="17">
      <c r="A17" s="36" t="s">
        <v>749</v>
      </c>
      <c r="B17" s="37" t="s">
        <v>750</v>
      </c>
      <c r="C17" s="47" t="s">
        <v>751</v>
      </c>
    </row>
    <row r="18">
      <c r="A18" s="39">
        <v>1.0</v>
      </c>
      <c r="B18" s="40" t="s">
        <v>4497</v>
      </c>
      <c r="C18" s="48" t="s">
        <v>4498</v>
      </c>
    </row>
    <row r="19">
      <c r="A19" s="39">
        <v>2.0</v>
      </c>
      <c r="B19" s="40" t="s">
        <v>4499</v>
      </c>
      <c r="C19" s="48" t="s">
        <v>4500</v>
      </c>
    </row>
    <row r="20">
      <c r="A20" s="39">
        <v>3.0</v>
      </c>
      <c r="B20" s="40" t="s">
        <v>4501</v>
      </c>
      <c r="C20" s="75">
        <v>46187.0</v>
      </c>
    </row>
    <row r="21">
      <c r="A21" s="39">
        <v>4.0</v>
      </c>
      <c r="B21" s="40" t="s">
        <v>4502</v>
      </c>
      <c r="C21" s="48" t="s">
        <v>4503</v>
      </c>
    </row>
    <row r="22">
      <c r="A22" s="39">
        <v>5.0</v>
      </c>
      <c r="B22" s="40" t="s">
        <v>4504</v>
      </c>
      <c r="C22" s="75">
        <v>46186.0</v>
      </c>
    </row>
    <row r="23">
      <c r="A23" s="39">
        <v>6.0</v>
      </c>
      <c r="B23" s="40" t="s">
        <v>4505</v>
      </c>
      <c r="C23" s="48" t="s">
        <v>4506</v>
      </c>
    </row>
    <row r="24">
      <c r="A24" s="39">
        <v>7.0</v>
      </c>
      <c r="B24" s="40" t="s">
        <v>4507</v>
      </c>
      <c r="C24" s="48" t="s">
        <v>4508</v>
      </c>
    </row>
    <row r="25">
      <c r="A25" s="39">
        <v>8.0</v>
      </c>
      <c r="B25" s="40" t="s">
        <v>4509</v>
      </c>
      <c r="C25" s="48" t="s">
        <v>4510</v>
      </c>
    </row>
    <row r="26">
      <c r="A26" s="43">
        <v>9.0</v>
      </c>
      <c r="B26" s="49" t="s">
        <v>4511</v>
      </c>
      <c r="C26" s="80">
        <v>46187.0</v>
      </c>
    </row>
    <row r="27">
      <c r="A27" s="35"/>
      <c r="B27" s="35"/>
      <c r="C27" s="35"/>
    </row>
    <row r="28">
      <c r="A28" s="34" t="s">
        <v>756</v>
      </c>
    </row>
    <row r="29">
      <c r="A29" s="35"/>
      <c r="B29" s="35"/>
      <c r="C29" s="35"/>
    </row>
    <row r="30">
      <c r="A30" s="36" t="s">
        <v>749</v>
      </c>
      <c r="B30" s="37" t="s">
        <v>757</v>
      </c>
      <c r="C30" s="38"/>
    </row>
    <row r="31">
      <c r="A31" s="39">
        <v>1.0</v>
      </c>
      <c r="B31" s="40" t="s">
        <v>4512</v>
      </c>
      <c r="C31" s="41"/>
    </row>
    <row r="32">
      <c r="A32" s="39">
        <v>2.0</v>
      </c>
      <c r="B32" s="40" t="s">
        <v>4513</v>
      </c>
      <c r="C32" s="41"/>
    </row>
    <row r="33">
      <c r="A33" s="39">
        <v>3.0</v>
      </c>
      <c r="B33" s="40" t="s">
        <v>4514</v>
      </c>
      <c r="C33" s="41"/>
    </row>
    <row r="34">
      <c r="A34" s="39">
        <v>4.0</v>
      </c>
      <c r="B34" s="40" t="s">
        <v>4515</v>
      </c>
      <c r="C34" s="41"/>
    </row>
    <row r="35">
      <c r="A35" s="39">
        <v>5.0</v>
      </c>
      <c r="B35" s="40" t="s">
        <v>4516</v>
      </c>
      <c r="C35" s="41"/>
    </row>
    <row r="36">
      <c r="A36" s="39">
        <v>6.0</v>
      </c>
      <c r="B36" s="40" t="s">
        <v>4517</v>
      </c>
      <c r="C36" s="41"/>
    </row>
    <row r="37">
      <c r="A37" s="39">
        <v>7.0</v>
      </c>
      <c r="B37" s="40" t="s">
        <v>4518</v>
      </c>
      <c r="C37" s="41"/>
    </row>
    <row r="38">
      <c r="A38" s="39">
        <v>8.0</v>
      </c>
      <c r="B38" s="40" t="s">
        <v>4519</v>
      </c>
      <c r="C38" s="41"/>
    </row>
    <row r="39">
      <c r="A39" s="43">
        <v>9.0</v>
      </c>
      <c r="B39" s="49" t="s">
        <v>4520</v>
      </c>
      <c r="C39" s="45"/>
    </row>
    <row r="40">
      <c r="A40" s="35"/>
      <c r="B40" s="35"/>
      <c r="C40" s="35"/>
    </row>
    <row r="41">
      <c r="A41" s="34" t="s">
        <v>760</v>
      </c>
    </row>
    <row r="42">
      <c r="A42" s="35"/>
      <c r="B42" s="35"/>
      <c r="C42" s="35"/>
    </row>
    <row r="43">
      <c r="A43" s="36" t="s">
        <v>749</v>
      </c>
      <c r="B43" s="37" t="s">
        <v>757</v>
      </c>
      <c r="C43" s="38"/>
    </row>
    <row r="44">
      <c r="A44" s="39">
        <v>1.0</v>
      </c>
      <c r="B44" s="40" t="s">
        <v>4521</v>
      </c>
      <c r="C44" s="41"/>
    </row>
    <row r="45">
      <c r="A45" s="39">
        <v>2.0</v>
      </c>
      <c r="B45" s="40" t="s">
        <v>4522</v>
      </c>
      <c r="C45" s="41"/>
    </row>
    <row r="46">
      <c r="A46" s="39">
        <v>3.0</v>
      </c>
      <c r="B46" s="40" t="s">
        <v>4523</v>
      </c>
      <c r="C46" s="41"/>
    </row>
    <row r="47">
      <c r="A47" s="43">
        <v>4.0</v>
      </c>
      <c r="B47" s="49" t="s">
        <v>4524</v>
      </c>
      <c r="C47" s="45"/>
    </row>
    <row r="48">
      <c r="A48" s="35"/>
      <c r="B48" s="35"/>
      <c r="C48" s="35"/>
    </row>
    <row r="49">
      <c r="A49" s="34" t="s">
        <v>763</v>
      </c>
    </row>
    <row r="50">
      <c r="A50" s="35"/>
      <c r="B50" s="35"/>
      <c r="C50" s="35"/>
    </row>
    <row r="51">
      <c r="A51" s="36" t="s">
        <v>749</v>
      </c>
      <c r="B51" s="37" t="s">
        <v>757</v>
      </c>
      <c r="C51" s="38"/>
    </row>
    <row r="52">
      <c r="A52" s="39">
        <v>1.0</v>
      </c>
      <c r="B52" s="40" t="s">
        <v>4525</v>
      </c>
      <c r="C52" s="41"/>
    </row>
    <row r="53">
      <c r="A53" s="39">
        <v>2.0</v>
      </c>
      <c r="B53" s="40" t="s">
        <v>4526</v>
      </c>
      <c r="C53" s="41"/>
    </row>
    <row r="54">
      <c r="A54" s="39">
        <v>3.0</v>
      </c>
      <c r="B54" s="40" t="s">
        <v>4527</v>
      </c>
      <c r="C54" s="41"/>
    </row>
    <row r="55">
      <c r="A55" s="39">
        <v>4.0</v>
      </c>
      <c r="B55" s="40" t="s">
        <v>4528</v>
      </c>
      <c r="C55" s="41"/>
    </row>
    <row r="56">
      <c r="A56" s="39">
        <v>5.0</v>
      </c>
      <c r="B56" s="40" t="s">
        <v>4529</v>
      </c>
      <c r="C56" s="41"/>
    </row>
    <row r="57">
      <c r="A57" s="39">
        <v>6.0</v>
      </c>
      <c r="B57" s="40" t="s">
        <v>4530</v>
      </c>
      <c r="C57" s="41"/>
    </row>
    <row r="58">
      <c r="A58" s="39">
        <v>7.0</v>
      </c>
      <c r="B58" s="40" t="s">
        <v>4531</v>
      </c>
      <c r="C58" s="41"/>
    </row>
    <row r="59">
      <c r="A59" s="43">
        <v>8.0</v>
      </c>
      <c r="B59" s="49" t="s">
        <v>899</v>
      </c>
      <c r="C59" s="45"/>
    </row>
  </sheetData>
  <mergeCells count="7">
    <mergeCell ref="A1:C1"/>
    <mergeCell ref="A11:C11"/>
    <mergeCell ref="A13:C13"/>
    <mergeCell ref="A15:C15"/>
    <mergeCell ref="A28:C28"/>
    <mergeCell ref="A41:C41"/>
    <mergeCell ref="A49:C49"/>
  </mergeCells>
  <hyperlinks>
    <hyperlink r:id="rId1" ref="B9"/>
  </hyperlinks>
  <drawing r:id="rId2"/>
</worksheet>
</file>

<file path=xl/worksheets/sheet14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2" max="2" width="87.63"/>
    <col customWidth="1" min="3" max="3" width="20.13"/>
  </cols>
  <sheetData>
    <row r="1">
      <c r="A1" s="34" t="s">
        <v>742</v>
      </c>
    </row>
    <row r="2">
      <c r="A2" s="35"/>
      <c r="B2" s="35"/>
      <c r="C2" s="35"/>
    </row>
    <row r="3">
      <c r="A3" s="36" t="s">
        <v>743</v>
      </c>
      <c r="B3" s="37" t="s">
        <v>744</v>
      </c>
      <c r="C3" s="38"/>
    </row>
    <row r="4">
      <c r="A4" s="39" t="s">
        <v>6</v>
      </c>
      <c r="B4" s="40" t="s">
        <v>678</v>
      </c>
      <c r="C4" s="41"/>
    </row>
    <row r="5">
      <c r="A5" s="39" t="s">
        <v>745</v>
      </c>
      <c r="B5" s="42">
        <v>46183.0</v>
      </c>
      <c r="C5" s="41"/>
    </row>
    <row r="6">
      <c r="A6" s="39" t="s">
        <v>0</v>
      </c>
      <c r="B6" s="40" t="s">
        <v>631</v>
      </c>
      <c r="C6" s="41"/>
    </row>
    <row r="7">
      <c r="A7" s="39" t="s">
        <v>7</v>
      </c>
      <c r="B7" s="40" t="s">
        <v>518</v>
      </c>
      <c r="C7" s="41"/>
    </row>
    <row r="8">
      <c r="A8" s="39" t="s">
        <v>746</v>
      </c>
      <c r="B8" s="40">
        <v>5.0</v>
      </c>
      <c r="C8" s="41"/>
    </row>
    <row r="9">
      <c r="A9" s="43" t="s">
        <v>8</v>
      </c>
      <c r="B9" s="44" t="s">
        <v>679</v>
      </c>
      <c r="C9" s="45"/>
    </row>
    <row r="10">
      <c r="A10" s="35"/>
      <c r="B10" s="35"/>
      <c r="C10" s="35"/>
    </row>
    <row r="11">
      <c r="A11" s="34" t="s">
        <v>747</v>
      </c>
    </row>
    <row r="12">
      <c r="A12" s="35"/>
      <c r="B12" s="35"/>
      <c r="C12" s="35"/>
    </row>
    <row r="13">
      <c r="A13" s="46" t="s">
        <v>680</v>
      </c>
    </row>
    <row r="14">
      <c r="A14" s="35"/>
      <c r="B14" s="35"/>
      <c r="C14" s="35"/>
    </row>
    <row r="15">
      <c r="A15" s="34" t="s">
        <v>748</v>
      </c>
    </row>
    <row r="16">
      <c r="A16" s="35"/>
      <c r="B16" s="35"/>
      <c r="C16" s="35"/>
    </row>
    <row r="17">
      <c r="A17" s="36" t="s">
        <v>749</v>
      </c>
      <c r="B17" s="37" t="s">
        <v>750</v>
      </c>
      <c r="C17" s="47" t="s">
        <v>751</v>
      </c>
    </row>
    <row r="18">
      <c r="A18" s="39">
        <v>1.0</v>
      </c>
      <c r="B18" s="40" t="s">
        <v>4532</v>
      </c>
      <c r="C18" s="48" t="s">
        <v>1418</v>
      </c>
    </row>
    <row r="19">
      <c r="A19" s="39">
        <v>2.0</v>
      </c>
      <c r="B19" s="40" t="s">
        <v>4533</v>
      </c>
      <c r="C19" s="48" t="s">
        <v>753</v>
      </c>
    </row>
    <row r="20">
      <c r="A20" s="39">
        <v>3.0</v>
      </c>
      <c r="B20" s="40" t="s">
        <v>4534</v>
      </c>
      <c r="C20" s="48" t="s">
        <v>753</v>
      </c>
    </row>
    <row r="21">
      <c r="A21" s="39">
        <v>4.0</v>
      </c>
      <c r="B21" s="40" t="s">
        <v>4535</v>
      </c>
      <c r="C21" s="48" t="s">
        <v>753</v>
      </c>
    </row>
    <row r="22">
      <c r="A22" s="39">
        <v>5.0</v>
      </c>
      <c r="B22" s="40" t="s">
        <v>4536</v>
      </c>
      <c r="C22" s="48" t="s">
        <v>753</v>
      </c>
    </row>
    <row r="23">
      <c r="A23" s="39">
        <v>6.0</v>
      </c>
      <c r="B23" s="40" t="s">
        <v>4537</v>
      </c>
      <c r="C23" s="48" t="s">
        <v>1418</v>
      </c>
    </row>
    <row r="24">
      <c r="A24" s="39">
        <v>7.0</v>
      </c>
      <c r="B24" s="40" t="s">
        <v>4538</v>
      </c>
      <c r="C24" s="48" t="s">
        <v>4539</v>
      </c>
    </row>
    <row r="25">
      <c r="A25" s="39">
        <v>8.0</v>
      </c>
      <c r="B25" s="40" t="s">
        <v>4540</v>
      </c>
      <c r="C25" s="48" t="s">
        <v>4541</v>
      </c>
    </row>
    <row r="26">
      <c r="A26" s="39">
        <v>9.0</v>
      </c>
      <c r="B26" s="40" t="s">
        <v>4542</v>
      </c>
      <c r="C26" s="48" t="s">
        <v>753</v>
      </c>
    </row>
    <row r="27">
      <c r="A27" s="39">
        <v>10.0</v>
      </c>
      <c r="B27" s="40" t="s">
        <v>4543</v>
      </c>
      <c r="C27" s="48" t="s">
        <v>1418</v>
      </c>
    </row>
    <row r="28">
      <c r="A28" s="39">
        <v>11.0</v>
      </c>
      <c r="B28" s="40" t="s">
        <v>4544</v>
      </c>
      <c r="C28" s="48" t="s">
        <v>1418</v>
      </c>
    </row>
    <row r="29">
      <c r="A29" s="39">
        <v>12.0</v>
      </c>
      <c r="B29" s="40" t="s">
        <v>4545</v>
      </c>
      <c r="C29" s="48" t="s">
        <v>4546</v>
      </c>
    </row>
    <row r="30">
      <c r="A30" s="43">
        <v>13.0</v>
      </c>
      <c r="B30" s="49" t="s">
        <v>4547</v>
      </c>
      <c r="C30" s="50" t="s">
        <v>753</v>
      </c>
    </row>
    <row r="31">
      <c r="A31" s="35"/>
      <c r="B31" s="35"/>
      <c r="C31" s="35"/>
    </row>
    <row r="32">
      <c r="A32" s="34" t="s">
        <v>756</v>
      </c>
    </row>
    <row r="33">
      <c r="A33" s="35"/>
      <c r="B33" s="35"/>
      <c r="C33" s="35"/>
    </row>
    <row r="34">
      <c r="A34" s="36" t="s">
        <v>749</v>
      </c>
      <c r="B34" s="37" t="s">
        <v>757</v>
      </c>
      <c r="C34" s="38"/>
    </row>
    <row r="35">
      <c r="A35" s="39">
        <v>1.0</v>
      </c>
      <c r="B35" s="40" t="s">
        <v>4548</v>
      </c>
      <c r="C35" s="41"/>
    </row>
    <row r="36">
      <c r="A36" s="39">
        <v>2.0</v>
      </c>
      <c r="B36" s="40" t="s">
        <v>4549</v>
      </c>
      <c r="C36" s="41"/>
    </row>
    <row r="37">
      <c r="A37" s="39">
        <v>3.0</v>
      </c>
      <c r="B37" s="40" t="s">
        <v>4550</v>
      </c>
      <c r="C37" s="41"/>
    </row>
    <row r="38">
      <c r="A38" s="39">
        <v>4.0</v>
      </c>
      <c r="B38" s="40" t="s">
        <v>4551</v>
      </c>
      <c r="C38" s="41"/>
    </row>
    <row r="39">
      <c r="A39" s="39">
        <v>5.0</v>
      </c>
      <c r="B39" s="40" t="s">
        <v>4552</v>
      </c>
      <c r="C39" s="41"/>
    </row>
    <row r="40">
      <c r="A40" s="39">
        <v>6.0</v>
      </c>
      <c r="B40" s="40" t="s">
        <v>4553</v>
      </c>
      <c r="C40" s="41"/>
    </row>
    <row r="41">
      <c r="A41" s="39">
        <v>7.0</v>
      </c>
      <c r="B41" s="40" t="s">
        <v>4554</v>
      </c>
      <c r="C41" s="41"/>
    </row>
    <row r="42">
      <c r="A42" s="43">
        <v>8.0</v>
      </c>
      <c r="B42" s="49" t="s">
        <v>4555</v>
      </c>
      <c r="C42" s="45"/>
    </row>
    <row r="43">
      <c r="A43" s="35"/>
      <c r="B43" s="35"/>
      <c r="C43" s="35"/>
    </row>
    <row r="44">
      <c r="A44" s="34" t="s">
        <v>760</v>
      </c>
    </row>
    <row r="45">
      <c r="A45" s="35"/>
      <c r="B45" s="35"/>
      <c r="C45" s="35"/>
    </row>
    <row r="46">
      <c r="A46" s="36" t="s">
        <v>749</v>
      </c>
      <c r="B46" s="37" t="s">
        <v>757</v>
      </c>
      <c r="C46" s="38"/>
    </row>
    <row r="47">
      <c r="A47" s="39">
        <v>1.0</v>
      </c>
      <c r="B47" s="40" t="s">
        <v>4556</v>
      </c>
      <c r="C47" s="41"/>
    </row>
    <row r="48">
      <c r="A48" s="39">
        <v>2.0</v>
      </c>
      <c r="B48" s="40" t="s">
        <v>4557</v>
      </c>
      <c r="C48" s="41"/>
    </row>
    <row r="49">
      <c r="A49" s="39">
        <v>3.0</v>
      </c>
      <c r="B49" s="40" t="s">
        <v>4558</v>
      </c>
      <c r="C49" s="41"/>
    </row>
    <row r="50">
      <c r="A50" s="39">
        <v>4.0</v>
      </c>
      <c r="B50" s="40" t="s">
        <v>4559</v>
      </c>
      <c r="C50" s="41"/>
    </row>
    <row r="51">
      <c r="A51" s="43">
        <v>5.0</v>
      </c>
      <c r="B51" s="49" t="s">
        <v>4560</v>
      </c>
      <c r="C51" s="45"/>
    </row>
    <row r="52">
      <c r="A52" s="35"/>
      <c r="B52" s="35"/>
      <c r="C52" s="35"/>
    </row>
    <row r="53">
      <c r="A53" s="34" t="s">
        <v>763</v>
      </c>
    </row>
    <row r="54">
      <c r="A54" s="35"/>
      <c r="B54" s="35"/>
      <c r="C54" s="35"/>
    </row>
    <row r="55">
      <c r="A55" s="36" t="s">
        <v>749</v>
      </c>
      <c r="B55" s="37" t="s">
        <v>757</v>
      </c>
      <c r="C55" s="38"/>
    </row>
    <row r="56">
      <c r="A56" s="39">
        <v>1.0</v>
      </c>
      <c r="B56" s="40" t="s">
        <v>4561</v>
      </c>
      <c r="C56" s="41"/>
    </row>
    <row r="57">
      <c r="A57" s="39">
        <v>2.0</v>
      </c>
      <c r="B57" s="40" t="s">
        <v>4562</v>
      </c>
      <c r="C57" s="41"/>
    </row>
    <row r="58">
      <c r="A58" s="39">
        <v>3.0</v>
      </c>
      <c r="B58" s="40" t="s">
        <v>4563</v>
      </c>
      <c r="C58" s="41"/>
    </row>
    <row r="59">
      <c r="A59" s="39">
        <v>4.0</v>
      </c>
      <c r="B59" s="40" t="s">
        <v>4564</v>
      </c>
      <c r="C59" s="41"/>
    </row>
    <row r="60">
      <c r="A60" s="39">
        <v>5.0</v>
      </c>
      <c r="B60" s="40" t="s">
        <v>4565</v>
      </c>
      <c r="C60" s="41"/>
    </row>
    <row r="61">
      <c r="A61" s="39">
        <v>6.0</v>
      </c>
      <c r="B61" s="40" t="s">
        <v>4566</v>
      </c>
      <c r="C61" s="41"/>
    </row>
    <row r="62">
      <c r="A62" s="39">
        <v>7.0</v>
      </c>
      <c r="B62" s="40" t="s">
        <v>4567</v>
      </c>
      <c r="C62" s="41"/>
    </row>
    <row r="63">
      <c r="A63" s="43">
        <v>8.0</v>
      </c>
      <c r="B63" s="49" t="s">
        <v>4568</v>
      </c>
      <c r="C63" s="45"/>
    </row>
  </sheetData>
  <mergeCells count="7">
    <mergeCell ref="A1:C1"/>
    <mergeCell ref="A11:C11"/>
    <mergeCell ref="A13:C13"/>
    <mergeCell ref="A15:C15"/>
    <mergeCell ref="A32:C32"/>
    <mergeCell ref="A44:C44"/>
    <mergeCell ref="A53:C53"/>
  </mergeCells>
  <hyperlinks>
    <hyperlink r:id="rId1" ref="B9"/>
  </hyperlinks>
  <drawing r:id="rId2"/>
</worksheet>
</file>